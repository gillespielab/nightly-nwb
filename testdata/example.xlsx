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anim summary" sheetId="1" r:id="rId4"/>
    <sheet state="visible" name="teddy_behavior" sheetId="2" r:id="rId5"/>
    <sheet state="visible" name="teddy_adjusting" sheetId="3" r:id="rId6"/>
    <sheet state="visible" name="Tony adjusting" sheetId="4" r:id="rId7"/>
    <sheet state="visible" name="Tony Behavior" sheetId="5" r:id="rId8"/>
    <sheet state="visible" name="Pretraining_cio03_09" sheetId="6" r:id="rId9"/>
    <sheet state="visible" name="Pretraining_gs03_06" sheetId="7" r:id="rId10"/>
    <sheet state="visible" name="VS OldYoung" sheetId="8" r:id="rId11"/>
    <sheet state="visible" name="Bobby adjusting" sheetId="9" r:id="rId12"/>
    <sheet state="visible" name="Bobby Behavior" sheetId="10" r:id="rId13"/>
    <sheet state="visible" name="Reggie adjusting" sheetId="11" r:id="rId14"/>
    <sheet state="visible" name="Reggie Behavior" sheetId="12" r:id="rId15"/>
    <sheet state="visible" name="Timmy Behavior" sheetId="13" r:id="rId16"/>
    <sheet state="visible" name="Timmy Adjusting" sheetId="14" r:id="rId17"/>
    <sheet state="visible" name="LinTrack" sheetId="15" r:id="rId18"/>
    <sheet state="visible" name="Pretraining_akg03_04" sheetId="16" r:id="rId19"/>
    <sheet state="visible" name="UW Drive A" sheetId="17" r:id="rId20"/>
    <sheet state="visible" name="UW Drive B" sheetId="18" r:id="rId21"/>
    <sheet state="visible" name="UW Drive G" sheetId="19" r:id="rId22"/>
    <sheet state="visible" name="Pretraining_young19-20" sheetId="20" r:id="rId23"/>
    <sheet state="visible" name="PythonStateScript Code Referenc" sheetId="21" r:id="rId24"/>
  </sheets>
  <definedNames/>
  <calcPr/>
</workbook>
</file>

<file path=xl/sharedStrings.xml><?xml version="1.0" encoding="utf-8"?>
<sst xmlns="http://schemas.openxmlformats.org/spreadsheetml/2006/main" count="10839" uniqueCount="7187">
  <si>
    <t>Animal</t>
  </si>
  <si>
    <t>orig ID number</t>
  </si>
  <si>
    <t>implant date</t>
  </si>
  <si>
    <t>age at implant</t>
  </si>
  <si>
    <t>total days</t>
  </si>
  <si>
    <t>multi-outers, 1-3 delay</t>
  </si>
  <si>
    <t>15 outerreps, 1-3 delay, forageassist on</t>
  </si>
  <si>
    <t>15 outerreps, 1-3 delay, forageassist off</t>
  </si>
  <si>
    <t>15 outerreps, 3-6 delay, foragessist on</t>
  </si>
  <si>
    <t>15 outerreps, 3-6 delay, forageassist off</t>
  </si>
  <si>
    <t>10 outerreps,1-3 delay, forageassist off</t>
  </si>
  <si>
    <t>10 outerreps, 3-6 delay, forageassist off</t>
  </si>
  <si>
    <t>4-12 outerreps, 3-6 delay, forageassist off</t>
  </si>
  <si>
    <t>4-12 outerreps, minimal delay, forageassist off</t>
  </si>
  <si>
    <t>4-12 outerreps, 1-3s delay, forageassist off</t>
  </si>
  <si>
    <t xml:space="preserve">TI </t>
  </si>
  <si>
    <t>behavior notes</t>
  </si>
  <si>
    <t>Pippin (Young)</t>
  </si>
  <si>
    <t>-</t>
  </si>
  <si>
    <t>2 lin, 2 W, 2 obstacles</t>
  </si>
  <si>
    <t>very small, so took a while to recover and always struggled a bit to pull the commutator around the maze</t>
  </si>
  <si>
    <t>Archibald (Old)</t>
  </si>
  <si>
    <t>1 lin, 1 W</t>
  </si>
  <si>
    <t>Hugo (Old)</t>
  </si>
  <si>
    <t>Herman (old)</t>
  </si>
  <si>
    <t>goal: 1 lin, 1 W</t>
  </si>
  <si>
    <t>couldn't remember how to repeat post-surgery, so very frustrated to point of not performing task. returned to multi-outerrew for a few remedial days then finally back to 1 outer but never increased delay beyond 3s</t>
  </si>
  <si>
    <t>Chip (young)</t>
  </si>
  <si>
    <t>2(bad)</t>
  </si>
  <si>
    <t>Bobby (young)</t>
  </si>
  <si>
    <t>Reggie (old)</t>
  </si>
  <si>
    <t>Timmy (young)</t>
  </si>
  <si>
    <t>Tony (old)</t>
  </si>
  <si>
    <t>Date</t>
  </si>
  <si>
    <t>session</t>
  </si>
  <si>
    <t>start</t>
  </si>
  <si>
    <t>end</t>
  </si>
  <si>
    <t>paradigm</t>
  </si>
  <si>
    <t>notes</t>
  </si>
  <si>
    <t>home</t>
  </si>
  <si>
    <t>wait</t>
  </si>
  <si>
    <t>rip</t>
  </si>
  <si>
    <t>lock1</t>
  </si>
  <si>
    <t>lock2</t>
  </si>
  <si>
    <t>lock3</t>
  </si>
  <si>
    <t>goal</t>
  </si>
  <si>
    <t>other</t>
  </si>
  <si>
    <t>goal/home</t>
  </si>
  <si>
    <t>armvisits/home</t>
  </si>
  <si>
    <r>
      <rPr>
        <rFont val="Arial"/>
        <b/>
        <color theme="1"/>
      </rPr>
      <t>2 goals</t>
    </r>
    <r>
      <rPr>
        <rFont val="Arial"/>
        <color theme="1"/>
      </rPr>
      <t>, forageassistOFF. 30 s lockout, delay 1500-3000 ms, 15 outerreps</t>
    </r>
  </si>
  <si>
    <t>ptp not calibrated, first goals [4, 6], moving well, turning around well, now taking a nap, went down a couple other arms during one of the lockouts at the beginning too</t>
  </si>
  <si>
    <r>
      <rPr>
        <rFont val="Arial"/>
        <b/>
        <color theme="1"/>
      </rPr>
      <t>2 goals</t>
    </r>
    <r>
      <rPr>
        <rFont val="Arial"/>
        <color theme="1"/>
      </rPr>
      <t>, forageassistOFF. 30 s lockout, delay 1500-3000 ms, 15 outerreps</t>
    </r>
  </si>
  <si>
    <t>ptp not calibrated, first goals [8, 7], went down an arm and immediately naptime</t>
  </si>
  <si>
    <r>
      <rPr>
        <rFont val="Arial"/>
        <b/>
        <color theme="1"/>
      </rPr>
      <t>2 goals</t>
    </r>
    <r>
      <rPr>
        <rFont val="Arial"/>
        <color theme="1"/>
      </rPr>
      <t>, forageassistOFF. 30 s lockout, delay 1500-3000 ms, 15 outerreps</t>
    </r>
  </si>
  <si>
    <t>sleeping in arm 10, gave him a nudge to wake him up, but he just turned back around and went back to sleep</t>
  </si>
  <si>
    <r>
      <rPr>
        <rFont val="Arial"/>
        <b/>
        <color theme="1"/>
      </rPr>
      <t>2 goals</t>
    </r>
    <r>
      <rPr>
        <rFont val="Arial"/>
        <color theme="1"/>
      </rPr>
      <t>, forageassistOFF. 30 s lockout, delay 1500-3000 ms, 15 outerreps</t>
    </r>
  </si>
  <si>
    <t>immediately went and took a nap. carried him out of arm towards home goal for one of them, but he just went down another arm to nap, did the wrong center well pokes both times, no more nudging him in the maze</t>
  </si>
  <si>
    <t>s1</t>
  </si>
  <si>
    <r>
      <rPr>
        <rFont val="Arial"/>
        <b/>
        <color theme="1"/>
      </rPr>
      <t>2 goals</t>
    </r>
    <r>
      <rPr>
        <rFont val="Arial"/>
        <color theme="1"/>
      </rPr>
      <t>, forageassistOFF. 30 s lockout, delay 1500-3000 ms, 15 outerreps</t>
    </r>
  </si>
  <si>
    <t>Banks 3 and 4 have lots of 60hz while he's in arm 1, also ch9. Visited arm1 and then sat there doing nothing. Started napping. Gave him a little nudge at 30min and he just went down arm 7. Stopping him and putting him in sleep box. Still lots of 60hz on banks 3 and 4. -I forgot to unplug the pump box, disappeared afterwards.</t>
  </si>
  <si>
    <t>s2</t>
  </si>
  <si>
    <r>
      <rPr>
        <rFont val="Arial"/>
        <b/>
        <color theme="1"/>
      </rPr>
      <t>2 goals</t>
    </r>
    <r>
      <rPr>
        <rFont val="Arial"/>
        <color theme="1"/>
      </rPr>
      <t>, forageassistOFF. 30 s lockout, delay 1500-3000 ms, 15 outerreps</t>
    </r>
  </si>
  <si>
    <t>[10 8] Actually moving around now! Still figuring out the maze and task. 60hz is gone. 18min in and he's actually doing the thing! Focused on goal arm [10]. Finished first goal block at 25min in! Second block [7 8] . ~35min Was still pretty focused on arm 10, started napping there. Didn't do much for ~30min. Taking him back to sleep box early.</t>
  </si>
  <si>
    <t>s3</t>
  </si>
  <si>
    <r>
      <rPr>
        <rFont val="Arial"/>
        <b/>
        <color theme="1"/>
      </rPr>
      <t>2 goals</t>
    </r>
    <r>
      <rPr>
        <rFont val="Arial"/>
        <color theme="1"/>
      </rPr>
      <t>, forageassistOFF. 30 s lockout, delay 1500-3000 ms, 15 outerreps</t>
    </r>
  </si>
  <si>
    <t xml:space="preserve">First goal [8 5]. Went to arm 8 and slept. Did almost nothing for 30min - putting him back in sleep box soon if he doesn't move. Started moving around 40min! 56min found goal [8]. Completed first goal block at ~85min. Second goal block [10 7]. </t>
  </si>
  <si>
    <r>
      <rPr>
        <rFont val="Arial"/>
        <b/>
        <color theme="1"/>
      </rPr>
      <t>2 goals</t>
    </r>
    <r>
      <rPr>
        <rFont val="Arial"/>
        <color theme="1"/>
      </rPr>
      <t>, forageassistOFF. 30 s lockout, delay 1500-3000 ms, 15 outerreps</t>
    </r>
  </si>
  <si>
    <t>First goal [11 6]. Fell asleep in arm. Kept sleeping for 30min. Taking back to sleep box.</t>
  </si>
  <si>
    <t>ptp synchronized, pump box was plugged in</t>
  </si>
  <si>
    <r>
      <rPr>
        <rFont val="Arial"/>
        <b/>
        <color theme="1"/>
      </rPr>
      <t>2 goals</t>
    </r>
    <r>
      <rPr>
        <rFont val="Arial"/>
        <color theme="1"/>
      </rPr>
      <t>, forageassistOFF. 30 s lockout, delay 1500-3000 ms, 15 outerreps</t>
    </r>
  </si>
  <si>
    <t>first goals [6,7], pump box plugged in for the first two min of the recording. unfortunately did try to do a couple trials in the first 10 min but the cart had come off the wheels and was preventing him from reaching the end of arm 9 :(( (I had mistaked it as napping in the arm!), fixed at 10:31, now napping, started doing stuff again at 10:57, found 6 at 11:04, taking him out early bc I had to run!</t>
  </si>
  <si>
    <t>longer than planned!</t>
  </si>
  <si>
    <r>
      <rPr>
        <rFont val="Arial"/>
        <b/>
        <color theme="1"/>
      </rPr>
      <t>2 goals</t>
    </r>
    <r>
      <rPr>
        <rFont val="Arial"/>
        <color theme="1"/>
      </rPr>
      <t>, forageassistOFF. 30 s lockout, delay 1500-3000 ms, 15 outerreps</t>
    </r>
  </si>
  <si>
    <t>first goal [5, 8], started doing stuff right away! found 8 at 12:40 and 5 at 12:42, doing a pretty good job repeating 8, next goals [7,10] (1:03) - found 7 at 1:11, did some but now (1:40) just doing lock2s now, taking him out a bit early</t>
  </si>
  <si>
    <r>
      <rPr>
        <rFont val="Arial"/>
        <b/>
        <color theme="1"/>
      </rPr>
      <t>2 goals</t>
    </r>
    <r>
      <rPr>
        <rFont val="Arial"/>
        <color theme="1"/>
      </rPr>
      <t>, forageassistOFF. 30 s lockout, delay 1500-3000 ms, 15 outerreps</t>
    </r>
  </si>
  <si>
    <t>first goals [7, 4], found 4 at 10:22, finished the block with only 4 others!, next goals [11, 8] (10:37) found 8 at 10:40, next goals [9, 10] (11:02), got frustrated and napped for the last 15-20 min</t>
  </si>
  <si>
    <r>
      <rPr>
        <rFont val="Arial"/>
        <b/>
        <color theme="1"/>
      </rPr>
      <t>goal,</t>
    </r>
    <r>
      <rPr>
        <rFont val="Arial"/>
        <color theme="1"/>
      </rPr>
      <t xml:space="preserve"> </t>
    </r>
    <r>
      <rPr>
        <rFont val="Arial"/>
        <b/>
        <color theme="1"/>
      </rPr>
      <t>forageassist2</t>
    </r>
    <r>
      <rPr>
        <rFont val="Arial"/>
        <color theme="1"/>
      </rPr>
      <t>. 30 s lockout, delay 1500-3000 ms, 15 outerreps</t>
    </r>
  </si>
  <si>
    <t>first goals [9, 5], found 9 at 1:02, started off with a nap, was fully curled up asleep when I took him out of the sleep box! starting working ~20 min in, really fixated on arm 8 from last time, often goes down the arm, doesn't actually lick it, but turns around and goes back to home, as if he knows it's not right but doesn't realize he can change his mind halfway through?, he's doing some things but so many lock2s, taking him out early</t>
  </si>
  <si>
    <t>cameramodule crashed 10 min in, restarted and deleted first recording files</t>
  </si>
  <si>
    <r>
      <rPr>
        <rFont val="Arial"/>
        <b/>
        <color theme="1"/>
      </rPr>
      <t>goal,</t>
    </r>
    <r>
      <rPr>
        <rFont val="Arial"/>
        <color theme="1"/>
      </rPr>
      <t xml:space="preserve"> </t>
    </r>
    <r>
      <rPr>
        <rFont val="Arial"/>
        <b/>
        <color theme="1"/>
      </rPr>
      <t>forageassist2</t>
    </r>
    <r>
      <rPr>
        <rFont val="Arial"/>
        <color theme="1"/>
      </rPr>
      <t>. 30 s lockout, delay 1500-3000 ms, 15 outerreps</t>
    </r>
  </si>
  <si>
    <t>pump was plugged in for the first 1min
first goals [4, 6], napped/cleaned for a while, started doing stuff ~15 min in. found goal 6 at 11:48, next goals [11, 8] (12:21) - found 11 at 12:27, next goals [10, 4] (12:52) - didn't find these last ones, but did well in general!</t>
  </si>
  <si>
    <r>
      <rPr>
        <rFont val="Arial"/>
        <b/>
        <color theme="1"/>
      </rPr>
      <t>goal,</t>
    </r>
    <r>
      <rPr>
        <rFont val="Arial"/>
        <color theme="1"/>
      </rPr>
      <t xml:space="preserve"> </t>
    </r>
    <r>
      <rPr>
        <rFont val="Arial"/>
        <b/>
        <color theme="1"/>
      </rPr>
      <t>forageassist2</t>
    </r>
    <r>
      <rPr>
        <rFont val="Arial"/>
        <color theme="1"/>
      </rPr>
      <t>. 30 s lockout, delay 1500-3000 ms, 15 outerreps</t>
    </r>
  </si>
  <si>
    <t>first goals [10, 4], found 10 at 1:43, has been napping for 30 min after that initial trial, must be full? or tired? if he doesn't start doing things in a few min, taking him out</t>
  </si>
  <si>
    <r>
      <rPr>
        <rFont val="Arial"/>
        <b/>
        <color theme="1"/>
      </rPr>
      <t>goal,</t>
    </r>
    <r>
      <rPr>
        <rFont val="Arial"/>
        <color theme="1"/>
      </rPr>
      <t xml:space="preserve"> </t>
    </r>
    <r>
      <rPr>
        <rFont val="Arial"/>
        <b/>
        <color theme="1"/>
      </rPr>
      <t>forageassist2</t>
    </r>
    <r>
      <rPr>
        <rFont val="Arial"/>
        <color theme="1"/>
      </rPr>
      <t>. 30 s lockout, delay 1500-3000 ms, 15 outerreps</t>
    </r>
  </si>
  <si>
    <t>first goals [10, 5], next goals [6, 9] (11:14), meh, oh hmm just noticed the wait/rip bias was crazy... I wonder if he's avoiding one well. I'll check that it's working before the next run session</t>
  </si>
  <si>
    <r>
      <rPr>
        <rFont val="Arial"/>
        <b/>
        <color theme="1"/>
      </rPr>
      <t>goal,</t>
    </r>
    <r>
      <rPr>
        <rFont val="Arial"/>
        <color theme="1"/>
      </rPr>
      <t xml:space="preserve"> </t>
    </r>
    <r>
      <rPr>
        <rFont val="Arial"/>
        <b/>
        <color theme="1"/>
      </rPr>
      <t>forageassist2</t>
    </r>
    <r>
      <rPr>
        <rFont val="Arial"/>
        <color theme="1"/>
      </rPr>
      <t>. 30 s lockout, delay 1500-3000 ms, 15 outerreps</t>
    </r>
  </si>
  <si>
    <t>both wells seem to be priming fine? I wonder if he was just biased because goal 10 was on that side? will keep a closer eye on him this session; first goals [4,7], found 7 at 12:50, is doing stuff but they're mostly lock1 or lock2 errors :( as aggrevating as this is, at least he's not sleeping?, if he doesn't stop home looping in 10, taking him out</t>
  </si>
  <si>
    <t>PTP calibrating. Unfortunately the plug might have become disconnected during sleep. Had to redo recording.</t>
  </si>
  <si>
    <r>
      <rPr>
        <rFont val="Arial"/>
        <b/>
        <color theme="1"/>
      </rPr>
      <t>goal,</t>
    </r>
    <r>
      <rPr>
        <rFont val="Arial"/>
        <color theme="1"/>
      </rPr>
      <t xml:space="preserve"> </t>
    </r>
    <r>
      <rPr>
        <rFont val="Arial"/>
        <b/>
        <color theme="1"/>
      </rPr>
      <t>forageassist2</t>
    </r>
    <r>
      <rPr>
        <rFont val="Arial"/>
        <color theme="1"/>
      </rPr>
      <t>. 30 s lockout, delay 1500-3000 ms, 15 outerreps</t>
    </r>
  </si>
  <si>
    <t>NOTE: make sure the first arm choices are on the left side (lower numbers) so he gets out of his right-well bias. PTP still calibrating. First goals [6 7]. Found 6 fairly quickly. Got first goal block done by 12:30! Found second goal beore I was able to mark options, second goal is [4]. Kinda just doing type 2 errors though so might pull him a little early if he's not productive. Being dumb, stopping him early.</t>
  </si>
  <si>
    <t>PTP still calibrating?</t>
  </si>
  <si>
    <r>
      <rPr>
        <rFont val="Arial"/>
        <b/>
        <color theme="1"/>
      </rPr>
      <t>goal,</t>
    </r>
    <r>
      <rPr>
        <rFont val="Arial"/>
        <color theme="1"/>
      </rPr>
      <t xml:space="preserve"> </t>
    </r>
    <r>
      <rPr>
        <rFont val="Arial"/>
        <b/>
        <color theme="1"/>
      </rPr>
      <t>forageassist2</t>
    </r>
    <r>
      <rPr>
        <rFont val="Arial"/>
        <color theme="1"/>
      </rPr>
      <t>. 30 s lockout, delay 1500-3000 ms, 15 outerreps</t>
    </r>
  </si>
  <si>
    <t>Goals [4 9]. Doing mediocre? Like not great but ok for 1hr in. Barely finished one goal block</t>
  </si>
  <si>
    <t>ptp synchronized</t>
  </si>
  <si>
    <r>
      <rPr>
        <rFont val="Arial"/>
        <b/>
        <color theme="1"/>
      </rPr>
      <t>goal,</t>
    </r>
    <r>
      <rPr>
        <rFont val="Arial"/>
        <color theme="1"/>
      </rPr>
      <t xml:space="preserve"> </t>
    </r>
    <r>
      <rPr>
        <rFont val="Arial"/>
        <b/>
        <color theme="1"/>
      </rPr>
      <t>forageassist2</t>
    </r>
    <r>
      <rPr>
        <rFont val="Arial"/>
        <color theme="1"/>
      </rPr>
      <t>. 30 s lockout, delay 1500-3000 ms, 15 outerreps</t>
    </r>
  </si>
  <si>
    <t>first goals [6,7] found 7 at 10:50, ptp started calibrating with computer again at some point in this session? but then synchronized again at some point too, next goals  [5,6] (11:36), found 5 at 11:39, just home looping for the last little while, taking him out, shoot the cameramodule also crashed at some point but I'm not sure when :( I think recently</t>
  </si>
  <si>
    <r>
      <rPr>
        <rFont val="Arial"/>
        <b/>
        <color theme="1"/>
      </rPr>
      <t>goal,</t>
    </r>
    <r>
      <rPr>
        <rFont val="Arial"/>
        <color theme="1"/>
      </rPr>
      <t xml:space="preserve"> </t>
    </r>
    <r>
      <rPr>
        <rFont val="Arial"/>
        <b/>
        <color theme="1"/>
      </rPr>
      <t>forageassist2</t>
    </r>
    <r>
      <rPr>
        <rFont val="Arial"/>
        <color theme="1"/>
      </rPr>
      <t>. 30 s lockout, delay 1500-3000 ms, 15 outerreps</t>
    </r>
  </si>
  <si>
    <t>first goals [6,8], found 8 at 1:10, is basically only doing home loops now, stopping him</t>
  </si>
  <si>
    <t>ca1</t>
  </si>
  <si>
    <t>can1ref</t>
  </si>
  <si>
    <t>can2ref</t>
  </si>
  <si>
    <t>dead channels</t>
  </si>
  <si>
    <t>ch2</t>
  </si>
  <si>
    <t>ch3</t>
  </si>
  <si>
    <t>ch1, ch2, ch3, ch4</t>
  </si>
  <si>
    <t>ch3, ch4, ch1</t>
  </si>
  <si>
    <t>ch1</t>
  </si>
  <si>
    <t>ch1, ch2</t>
  </si>
  <si>
    <t>ch4</t>
  </si>
  <si>
    <t>other tetrode notes</t>
  </si>
  <si>
    <t>stiff</t>
  </si>
  <si>
    <t>really loose</t>
  </si>
  <si>
    <t>very stiff</t>
  </si>
  <si>
    <t>might be stuck</t>
  </si>
  <si>
    <t>Cut short - 20turns MAX</t>
  </si>
  <si>
    <t>very loose</t>
  </si>
  <si>
    <t>likely shuttle is stripped</t>
  </si>
  <si>
    <t>date</t>
  </si>
  <si>
    <t>general status/goal</t>
  </si>
  <si>
    <t>recording_session_id</t>
  </si>
  <si>
    <t>16</t>
  </si>
  <si>
    <t>17</t>
  </si>
  <si>
    <t>18</t>
  </si>
  <si>
    <t>46</t>
  </si>
  <si>
    <t>47</t>
  </si>
  <si>
    <t>48</t>
  </si>
  <si>
    <t>huge 60hz on alll at first, disappears when tets enter brain, some chs swapped, lots of convincing brain sounds!</t>
  </si>
  <si>
    <t>at 5, went from huge 60hz to quiet at 6 fuzz, c+  ch2 dead?</t>
  </si>
  <si>
    <t xml:space="preserve">at 6 suddently got quiet then small fuzz, def in brain </t>
  </si>
  <si>
    <t>at 7 got quiet, fuzz c+</t>
  </si>
  <si>
    <t>at 5.5 got quiest, then fuzz c+  ch3 dead?</t>
  </si>
  <si>
    <t>quiet at 5, c+ fuzz</t>
  </si>
  <si>
    <t>qot quiet just before 5 then fuzz . weird rhythmic cell (?) later transiently, then gone</t>
  </si>
  <si>
    <t>in right at 6 , fuzz c+</t>
  </si>
  <si>
    <t>in right at 6, c+</t>
  </si>
  <si>
    <t>still not in at 9, 60hz still big (but smaller than initial)</t>
  </si>
  <si>
    <t>got quiet at 4 fuzz c</t>
  </si>
  <si>
    <t>in at 5 fuzz c+ ch4 dead</t>
  </si>
  <si>
    <t>in by 5 fuzz c</t>
  </si>
  <si>
    <t xml:space="preserve">in just before 5 fuzz k </t>
  </si>
  <si>
    <t>in at 5/5.5 fuzz c</t>
  </si>
  <si>
    <t>in at 4.5/5 ch3 dead?</t>
  </si>
  <si>
    <t>2 chans in at 7 ch3 and 4 dead?</t>
  </si>
  <si>
    <t>quieter at 6, but signals still look noisy, ch1 and 2 might just be dead (and 3 and 4 not visible), ch1 went in later during adjusting</t>
  </si>
  <si>
    <t>1 channel in at 5, all in at 5.5/6, fuzz k</t>
  </si>
  <si>
    <t xml:space="preserve">3/4 in at 5, fuzz and k, ch3 might be dead </t>
  </si>
  <si>
    <t>1 ch in at 4, all in at 5, ch2 (and 3?) might be dead</t>
  </si>
  <si>
    <t>2 in at 3, all in at 5, q, then big fuzzes</t>
  </si>
  <si>
    <t>3/4 in at 5, bigggg fuzzes and kills, ch3 might be dead</t>
  </si>
  <si>
    <t>2/4 in at 4, all in at 5, big fuzzes</t>
  </si>
  <si>
    <t>2/4 in at 4, all in at 6</t>
  </si>
  <si>
    <t>some weird noises during turning, 3/4 in at 5, all in at 5.5, fuzz</t>
  </si>
  <si>
    <t>in at 5, fuzzes, ch1 might be dead</t>
  </si>
  <si>
    <t>1 in at 5, all in at 6, fuzzes</t>
  </si>
  <si>
    <t>no change</t>
  </si>
  <si>
    <t>1/4 in at 4, 1 more in at 5, solidly in at 7, ch2 and 4 might be dead, ch2 is now in (later)</t>
  </si>
  <si>
    <t>2/4 in at 4, solidly in at 6, ch2 and 4 might be dead</t>
  </si>
  <si>
    <t>3/4 in at 7, ch4 might be dead</t>
  </si>
  <si>
    <t>2/4 in at 5, 3/4 in at 6, ch3 might be dead</t>
  </si>
  <si>
    <t>in at 4 ch1 dead</t>
  </si>
  <si>
    <t>in at 4/4.5  ch2 dead?</t>
  </si>
  <si>
    <t>in at 6</t>
  </si>
  <si>
    <t xml:space="preserve">in at 5 </t>
  </si>
  <si>
    <t>in at 4, ch3 dead?</t>
  </si>
  <si>
    <t xml:space="preserve">in at 5 fuzz k </t>
  </si>
  <si>
    <t>ch4 in at 5, rest in at 6</t>
  </si>
  <si>
    <t>ch4 in at 5, fuzz k ch1-3 dead?</t>
  </si>
  <si>
    <t xml:space="preserve">all in right at 5 </t>
  </si>
  <si>
    <t xml:space="preserve">chs 1 and 2 already look in? not changing. ch4 in at 5  all in by 6. ch1/2 might be dead? </t>
  </si>
  <si>
    <t>ch1 in at 4, others at 5 c+</t>
  </si>
  <si>
    <t>ch2 in at 5 , others in at 6 ch3 dead?</t>
  </si>
  <si>
    <t>all in at 5 fuzz k</t>
  </si>
  <si>
    <t xml:space="preserve">all in right after 5 fuzz </t>
  </si>
  <si>
    <t>1 in at 6, all in by 7</t>
  </si>
  <si>
    <t>all in right at 5</t>
  </si>
  <si>
    <t>2/4 in at 4.5, all in at 6</t>
  </si>
  <si>
    <t>all in at 5, biggg fuzz and c</t>
  </si>
  <si>
    <t>ch3 looked like it went in with turning 52? all in at 6.5, all in at 7.5</t>
  </si>
  <si>
    <t>3/4 in at 7, all in at 7.5, big fuzzes</t>
  </si>
  <si>
    <t>responds to turning 54, 1/2 in at 6, all in at 7</t>
  </si>
  <si>
    <t xml:space="preserve">responds to turning 53, 2/4 in at 6, all in at 7, big cell </t>
  </si>
  <si>
    <t>in at some point? turning this one resulted in 56 changing! must have been pinned opposite</t>
  </si>
  <si>
    <t>turned 8, no change, but 55 is in now and changed when this one was turned. changed when 55 was turned! (ch2 likely dead)</t>
  </si>
  <si>
    <t xml:space="preserve">looks in after turning 58, no big change when turning this one? +2 </t>
  </si>
  <si>
    <t>Shuttle likely stripped. Still needs to be verified though, shuttle looks like it's all the way at the bottom, no change in this channel but 57 looks like it's in now?</t>
  </si>
  <si>
    <t>3/4 in at 5, ch1 might be dead</t>
  </si>
  <si>
    <t>3/4 in at 6, ch4 likely dead</t>
  </si>
  <si>
    <t>2/4 in at 4, all in at 5, c</t>
  </si>
  <si>
    <t>2/4 in at 5, all in at 5.5</t>
  </si>
  <si>
    <t>all in at 5, big fuzzes</t>
  </si>
  <si>
    <t>still not in at 9 but looks half in</t>
  </si>
  <si>
    <t>D0</t>
  </si>
  <si>
    <t>?</t>
  </si>
  <si>
    <t>goal: get movement. status: things are generally pretty quiet, might've popped slightly out of the brain, seems like a lot of those suspected ones were actually due to bad connection, putting headstage on/off fixed almost all of those. great movement on almost all!</t>
  </si>
  <si>
    <t xml:space="preserve">q, +1, big fuzzes </t>
  </si>
  <si>
    <t>q, +1, a little activity after a turn, +1/2, fuzz and c</t>
  </si>
  <si>
    <t>hashy/q, +1/2, huge fuzz, +1/2 hashy</t>
  </si>
  <si>
    <t>hashy/q, +1, c and fuzz, +1/2, big fuzz</t>
  </si>
  <si>
    <t>hashy/q, +1, fuzz and c, +1/2 c</t>
  </si>
  <si>
    <t>hashy/q, +1, c and movement</t>
  </si>
  <si>
    <t>hashy/q, +1, a little louder, +.5, +5, fuzz and c</t>
  </si>
  <si>
    <t>hashy/q, +1, fuzz and kills</t>
  </si>
  <si>
    <t>doesn't look like brain, q but 60hz shape, +1, +1, likely dead</t>
  </si>
  <si>
    <t>hashy/q, +1, nc, +1 found little c's</t>
  </si>
  <si>
    <t>hashy/q, ch4 looks fine now, +1 louder and some little c's, +.5, big fuzz and c+</t>
  </si>
  <si>
    <t>hashy/q, +.5, huge fuzz and kills, +.5</t>
  </si>
  <si>
    <t>hashy/q, +.5, big fuzz and c's, +.5, c</t>
  </si>
  <si>
    <t>q, +1, nc, +1, deflection and fuzz and c's at the end</t>
  </si>
  <si>
    <t>hashy/q, +1, a little louder, +.5 big fuzz</t>
  </si>
  <si>
    <t>c, +.5 nc +.5, big fuzz</t>
  </si>
  <si>
    <t>hashy/q, ch2 still dead, +1, big fuzzes</t>
  </si>
  <si>
    <t>hashy/q, +1 nc, +1 little louder, +.5 huge fuzz and kill, c++</t>
  </si>
  <si>
    <t>hashy/q, +1, fuzz and c's</t>
  </si>
  <si>
    <t>hashy/q, +1 nc +1 louder tiny cs, +.5 big fuzz, defnitely in, ch2 is maybe dead? picks some stuff up but not as clear</t>
  </si>
  <si>
    <t>q, +1, deflection, +1 little fuzz and big fuzz, c's</t>
  </si>
  <si>
    <t>q, +1, big fuzz</t>
  </si>
  <si>
    <t xml:space="preserve">q, +1 a little louder, +1, deflection and transient c, +.5 little louder, +.5 big fuzz </t>
  </si>
  <si>
    <t>q, +1, nc +1, little c's, +.5, +.5 fuzzes and louder</t>
  </si>
  <si>
    <t>q, +1, nc +1 big fuzz and c+'s</t>
  </si>
  <si>
    <t>q, +1, a little louder, +1, nc +.5 +.5 some c's, not super satisfying</t>
  </si>
  <si>
    <t>hashy/q, +1, big fuzzes</t>
  </si>
  <si>
    <t>might have poor connection w/ EIB to headstage? looks like noise, similar to the other chs when the headstage wasn't connected well, +1 nc,  looks better after replacing headstage but still might just be dead? (now looks 60hz)</t>
  </si>
  <si>
    <t>hashy/q, +1, nc, +1, big fuzzes</t>
  </si>
  <si>
    <t>looks like 28, maybe dead? maybe poor connection?, +1 nc +1 nc, after replacing headstage, ch1 might be dead, the rest look neural hashy</t>
  </si>
  <si>
    <t>hashy/q, +1 c and then biggg fuzzes and kills</t>
  </si>
  <si>
    <t>q, +1, big fuzz and c+; heard little pop like tetrode moving</t>
  </si>
  <si>
    <t>looks like 28 and 30, maybe dead? maybe poor connection?, +1, nc, +1 nc, after headstage on and off, just ch1 dead, rest are nice and hashy brain</t>
  </si>
  <si>
    <t>ch1 and ch2 look poorly connected, looks better after reconnecting headstage, hashy/q, +1, little fuzz, +.5 big fuzz and c's</t>
  </si>
  <si>
    <t>hashy, +1, big fuzzes and c's</t>
  </si>
  <si>
    <t>hashy, +1, fuzz and kills</t>
  </si>
  <si>
    <t>hashy, +1, big fuzz and c++ and kills</t>
  </si>
  <si>
    <t>hashy/q, +1, +.5, +.5, big fuzz and k and c++'s</t>
  </si>
  <si>
    <t>q, +1, fuzzes and kills</t>
  </si>
  <si>
    <t>hashy/q, +1, little c and random bursts of hash, +.5 big fuzz</t>
  </si>
  <si>
    <t>hashy, little c, +1, +.5, big fuzzes and k</t>
  </si>
  <si>
    <t>ch1 and 2 look either dead or poorly connected, hashy/q, +1 fuzz</t>
  </si>
  <si>
    <t>hashy, c's, +1, big fuzzes</t>
  </si>
  <si>
    <t>hashy, +1, big fuzzes and k</t>
  </si>
  <si>
    <t>q, +1, fuzz and little c, then big fuzzes and c+</t>
  </si>
  <si>
    <t>q, +1, huge fuzz and c+'s, +.5 to secure it</t>
  </si>
  <si>
    <t>q, +1, +1, big fuzzes and c's and k</t>
  </si>
  <si>
    <t>hashy/q, +1, fuzzes</t>
  </si>
  <si>
    <t>hashy/q, ch3 might be dead, +1, little louder, +.5, +.5 huge fuzzes</t>
  </si>
  <si>
    <t>hashy/q, c+, +1, c's and fuzzes and k</t>
  </si>
  <si>
    <t>hashy/q, +1, big fuzz and c's and kills</t>
  </si>
  <si>
    <t>turning 54, listening to 53: hashy, +1, big fuzz</t>
  </si>
  <si>
    <t>turning 53, listening to 54: hashy/q, +1, big fuzz and c+'s</t>
  </si>
  <si>
    <t>turning 56, listening to 55, looks like it popped out of brain, +1, took headstage on and off and now looks neural, one more +.5 for good measure, fuzzes</t>
  </si>
  <si>
    <t>turning 55, listening to 56: hashy, +1, big fuzz and c+</t>
  </si>
  <si>
    <t>turning 58: hashy/q, looks like it popped back out of the brain?, +1, +1, nc
turning 57: +1 nc, +1 nc. took headstage on and off and back to brain! so maybe just bad connection</t>
  </si>
  <si>
    <t>dead</t>
  </si>
  <si>
    <t>hashy/q, +1, +.5, big fuzz and c's at the end</t>
  </si>
  <si>
    <t>hashy, +1, big fuzz and c's</t>
  </si>
  <si>
    <t>hashy, +1, big fuzz and kills</t>
  </si>
  <si>
    <t>hashy and lots of c's, +.5 nc +.5 big fuzz</t>
  </si>
  <si>
    <t>still doesn't look like brain, +1, +1, likely dead</t>
  </si>
  <si>
    <t>D1</t>
  </si>
  <si>
    <t>10?</t>
  </si>
  <si>
    <t>goal: move everything steadily along; takes a couple tries of taking the headstage on and off in order to get good connections across all channels, gave some of the tetrode tops a bit more of a haircut to prevent them from potentially getting in the way of the connection, can1 really quiet, not sure if it's a connection thing or we're in cc for a lot of them (I think can1 was slightly longer than can2 so maybe was just closer to the brain to begin with)</t>
  </si>
  <si>
    <t>hashy, +1, fuzz</t>
  </si>
  <si>
    <t>q +1 nc</t>
  </si>
  <si>
    <t>qq +1 hashy</t>
  </si>
  <si>
    <t>q +1 hashy</t>
  </si>
  <si>
    <t>qq +1 deflection nc</t>
  </si>
  <si>
    <t>looks dead</t>
  </si>
  <si>
    <t>q +1 deflection nc</t>
  </si>
  <si>
    <t>hashy/q, +1, deflections, +.5</t>
  </si>
  <si>
    <t>qq +1 nc</t>
  </si>
  <si>
    <t>hashy/q, +1, +.5, nc +1 nc +1 nc</t>
  </si>
  <si>
    <t>qq +1 bc</t>
  </si>
  <si>
    <t>qq +1 fuzz clearly moved</t>
  </si>
  <si>
    <t>qq +1 fuzz k c+</t>
  </si>
  <si>
    <t>hashy +1 nc</t>
  </si>
  <si>
    <t>qq +1 hashy +1 q</t>
  </si>
  <si>
    <t>qq +1 hashy +1 hashy</t>
  </si>
  <si>
    <t>qq +1 fuzz c k</t>
  </si>
  <si>
    <t>qq +1 k fuzz hashy</t>
  </si>
  <si>
    <t>was poorly connected, forgot to come back to it</t>
  </si>
  <si>
    <t>hashy, c's, +1, deflection, kill, c+, ch1 looks poorly connected</t>
  </si>
  <si>
    <t>hashy, c's, +1, fuzz, ch1-3 look poorly connected</t>
  </si>
  <si>
    <t>c+ on ch2, +1 lost the cell, kills and fuzzes</t>
  </si>
  <si>
    <t>c+'s, +1, kills and fuzzes</t>
  </si>
  <si>
    <t>hashy, +1, big fuzzes and kills</t>
  </si>
  <si>
    <t>hashy, +1, big fuzz and kills, +1, got very quiet! maybe in cc, using as a probe since it's a unitrode, ch1 and 3 might look more neural now?</t>
  </si>
  <si>
    <t>c, +1, nc, +.5 big fuzz</t>
  </si>
  <si>
    <t>hashy, +1, kill and fuzz</t>
  </si>
  <si>
    <t>hashy, +1 fuzz and kills</t>
  </si>
  <si>
    <t>hashy, c, +1, big fuzz and kill</t>
  </si>
  <si>
    <t>hashy/q, +1, big fuzz</t>
  </si>
  <si>
    <t>hashy, +1, c+'s, big fuzz</t>
  </si>
  <si>
    <t>hashy, +1 fuzz</t>
  </si>
  <si>
    <t>hashy c, +1, deflections but no big changes, +.5, big fuzz and kill</t>
  </si>
  <si>
    <t>hashy, +1, big fuzz</t>
  </si>
  <si>
    <t>hashy c +1, c+, fuzz and kill</t>
  </si>
  <si>
    <t>hashy +1, c and fuzz</t>
  </si>
  <si>
    <t>turning 54, listening to 53:
hashy, found and killed c++, biggg fuzzz</t>
  </si>
  <si>
    <t>turning 53, listening to 54:
hashy/q, +1, fuzz</t>
  </si>
  <si>
    <t>turning 56, listening to 55:
hashy/q, +1, good fuzzes and c's</t>
  </si>
  <si>
    <t>turning 55, listening to 56:
hashy, +1, huge fuzz</t>
  </si>
  <si>
    <t>turning 58, listening to 57:
c, +1, no more c, +.5 quiet, I think in cc</t>
  </si>
  <si>
    <t>hashy/q, +1, big fuzz and c+</t>
  </si>
  <si>
    <t>hashy, c, +1, c++, fuzz</t>
  </si>
  <si>
    <t>c+, +1, nc +.5 found new cell</t>
  </si>
  <si>
    <t>D2</t>
  </si>
  <si>
    <t>can1 pretty quiet but still some signs of movement, no arches. can2 very loud and lots of movement and arches; good connection with headstage 019 today (very satisfying click)</t>
  </si>
  <si>
    <t>q, +1, deflections, a little louder</t>
  </si>
  <si>
    <t>q, +1, a little louder</t>
  </si>
  <si>
    <t>q, +1, deflection and fuzz on ch1</t>
  </si>
  <si>
    <t>q, +1, louder/fuzzy</t>
  </si>
  <si>
    <t>hashy/q, +1, deflection, fuzz</t>
  </si>
  <si>
    <t>hashy/q, +1, deflection, fuzz and then quiet again</t>
  </si>
  <si>
    <t>q +1, hashy</t>
  </si>
  <si>
    <t>qq +1, a little louder</t>
  </si>
  <si>
    <t>qq +1, deflections, hashy and then q again</t>
  </si>
  <si>
    <t>q, +1, deflection</t>
  </si>
  <si>
    <t>hashy/q, +1, deflection and hashier</t>
  </si>
  <si>
    <t>hashy/q, +1, deflections/fuzz, then q again</t>
  </si>
  <si>
    <t>q, +1 +.5 nc</t>
  </si>
  <si>
    <t>qq, deflection and a little louder</t>
  </si>
  <si>
    <t>hashy/q, +1, deflection</t>
  </si>
  <si>
    <t>hashy/q, +1, louder</t>
  </si>
  <si>
    <t>q, +1, louder</t>
  </si>
  <si>
    <t>q, +1 little louder?</t>
  </si>
  <si>
    <t>q, +1, deflection, fuzz</t>
  </si>
  <si>
    <t>hashy c, +1, fuzz and then quiet</t>
  </si>
  <si>
    <t>qq +1, nc</t>
  </si>
  <si>
    <t>q, +1, deflection a little louder</t>
  </si>
  <si>
    <t>hashy, +1 nc</t>
  </si>
  <si>
    <t>qq, +1 nc</t>
  </si>
  <si>
    <t>q +1, deflection</t>
  </si>
  <si>
    <t>hashy, +1, nc</t>
  </si>
  <si>
    <t>hashy c, +1 big fuz and kill, c+</t>
  </si>
  <si>
    <t>q +1, fuzz hashy</t>
  </si>
  <si>
    <t>hashy, c, +1, fuzz and kill</t>
  </si>
  <si>
    <t>c, +1, big fuzz</t>
  </si>
  <si>
    <t>hashy, c-, +1, big fuzz and c's</t>
  </si>
  <si>
    <t>hashy c, +1, big fuzz</t>
  </si>
  <si>
    <t>c, +1, fuzz and kill</t>
  </si>
  <si>
    <t>hashy c's, +1, big fuzz</t>
  </si>
  <si>
    <t>hashy c's, +1, big fuzz and kills</t>
  </si>
  <si>
    <t>pretty quiet but c-, maybe teeny tiny ripples</t>
  </si>
  <si>
    <t>c+, +1, big fuzz and kill</t>
  </si>
  <si>
    <t>hashy, +1, big fuzz and kill</t>
  </si>
  <si>
    <t>hashy/q, +1, fuzz</t>
  </si>
  <si>
    <t>c++, +1, cell gone</t>
  </si>
  <si>
    <t>hashy/q, +1 fuzz and new c's</t>
  </si>
  <si>
    <t>c++, +1, fuzz and kill and new c++</t>
  </si>
  <si>
    <t>hashy, big fuzz and kill</t>
  </si>
  <si>
    <t>hashy +1, deflections and fuzz, smaller arches than others</t>
  </si>
  <si>
    <t>turning 54, listening to 53, hashy, +1, big fuzz and kill</t>
  </si>
  <si>
    <t>turning 53, listening to 54:
hashy, +1 deflection and fuzz</t>
  </si>
  <si>
    <t>turning 56, listening to 55:
lots of c+'s, +1, fuzz</t>
  </si>
  <si>
    <t>turning 55, listening to 56:
c+, +1 fuzz</t>
  </si>
  <si>
    <t>turning 58, listening to 57:
hashy/q, +1, arches are small</t>
  </si>
  <si>
    <t>hashy c, +1, huge fuzz and kills</t>
  </si>
  <si>
    <t>hashy, +1, huge fuzz</t>
  </si>
  <si>
    <t>c's, +1 fuzz and kills, arches are less pronounced</t>
  </si>
  <si>
    <t>c, +1, big fuzz and kills</t>
  </si>
  <si>
    <t>D3</t>
  </si>
  <si>
    <t>019 headstage clicked in satisfyingly and connection looks good! very few arches, first baby rips!</t>
  </si>
  <si>
    <t>hashy/q, +1, little fuzz and quiet again</t>
  </si>
  <si>
    <t>hashy/q, +1, nc</t>
  </si>
  <si>
    <t>hashy/q, +1, maybe some movement</t>
  </si>
  <si>
    <t>hashy/q +1, a little louder</t>
  </si>
  <si>
    <t>hashy/q, +1, a little louder</t>
  </si>
  <si>
    <t>hashy/q, +1, a little louder and little deflection</t>
  </si>
  <si>
    <t>hashy, looks different from the others, +1, deflection and a bit louder, now looks quiet and the same as the rest</t>
  </si>
  <si>
    <t>hashy/q, +1, deflection, little fuzz</t>
  </si>
  <si>
    <t>hashy/q, +1, deflection and little fuzz</t>
  </si>
  <si>
    <t>hashy/q, +1, deflection and little fuzz, now even quieter</t>
  </si>
  <si>
    <t>hashy/q, +1, small ripples!</t>
  </si>
  <si>
    <t>hashy/q, +1, nc, maybe tiny tiny ripples?</t>
  </si>
  <si>
    <t>hashy/q, +1, , louder, fuzz, deflection</t>
  </si>
  <si>
    <t>hashy/q, +1, little louder and deflection</t>
  </si>
  <si>
    <t>hashy/q, +1, little louder</t>
  </si>
  <si>
    <t>hashy/q, +1, small deflection</t>
  </si>
  <si>
    <t>q, +1, deflection/ little fuzz</t>
  </si>
  <si>
    <t>hashy/q, +1, maybe baby ripples?</t>
  </si>
  <si>
    <t>hashy/q, +1, deflection and little fuzz then quiet again</t>
  </si>
  <si>
    <t>hashy/q, +1, deflection and fuzz</t>
  </si>
  <si>
    <t>c+, +1, cell gone, little fuzz and then quiet</t>
  </si>
  <si>
    <t>hashy/q, +1, quiet nc</t>
  </si>
  <si>
    <t>hashy, +1, deflection and fuzz</t>
  </si>
  <si>
    <t>hashy, +1, deflection and big fuzz</t>
  </si>
  <si>
    <t>hashy, +1, fuzzes, found c+</t>
  </si>
  <si>
    <t>c's, +1, big fuzz</t>
  </si>
  <si>
    <t>c+'s, +1, big fuzz and kill</t>
  </si>
  <si>
    <t>c-, +1 quieter and then fuzz</t>
  </si>
  <si>
    <t>q, +.5 baby ripples, +.5 small ripples</t>
  </si>
  <si>
    <t>hashy, +1, big fuzzes</t>
  </si>
  <si>
    <t>hashy/q, +1, quieter, found new cell</t>
  </si>
  <si>
    <t>hashy c, +1, big fuzz and kill</t>
  </si>
  <si>
    <t>hashy c, +1, quieter and then fuzz, now quieter again</t>
  </si>
  <si>
    <t>hashy c, +1, fuzz and deflections</t>
  </si>
  <si>
    <t>hashy, +1, fuzz, quieter</t>
  </si>
  <si>
    <t>hashy, lots of c's, +1, found huge c++, fuzz, now quieter</t>
  </si>
  <si>
    <t>hashy +1, big fuzz</t>
  </si>
  <si>
    <t>hashy c, +1, big fuzz, c++, now quieter</t>
  </si>
  <si>
    <t>lots of c's and c+'s, +1, big fuzz</t>
  </si>
  <si>
    <t>c++, +1, big fuzz kill cell gone</t>
  </si>
  <si>
    <t>turning 54, listening to 53, c+, +1 killed cell, big fuzzes</t>
  </si>
  <si>
    <t>turning 53, listening to 54: hashy c, +1 big fuzz and kill, now quieter</t>
  </si>
  <si>
    <t>turning 56, listening to 55, very hashy, +1, big deflection and fuzz and then quieter</t>
  </si>
  <si>
    <t>turning 55, listening 56, hashy, +1, big fuzz and deflection and new c's</t>
  </si>
  <si>
    <t>turning 58, listening to 57, hashy/q, +1, nc</t>
  </si>
  <si>
    <t>hashy, +1, deflection and new c</t>
  </si>
  <si>
    <t>hashy c, +1, deflection and fuzzes</t>
  </si>
  <si>
    <t>c+, +1 big fuzzes</t>
  </si>
  <si>
    <t>D4</t>
  </si>
  <si>
    <t>looking for references and cautiously approaching baby rips</t>
  </si>
  <si>
    <t>hashy/q, +.5</t>
  </si>
  <si>
    <t>hashy/q, +.5, fuzz and deflection, r---</t>
  </si>
  <si>
    <t>hashy/q, +.5, little deflection</t>
  </si>
  <si>
    <t>hashy/q, +.5, deflection, r---</t>
  </si>
  <si>
    <t>qq, leaving</t>
  </si>
  <si>
    <t>hashy/q, +.5, r---</t>
  </si>
  <si>
    <t>hashy/q, +.5, nc, +.5</t>
  </si>
  <si>
    <t>q, +.5, deflections</t>
  </si>
  <si>
    <t>hashy/q, +.5, big deflection</t>
  </si>
  <si>
    <t>hashy/q, +.5, deflection</t>
  </si>
  <si>
    <t>r- down, -.5, fuzz, now r- up</t>
  </si>
  <si>
    <t>hashy/q, +.5, r--</t>
  </si>
  <si>
    <t>q, +.5, nc</t>
  </si>
  <si>
    <t>hashy/q, +.5, fuzz</t>
  </si>
  <si>
    <t>hashy/q, +.5 fuzz</t>
  </si>
  <si>
    <t>hashy, +.5, nc, but r---</t>
  </si>
  <si>
    <t>hashy, +.5, +.5, deflection and louder</t>
  </si>
  <si>
    <t>q, +.5, r---, .25</t>
  </si>
  <si>
    <t>q, +.5</t>
  </si>
  <si>
    <t>r---</t>
  </si>
  <si>
    <t>hashy/q, +.5, r---?</t>
  </si>
  <si>
    <t>hashy, +.5 deflection and fuzz</t>
  </si>
  <si>
    <t>hashy, +.5 nc +.5, deflection and fuzz</t>
  </si>
  <si>
    <t>hashy, +.5, little deflection</t>
  </si>
  <si>
    <t>hashy, +.5 nc +.5 fuzz</t>
  </si>
  <si>
    <t>hashy c, +.5, fuzz</t>
  </si>
  <si>
    <t>hashy, +.5 nc +.5, maybe fuzz r--?</t>
  </si>
  <si>
    <t>hashy, +.5, r--</t>
  </si>
  <si>
    <t>r- up</t>
  </si>
  <si>
    <t>hashy c, +.5 fuzz</t>
  </si>
  <si>
    <t>hashy, +.5 kill</t>
  </si>
  <si>
    <t>hashy, +.5</t>
  </si>
  <si>
    <t>hashy c, +.5 nc +.5 big fuzz</t>
  </si>
  <si>
    <t>hashy, +.5 new cell</t>
  </si>
  <si>
    <t>hashy c, +.5, nc, +.5 fuzz and kill</t>
  </si>
  <si>
    <t>c, +.5, nc +.5 kill</t>
  </si>
  <si>
    <t>c, +.5, nc +.5, cell gone</t>
  </si>
  <si>
    <t>turning 54, listening to 53:
hashy c's, +.5 wasn't listening, +.5 big fuzz and kill</t>
  </si>
  <si>
    <t>turning 53, forgot to listen to this one, +1, now has a c</t>
  </si>
  <si>
    <t>turning 56, listening to 55, r--?</t>
  </si>
  <si>
    <t>turning 55, listening to 56, c's, +.5 cells gone</t>
  </si>
  <si>
    <t>turning 58, listening to 57</t>
  </si>
  <si>
    <t>hashy c, +.5 deflection and new c+'s</t>
  </si>
  <si>
    <t>hashy, +.5, big deflection and fuzz</t>
  </si>
  <si>
    <t>hashy c, +.5 deflection and fuzz</t>
  </si>
  <si>
    <t>c, +.5 small deflection, +.5 fuzz</t>
  </si>
  <si>
    <t>hashy/q, +.5, nc, +.5 big fuzz</t>
  </si>
  <si>
    <t>D5</t>
  </si>
  <si>
    <t>cautiously approaching rips</t>
  </si>
  <si>
    <t>hashy/q, +.5, deflections</t>
  </si>
  <si>
    <t>hashy/q, r--- +.5, little deflection</t>
  </si>
  <si>
    <t>hashy/q, r---, +.5</t>
  </si>
  <si>
    <t>r---, +.5, deflection, r--</t>
  </si>
  <si>
    <t>hashy/q, r--</t>
  </si>
  <si>
    <t>r- up, leaving</t>
  </si>
  <si>
    <t>hashy/q, +1/4, +1/4, little deflection</t>
  </si>
  <si>
    <t>r---, +.5</t>
  </si>
  <si>
    <t>r---, +1/4, +1/4</t>
  </si>
  <si>
    <t>r--, leaving today</t>
  </si>
  <si>
    <t>hashy/q, +5, r---</t>
  </si>
  <si>
    <t>r--, +.25</t>
  </si>
  <si>
    <t>potential reference, leaving, r---</t>
  </si>
  <si>
    <t>r---, +1/4</t>
  </si>
  <si>
    <t>hashy c-, r---, +.25, r--</t>
  </si>
  <si>
    <t>hashy/q, +1/4, +1/4, little deflection, r---</t>
  </si>
  <si>
    <t>hashy, +.5, +.5, deflection and kill</t>
  </si>
  <si>
    <t>hashy c, +.5, little deflection</t>
  </si>
  <si>
    <t>hashy, c, +.5, nc, +.5, big deflection and kill</t>
  </si>
  <si>
    <t>hashy, +.5, big deflection</t>
  </si>
  <si>
    <t>q, leaving as potential ref</t>
  </si>
  <si>
    <t>hashy c-, +.5, nc, +.5 deflection and fuzz</t>
  </si>
  <si>
    <t>hashy, +.5, fuzz</t>
  </si>
  <si>
    <t>hashy, +.5, deflections, arches still, +.5 big deflection and kill</t>
  </si>
  <si>
    <t>hashy c's, +.5</t>
  </si>
  <si>
    <t>hashy/q, +.5, kill, arches still, +.5 big fuzz and kill, now quieter</t>
  </si>
  <si>
    <t>hashy, r---, +1/4, +1/4</t>
  </si>
  <si>
    <t>hashy, +.5 deflection</t>
  </si>
  <si>
    <t>hashy, +1/4, bursty cell dying</t>
  </si>
  <si>
    <t>hashy, +1/4, r---, +1/4, deflections</t>
  </si>
  <si>
    <t>turning 54, listening to 53: hashy, +.5, found a cell</t>
  </si>
  <si>
    <t>turning 53, listening to 54: hashy c, +1/4, +1/4, deflection</t>
  </si>
  <si>
    <t>turning 56, listening to 55, r---, +1/4, +1/4</t>
  </si>
  <si>
    <t>turning 55, listening to 56, hashy c's, +.5, cell gone</t>
  </si>
  <si>
    <t>maybe r---?, leaving for now</t>
  </si>
  <si>
    <t>hashy c's, +.5, nc, +.5, big deflection and fuzz</t>
  </si>
  <si>
    <t>hashy c, +.5, nc, +.5, fuzz</t>
  </si>
  <si>
    <t>hashy, +.5, deflection, cell incoming</t>
  </si>
  <si>
    <t>leaving, potentail ref</t>
  </si>
  <si>
    <t>D6</t>
  </si>
  <si>
    <t>hashy/q, +.5, little deflections</t>
  </si>
  <si>
    <t>hashy/q, +.5, +.5</t>
  </si>
  <si>
    <t>hashy/q, +.5, deflection, +.5, deflections and fuzz</t>
  </si>
  <si>
    <t>hashy/q, +.5 deflections</t>
  </si>
  <si>
    <t>hashy c-, +.5, +.5 fuzz</t>
  </si>
  <si>
    <t>hashy c-, +.5, nc, +.5 little deflection</t>
  </si>
  <si>
    <t>hashy, +.5, deflection and fuzz</t>
  </si>
  <si>
    <t>hashy/q, +.5, little deflections, +.5</t>
  </si>
  <si>
    <t>hashy, r---, +1/4</t>
  </si>
  <si>
    <t>hashy, +.5, deflections, +.5</t>
  </si>
  <si>
    <t>r- up, +1/8</t>
  </si>
  <si>
    <t>hashy, +1/4, +1/4, r---</t>
  </si>
  <si>
    <t>cells, r--, +1/4</t>
  </si>
  <si>
    <t>hashy/q, +.5, +.5 , deflection and now r--</t>
  </si>
  <si>
    <t>hashy/q r---, +1/4, c-, +1/4</t>
  </si>
  <si>
    <t>q, +1/2, deflection, found a cell</t>
  </si>
  <si>
    <t>r---, +1/4, r--</t>
  </si>
  <si>
    <t>r--, +1/4</t>
  </si>
  <si>
    <t>leaving</t>
  </si>
  <si>
    <t>hashy/q, r---, +1/4, +1/4</t>
  </si>
  <si>
    <t>r- up leaving</t>
  </si>
  <si>
    <t>hashy/q, +1/4, +1/4 r---</t>
  </si>
  <si>
    <t>hashy, +.5, nc +.5 deflection and fuzz</t>
  </si>
  <si>
    <t>hashy, c-, +.5 nc +.5 deflection</t>
  </si>
  <si>
    <t>hashy, +.5, +.5 big deflection</t>
  </si>
  <si>
    <t>hashy, +.5, +.5</t>
  </si>
  <si>
    <t>hashy, +.5, deflection</t>
  </si>
  <si>
    <t>hashy c's, +.5, nc, +.5, deflection</t>
  </si>
  <si>
    <t>hashy c, +.5, +.5, deflection</t>
  </si>
  <si>
    <t>hashy, +.5 fuzz</t>
  </si>
  <si>
    <t>hashy, +.5, found a cell</t>
  </si>
  <si>
    <t>hashy, +.5, +.5, deflection and fuzz</t>
  </si>
  <si>
    <t>hashy, c +1/2, big deflection, quieter</t>
  </si>
  <si>
    <t>hashy, c, +1/4, deflection</t>
  </si>
  <si>
    <t>hashy c, +1/4, deflection and kill</t>
  </si>
  <si>
    <t>turning 54, listening to 53:
hashy c-, +.5</t>
  </si>
  <si>
    <t>turning 53, listening to 54: hashy, +1/4, little deflection</t>
  </si>
  <si>
    <t>turning 56, listening to 55, +1/4, +1/4, deflection and fuzz</t>
  </si>
  <si>
    <t>turning 55, listening to 56: hashy, +.5 big fuzz and kill</t>
  </si>
  <si>
    <t>leaving for now</t>
  </si>
  <si>
    <t>turning 57, listening to 58:
has neural signals today???, +1/2, deflection, +1/2
no idea what depth it's at??</t>
  </si>
  <si>
    <t>hashy, +.5, nc +.5 big deflection and kill</t>
  </si>
  <si>
    <t>hashy, +.5, fuzz, +.5 deflection and kill</t>
  </si>
  <si>
    <t>hashy, +.5, nc, +.5 fuzz</t>
  </si>
  <si>
    <t>D7</t>
  </si>
  <si>
    <t>some dead tets coming back to life??, solid ripples on a few, little ripples on a bunch</t>
  </si>
  <si>
    <t>q/hashy, +.5 deflection</t>
  </si>
  <si>
    <t>hashy +.5 deflection, fuzz</t>
  </si>
  <si>
    <t>hashy c-, +.5nc</t>
  </si>
  <si>
    <t>q potential ref</t>
  </si>
  <si>
    <t>hashy +.5 nc</t>
  </si>
  <si>
    <t>hashy +.5deflection, louder</t>
  </si>
  <si>
    <t>hashy +.5 r---</t>
  </si>
  <si>
    <t>no longer dead?? at 11, +1 nc +.5 nc</t>
  </si>
  <si>
    <t>potential ref?</t>
  </si>
  <si>
    <t>hashy +1/2 deflection, fuzz</t>
  </si>
  <si>
    <t>q +.5 big deflection</t>
  </si>
  <si>
    <t xml:space="preserve">hashy r--- +1/8 </t>
  </si>
  <si>
    <t>hashy +.5deflection louder</t>
  </si>
  <si>
    <t>r up</t>
  </si>
  <si>
    <t>r--- +1/8 r-</t>
  </si>
  <si>
    <t>r-- leaving</t>
  </si>
  <si>
    <t xml:space="preserve">r---- +1/8 </t>
  </si>
  <si>
    <t xml:space="preserve">hashy +.5 deflection </t>
  </si>
  <si>
    <t>hashy +.5 deflection</t>
  </si>
  <si>
    <t>r--</t>
  </si>
  <si>
    <t>hashy +.25 potential r----</t>
  </si>
  <si>
    <t>hashy, +.5  duflection, fuzz, +.5 louder</t>
  </si>
  <si>
    <t>no longer dead?? at 11, +.5 nc, +.5 nc, +.5 nc</t>
  </si>
  <si>
    <t>hashy, +.25 r louder, r-</t>
  </si>
  <si>
    <t xml:space="preserve">r- flat/up, leaving </t>
  </si>
  <si>
    <t>hashy q, +.25, nc +.25 deflection fuzz</t>
  </si>
  <si>
    <t>hashy/q, +.5 no change</t>
  </si>
  <si>
    <t>hashy/q, +.5, +.5, big deflection</t>
  </si>
  <si>
    <t>hashy, +.5, little deflection, +.5, big deflection</t>
  </si>
  <si>
    <t>hashy, +.5, +.5, little deflection and c</t>
  </si>
  <si>
    <t>hashy, r--, +1/8, +1/8</t>
  </si>
  <si>
    <t>r--, +1/16</t>
  </si>
  <si>
    <t>hashy r--, +1/8</t>
  </si>
  <si>
    <t>hashy, r---, +1/8, +1/8</t>
  </si>
  <si>
    <t>hashy, +1/4</t>
  </si>
  <si>
    <t>r--, +1/8</t>
  </si>
  <si>
    <t>hashy/q, +1/4, +1/4, r---</t>
  </si>
  <si>
    <t>hashy c, +.5</t>
  </si>
  <si>
    <t>hashy, r---, +1/4 +1/4</t>
  </si>
  <si>
    <t xml:space="preserve">r---, +1/4, +1/4, </t>
  </si>
  <si>
    <t>r---, +1/4, deflections, +1/4</t>
  </si>
  <si>
    <t>turning 54, listening to 53, hashy c-, +.5, fuzz and kill</t>
  </si>
  <si>
    <t>turning 53, listening to 54: hashy, +1/4, little deflection, +1/4</t>
  </si>
  <si>
    <t>turning 56, listening to 55:, hashy c-, +.5</t>
  </si>
  <si>
    <t>turning 55, listening to 56, +.5, +.5, little fuzz</t>
  </si>
  <si>
    <t>looks exactly the same as 57, not dead? turning 57, listening to 58: +.5, deflection and fuzz</t>
  </si>
  <si>
    <t>hashy, +1/4, +1/4</t>
  </si>
  <si>
    <t>hashy, +.5, louder</t>
  </si>
  <si>
    <t>D8</t>
  </si>
  <si>
    <t>potential reference</t>
  </si>
  <si>
    <t>q +.25 deflection, hashy</t>
  </si>
  <si>
    <t>r leaving</t>
  </si>
  <si>
    <t>q r-- +1/8 deflection</t>
  </si>
  <si>
    <t>q</t>
  </si>
  <si>
    <t xml:space="preserve">r- c+ +1/16 </t>
  </si>
  <si>
    <t>r--- +1/8</t>
  </si>
  <si>
    <t>r- leaving for now</t>
  </si>
  <si>
    <t>qq potential ref</t>
  </si>
  <si>
    <t>def dead</t>
  </si>
  <si>
    <t xml:space="preserve">q r- +1/16 </t>
  </si>
  <si>
    <t xml:space="preserve">abandoning as ref, +1/4 </t>
  </si>
  <si>
    <t>q +1/4  r++ (up)</t>
  </si>
  <si>
    <t xml:space="preserve">q r-- +1/8 </t>
  </si>
  <si>
    <t>hashy r--- +1/8 def</t>
  </si>
  <si>
    <t>hashy r- +1/16</t>
  </si>
  <si>
    <t>r--, +1/16, +1/16 r-</t>
  </si>
  <si>
    <t>r---, +1/16x2</t>
  </si>
  <si>
    <t>r---, +1/8, +1/8, louder r--</t>
  </si>
  <si>
    <t>q, +1/8, +1/8, +1/8</t>
  </si>
  <si>
    <t>r-- +1/8</t>
  </si>
  <si>
    <t>r--, +1/16, +1/16</t>
  </si>
  <si>
    <t>r- up, +1/16</t>
  </si>
  <si>
    <t>q, +1/2, +1/2, +1/2, nc, but looks similar to its neighbors</t>
  </si>
  <si>
    <t>r-, flat/up</t>
  </si>
  <si>
    <t>hashy/q, +1/4, r--</t>
  </si>
  <si>
    <t>hashy/q, +1/4, fuzz</t>
  </si>
  <si>
    <t>r---, +1/8, r--</t>
  </si>
  <si>
    <t>c-, r--, +1/16, +1/16</t>
  </si>
  <si>
    <t>hashy/q, +1/4, +1/4</t>
  </si>
  <si>
    <t>hashy/q, r---, +1/8, +1/8</t>
  </si>
  <si>
    <t>hashy/q, r---, +1/8, deflection, r--</t>
  </si>
  <si>
    <t>r---, +1/8, +1/8</t>
  </si>
  <si>
    <t>hashy/q, +1/4, c-, +1/4, r---</t>
  </si>
  <si>
    <t>hashy/q, r--, +1/16, +1/16</t>
  </si>
  <si>
    <t>hashy/q, +1/4, +1/8 r--</t>
  </si>
  <si>
    <t>hashy/q, +1/4, r---</t>
  </si>
  <si>
    <t>q r--- +1/4 fuzz deflection</t>
  </si>
  <si>
    <t>q +1/4  fuzz hashy</t>
  </si>
  <si>
    <t>r--- q +1/8 nc</t>
  </si>
  <si>
    <t>r-- +1/4 fuzz deflection</t>
  </si>
  <si>
    <t>turning 54, listening to 53, q +1/4 nc</t>
  </si>
  <si>
    <t>turning 53, listening to 54: c++, +1/16 nc +1/16 +c</t>
  </si>
  <si>
    <t>turning 56, listening to 55:, hashy, +.25 nc</t>
  </si>
  <si>
    <t>turning 55, listening to 56, +.25</t>
  </si>
  <si>
    <t xml:space="preserve">turning 58, q +.5 pop still q </t>
  </si>
  <si>
    <t>potentially dead +1 deflection, I think the acrylic around the screw cracked because the shuttle bottomed out, no longer turning this one</t>
  </si>
  <si>
    <t>hashy +.25</t>
  </si>
  <si>
    <t>hashy c +.25</t>
  </si>
  <si>
    <t xml:space="preserve">q +1/4 </t>
  </si>
  <si>
    <t>D9</t>
  </si>
  <si>
    <t>61 is probs best can2 ref option</t>
  </si>
  <si>
    <t>q r-- +1/8 r-</t>
  </si>
  <si>
    <t>r+ flat</t>
  </si>
  <si>
    <t>q r-- +1/16 x2 big fuzz deflection</t>
  </si>
  <si>
    <t>r+ c+</t>
  </si>
  <si>
    <t>r flat</t>
  </si>
  <si>
    <t>r-- up +1/16 x2 r louder</t>
  </si>
  <si>
    <t>r+ flat 900 spread</t>
  </si>
  <si>
    <t>qq</t>
  </si>
  <si>
    <t>q +1/8 x2 big deflection</t>
  </si>
  <si>
    <t>r flat/down</t>
  </si>
  <si>
    <t>r+ up</t>
  </si>
  <si>
    <t>r down, -1/8 x2 r flat</t>
  </si>
  <si>
    <t>r flat, 350 spread</t>
  </si>
  <si>
    <t>r flat, 650 spread</t>
  </si>
  <si>
    <t>r flat, splash</t>
  </si>
  <si>
    <t>q r-- +1/16 r louder</t>
  </si>
  <si>
    <t>r flat/up</t>
  </si>
  <si>
    <t>r+, 400 spread</t>
  </si>
  <si>
    <t>r flat, 500 spread</t>
  </si>
  <si>
    <t>r+ flat/up, 350</t>
  </si>
  <si>
    <t>r- +1/16 r louder</t>
  </si>
  <si>
    <t>hashy r+</t>
  </si>
  <si>
    <t>hashy c-, r---, +1/4</t>
  </si>
  <si>
    <t>r---, +1/8</t>
  </si>
  <si>
    <t>r---, +1/8x2, r--</t>
  </si>
  <si>
    <t>turning 58, listening to 57,</t>
  </si>
  <si>
    <t>hashy/q, r---, +1/4</t>
  </si>
  <si>
    <t>r-, +1/16</t>
  </si>
  <si>
    <t>hashy, r--, +1/16, r-</t>
  </si>
  <si>
    <t>r--, +1/16x2</t>
  </si>
  <si>
    <t>hashy c, r---, +1/16x2</t>
  </si>
  <si>
    <t>turning 54, listening to 53: r--, +1/8</t>
  </si>
  <si>
    <t>turning 53, listening to 54: r---, +1/16x2</t>
  </si>
  <si>
    <t>turning 56, listening to 55, r---, +1/8</t>
  </si>
  <si>
    <t>turning 55, listening to 56: r---, +1/8x2</t>
  </si>
  <si>
    <t>NO TURNING 58 ANYMORE turning 58, listening to 57,</t>
  </si>
  <si>
    <t>turning 57, listening to 58: +1/2 deflection, +1/2, deflections</t>
  </si>
  <si>
    <t>r---, +1/4 deflections</t>
  </si>
  <si>
    <t>leaving as reference</t>
  </si>
  <si>
    <t>leaving, but might not be a good candidate anymore</t>
  </si>
  <si>
    <t>D10</t>
  </si>
  <si>
    <t>edited config to implement refs and switch mis-pinned tetrodes (53-58)</t>
  </si>
  <si>
    <t>q r-- +1/16 x2</t>
  </si>
  <si>
    <t>r+ flat splash</t>
  </si>
  <si>
    <t>q r--- +1/16 x1 c+</t>
  </si>
  <si>
    <t>r++ flat splash</t>
  </si>
  <si>
    <t>r+ flat 600</t>
  </si>
  <si>
    <t>r flat splash</t>
  </si>
  <si>
    <t>r--- +1/16 x2 big fuzz c++ r++</t>
  </si>
  <si>
    <t>r flat/down splash</t>
  </si>
  <si>
    <t>q r--- +1/16 x2 nc</t>
  </si>
  <si>
    <t>r flat 500</t>
  </si>
  <si>
    <t>r down</t>
  </si>
  <si>
    <t>r flat 400</t>
  </si>
  <si>
    <t>q  +1/16 x2 nc</t>
  </si>
  <si>
    <t>hashy +1/8 x3 nc</t>
  </si>
  <si>
    <t>hashy +1/4 x2 r</t>
  </si>
  <si>
    <t>r-- +1/4 x1 r-</t>
  </si>
  <si>
    <t>r up +1/16 r louder</t>
  </si>
  <si>
    <t>q +1/8 x3 pop r+</t>
  </si>
  <si>
    <t>r flat/up +1/16  x1</t>
  </si>
  <si>
    <t>Hashy, +1/2 x2, qq, r--- -1/4 x3</t>
  </si>
  <si>
    <t>r up, +1/16</t>
  </si>
  <si>
    <t>hashy r- +1/16 louder</t>
  </si>
  <si>
    <t>r-- +1/16 x4 r+ flat</t>
  </si>
  <si>
    <t>r-- +1/16 x2</t>
  </si>
  <si>
    <t>r- +1/16</t>
  </si>
  <si>
    <t>r- +1/16 x2 r</t>
  </si>
  <si>
    <t>r- c- +1/16 c+</t>
  </si>
  <si>
    <t xml:space="preserve">r-- +1/16 </t>
  </si>
  <si>
    <t>r- 260</t>
  </si>
  <si>
    <t>r-- c- +1/16 x1</t>
  </si>
  <si>
    <t>r-- +1/16 x3 nc</t>
  </si>
  <si>
    <t>r- +1/16 x3</t>
  </si>
  <si>
    <t>turning 54, listening to 53: r-- +1/16 x3</t>
  </si>
  <si>
    <t>turning 56, listening to 55, r---, +1/16 x2</t>
  </si>
  <si>
    <t>turning 55, listening to 56: r---, +1/16 x4</t>
  </si>
  <si>
    <t>turning 57, listening to 58: +1/2 x3 fuzz, k</t>
  </si>
  <si>
    <t>q +1/8 x2 r-- +1/8 r--</t>
  </si>
  <si>
    <t>hashy +1/8 x2 r---</t>
  </si>
  <si>
    <t>r-- +1/16 x3</t>
  </si>
  <si>
    <t>hashy +1/2 x2 fuzz k, +1/2 c++</t>
  </si>
  <si>
    <t>D11</t>
  </si>
  <si>
    <t>q, r---, +1/8x3, little louder</t>
  </si>
  <si>
    <t>r+ flat, splash</t>
  </si>
  <si>
    <t>q, r---, +1/8x2, deflections, now r-</t>
  </si>
  <si>
    <t>r flat/up, +1/16x2</t>
  </si>
  <si>
    <t>r+ flat, +1/16</t>
  </si>
  <si>
    <t>r-, +1/16x4, louder</t>
  </si>
  <si>
    <t>r+ flat, 500</t>
  </si>
  <si>
    <t>r+ flat, 570</t>
  </si>
  <si>
    <t>r down, +1/4, +1/8x2, flat, spread growing</t>
  </si>
  <si>
    <t>r-, touching it caused big fuzz! but then quieted down again +1/16x2</t>
  </si>
  <si>
    <t>r+ flat/up 650</t>
  </si>
  <si>
    <t>r+ flat/up, 450</t>
  </si>
  <si>
    <t>r down, +1/8x7, r flat, kinda quiet?</t>
  </si>
  <si>
    <t xml:space="preserve">r down, -1/2 -1/4 -1/4 -1/8, r+ flat </t>
  </si>
  <si>
    <t>r+ flat 450</t>
  </si>
  <si>
    <t>r+ flat 750</t>
  </si>
  <si>
    <t>r down, -1/8 x4, r+ flat</t>
  </si>
  <si>
    <t>r- up, +1/16 x2, r- little louder</t>
  </si>
  <si>
    <t>r+ flat/up, 400</t>
  </si>
  <si>
    <t>r+ flat/up 450</t>
  </si>
  <si>
    <t>r up, +1/16 x2, r little louder</t>
  </si>
  <si>
    <t>r down, -1/8 x2 -1/16 x4, r+ flat</t>
  </si>
  <si>
    <t>r+ up, 1/16, r+</t>
  </si>
  <si>
    <t>r+ flat/up</t>
  </si>
  <si>
    <t>r+ down, -1/16 x6, r+ flat</t>
  </si>
  <si>
    <t>r- up, +1/16 x3, r- up</t>
  </si>
  <si>
    <t>q, +1/4, +1/8x4 nc</t>
  </si>
  <si>
    <t>r- flat/up, +1/8x3, deflection</t>
  </si>
  <si>
    <t>r---, +1/8x3, deflection, little louder</t>
  </si>
  <si>
    <t>r--, +1/8x2</t>
  </si>
  <si>
    <t>q, r---, +1/8x3</t>
  </si>
  <si>
    <t>r- small, +1/16x2, deflection</t>
  </si>
  <si>
    <t>r- up, +1/8x2</t>
  </si>
  <si>
    <t>r---, +1/8x2, r+ proper!</t>
  </si>
  <si>
    <t>r+ flat/up, +1/16</t>
  </si>
  <si>
    <t>r--, +1/8x2, r-</t>
  </si>
  <si>
    <t>r--, +1/8, little louder</t>
  </si>
  <si>
    <t>q, +1/8, little eflection, +1/8, deflection</t>
  </si>
  <si>
    <t>r--, +1/8x3, c!</t>
  </si>
  <si>
    <t>r--, +1/8, +1/16x3, r-</t>
  </si>
  <si>
    <t>r---, +1/8x2, +1/16, r-</t>
  </si>
  <si>
    <t>q, r--- +1/8x3</t>
  </si>
  <si>
    <t>r- up, +1/16, deflection, +1/16</t>
  </si>
  <si>
    <t>q, r---, +1/8x3, little louder?</t>
  </si>
  <si>
    <t>r--, +1/16, big deflection, +1/16, +1/16, found big cell!, r-</t>
  </si>
  <si>
    <t>q, +1/8x3 little deflection, r--</t>
  </si>
  <si>
    <t>r---, +1/8x3, little deflection and fuzz</t>
  </si>
  <si>
    <t>q, +1/8x3</t>
  </si>
  <si>
    <t>q, +1/8x3, r--</t>
  </si>
  <si>
    <t>q, +.25, fuzz and c's, +1/4, big fuzz and kill, +1/2, big fuzzes, +1/2</t>
  </si>
  <si>
    <t>q, +1/8x4, nc</t>
  </si>
  <si>
    <t>hashy, +1/8x2</t>
  </si>
  <si>
    <t>r---, +1/8, +1/16x2</t>
  </si>
  <si>
    <t>hashy/q, +1/2, big deflection and fuzz, +1/4x2, deflection</t>
  </si>
  <si>
    <t>D12</t>
  </si>
  <si>
    <t>fine tune can1, push on can2! get them out of collosum</t>
  </si>
  <si>
    <t>hashy/q, +1/4x3, deflection and r--</t>
  </si>
  <si>
    <t>r+ flat, lots of cells, 400 spread, +1/16</t>
  </si>
  <si>
    <t>r up, small, +1/8, +1/16x2</t>
  </si>
  <si>
    <t>ref_ch: ch1</t>
  </si>
  <si>
    <t>r+ flat/up, 400 spread, +1/16</t>
  </si>
  <si>
    <t>r+ flat, 700 spread</t>
  </si>
  <si>
    <t>r flat/down, 500 spread</t>
  </si>
  <si>
    <t>r-, +1/8, +1/16x3, louder</t>
  </si>
  <si>
    <t>r+ flat, 750 spread</t>
  </si>
  <si>
    <t>r+ flat, 450</t>
  </si>
  <si>
    <t>r+ flat/up, one big cell</t>
  </si>
  <si>
    <t>r+ flat/up, splash</t>
  </si>
  <si>
    <t>r+ flat/down, 550 spread, -1/8x2, found a bunch of new cells</t>
  </si>
  <si>
    <t>r+ flat down 400, -1/8x2, flat</t>
  </si>
  <si>
    <t>r+ flat, 700</t>
  </si>
  <si>
    <t>q, r-- flat small, +1/8x4, louder</t>
  </si>
  <si>
    <t>r+ flat/up, 400, +1/16</t>
  </si>
  <si>
    <t>r up, +1/16x4</t>
  </si>
  <si>
    <t>r+ flat/down 450</t>
  </si>
  <si>
    <t>r+ flat/up, 600 spread</t>
  </si>
  <si>
    <t>r+ flat/down, -1/8x2, flat</t>
  </si>
  <si>
    <t>r- small, +1/8x2, deflection, a little louder</t>
  </si>
  <si>
    <t>r- small, +1/16x4</t>
  </si>
  <si>
    <t>q, +1/4x4, deflection and popped in!, r-</t>
  </si>
  <si>
    <t>r---, +1/4, big deflection, +1/4, r-</t>
  </si>
  <si>
    <t>r- small, +1/8x4, +1/4, r</t>
  </si>
  <si>
    <t>r-- up small, +1/4, big fuzz and deflection</t>
  </si>
  <si>
    <t>r-- up small, +1/4x3, found a bunch of new cells</t>
  </si>
  <si>
    <t>r up, +1/8x4, deflection and fuzz</t>
  </si>
  <si>
    <t>ref_ch: ch2</t>
  </si>
  <si>
    <t>r up, +1/4, +1/8x2, r+</t>
  </si>
  <si>
    <t>r+ up, accidentally turned 1 extra turn down, -1/4x2, spread growing</t>
  </si>
  <si>
    <t>r- up, +1/16x4, nc, accidentally turned 1 extra turn down, -1/4, -1/8x3</t>
  </si>
  <si>
    <t>r-- up, +1/8, hashier with deflection, +1/8x3</t>
  </si>
  <si>
    <t>r--, +1/8, little deflection, +1/8, +1/8x2, nc</t>
  </si>
  <si>
    <t>r--, +1/8x2, +1/16x2, louder</t>
  </si>
  <si>
    <t>r-, +1/8, +1/16</t>
  </si>
  <si>
    <t>r---, +1/8x2, deflection and fuzz</t>
  </si>
  <si>
    <t>r---, +1/8x2, little deflection, +1/8, found a bunch of cells</t>
  </si>
  <si>
    <t>r---, +1/8, deflection, +1/8x2, deflection but no change in rips, +1/8, found some cells</t>
  </si>
  <si>
    <t>hashy/q, r--, +1/8x2, a little louder, +1/8, louder</t>
  </si>
  <si>
    <t>r--, +1/8x2, deflection, +1/8, found a cell</t>
  </si>
  <si>
    <t>q, r--, +1/8x2, louder, +1/16x2, r--, accidentally went one more 1/8 later on</t>
  </si>
  <si>
    <t>hashy/q, r---, +1/4 deflection and fuzz, +1/8, found a cell, +1/8</t>
  </si>
  <si>
    <t>q, +1/4, +1/8x2 nc</t>
  </si>
  <si>
    <t>q, r---, +1/8x2, deflection, +1/8 found a cell on ch2</t>
  </si>
  <si>
    <t>hashy, c-, +1/2x2 c's and little deflection</t>
  </si>
  <si>
    <t>q, +1/8, deflection, +1/8, r--</t>
  </si>
  <si>
    <t>hashy, +1/8x2, big deflection</t>
  </si>
  <si>
    <t>abandoning as ref, +1/4, deflection +1/4</t>
  </si>
  <si>
    <t>hashy/q, +1/8x3</t>
  </si>
  <si>
    <t>hashy/q, +1/2, +1/4x2 nc</t>
  </si>
  <si>
    <t>D13</t>
  </si>
  <si>
    <t>qad3 is starting to look better, qad4 could still use an aggressive push to get it out of collosum, made good progress on quadrant 4. didn't get through everything on qad1 and 2 because he was getting really agitated (we started adjusting later in the day today)</t>
  </si>
  <si>
    <t>r up, small</t>
  </si>
  <si>
    <t>r+ flat/up, 300 decent spread</t>
  </si>
  <si>
    <t>r+ flat/up, +1/16x3, spread growing</t>
  </si>
  <si>
    <t>r+ flat, -1/8 -1/16x2, spread growing</t>
  </si>
  <si>
    <t>ref_ch: ch1, qq</t>
  </si>
  <si>
    <t>r+ flat, 350 spread, +1/16, spread growing</t>
  </si>
  <si>
    <t>r flat, small?, +1/16x2, deflection, spread changing</t>
  </si>
  <si>
    <t>r+ flat, 400 but nice spread</t>
  </si>
  <si>
    <t>r+ flat/up, nice spread, 550</t>
  </si>
  <si>
    <t>r+ flat, chs look super similar, might be merged, +1/16, big deflection and spread growing</t>
  </si>
  <si>
    <t>r+ flat, 400, +1/16</t>
  </si>
  <si>
    <t>r+ flat/up, small?, +1/16x3</t>
  </si>
  <si>
    <t>r+ flat, 450 spread mainly from one cell</t>
  </si>
  <si>
    <t>r+ flat/down, -1/16x2</t>
  </si>
  <si>
    <t>r+ flat/down, -1/16x4</t>
  </si>
  <si>
    <t>r+ down, -1/16x2</t>
  </si>
  <si>
    <t>r+ flat, 550</t>
  </si>
  <si>
    <t>r+ flat, 500 spread</t>
  </si>
  <si>
    <t>r- up, +1/8x3, deflection, +1/8, louder</t>
  </si>
  <si>
    <t>r up, +1/8</t>
  </si>
  <si>
    <t>r up, +1/16x2</t>
  </si>
  <si>
    <t>r up, lots of c's, +1/16x3</t>
  </si>
  <si>
    <t>r up, +1/8, +1/16x2, flat and louder</t>
  </si>
  <si>
    <t>r- up, +1/8, deflections, +1/8, louder</t>
  </si>
  <si>
    <t>r up, +1/8x2</t>
  </si>
  <si>
    <t>r-- flat, +1/8x3, big deflections and popped in, r+, spread growing</t>
  </si>
  <si>
    <t>r+ up, 450 spread</t>
  </si>
  <si>
    <t>r+ flat/down, 750 spread</t>
  </si>
  <si>
    <t>r- flat/up, +1/8, louder</t>
  </si>
  <si>
    <t>r- flat/up, +1/8x3, louder</t>
  </si>
  <si>
    <t>r- up, +1/8, +1/16x2</t>
  </si>
  <si>
    <t>r- up, c's, +1/8</t>
  </si>
  <si>
    <t>r-, +1/8x2, louder</t>
  </si>
  <si>
    <t>r-, +1/8x4</t>
  </si>
  <si>
    <t>r--, c, +1/4x2, big deflection and kill, c++</t>
  </si>
  <si>
    <t>r--, +1/8x3, little louder</t>
  </si>
  <si>
    <t>r---, +1/8x3, deflection, +1/8, big deflection</t>
  </si>
  <si>
    <t>r---, +1/4x3, huge deflection at the end, r-- and some cells!</t>
  </si>
  <si>
    <t>q, +1/2, little deflection, +1/4x2, tiny r---</t>
  </si>
  <si>
    <t>r--, +1/4x2, big deflection and fuzz</t>
  </si>
  <si>
    <t>hashy/q, r---, +1/2, +1/4x2 big fuzz and some louder rips!</t>
  </si>
  <si>
    <t>r---, +1/2, +1/4, rips!</t>
  </si>
  <si>
    <t>hashy/q, +1/2, deflections, +1/2, some baby rips, +1/4, now louder!</t>
  </si>
  <si>
    <t>hashy/q, +1/2, deflection, +1/4x2, +1/2, little rips!</t>
  </si>
  <si>
    <t>r---, +1/8x2, louder!</t>
  </si>
  <si>
    <t>q, +1/4, deflection, +1/4, +1/4, +1/8, +1/8, r---</t>
  </si>
  <si>
    <t>D14</t>
  </si>
  <si>
    <t>still have some room to go on quad3 --&gt; especially when unref, things are still slightly up. keep pushing on quad4. some decent spreads on quad1 and 2 but some could be better</t>
  </si>
  <si>
    <t>r flat/up, +1/16x2, a little louder +1/16</t>
  </si>
  <si>
    <t>r+ flat/up, +1/16, a little louder</t>
  </si>
  <si>
    <t>r flat, +1/8, +1/16x3, deflection</t>
  </si>
  <si>
    <t>r- flat, +1/8, +1/16x2</t>
  </si>
  <si>
    <t>r flat/down, -1/16, flat and got louder</t>
  </si>
  <si>
    <t>r, flat/down, 476 spread</t>
  </si>
  <si>
    <t>r down, -1/16x3, flat</t>
  </si>
  <si>
    <t>r flat, 476 spread</t>
  </si>
  <si>
    <t>r flat, distinct clusters, 596 spread</t>
  </si>
  <si>
    <t xml:space="preserve">r flat, some clusters around 500 spread, +1/16 </t>
  </si>
  <si>
    <t xml:space="preserve">r flat/up, 300 +1/16 </t>
  </si>
  <si>
    <t>r+ flat +1/16 x2</t>
  </si>
  <si>
    <t>r flat/up, +1/1x2</t>
  </si>
  <si>
    <t>r flat/down, +1/16, c+</t>
  </si>
  <si>
    <t>r flat/down, +1/16, nc</t>
  </si>
  <si>
    <t>r flat/up, +1/16</t>
  </si>
  <si>
    <t>r flat c+</t>
  </si>
  <si>
    <t>r flat, +1/16x2, little louder, c</t>
  </si>
  <si>
    <t>r+ flat, 450 spread, +1/16, little louder</t>
  </si>
  <si>
    <t xml:space="preserve">r+ flat, spread 350, +1/16 </t>
  </si>
  <si>
    <t>r+ flat/ up, +1/16 x2</t>
  </si>
  <si>
    <t>r+ flat/down, +1/16 x2</t>
  </si>
  <si>
    <t>r+ flat/up 350 clustered</t>
  </si>
  <si>
    <t>r+ flat/down, +1/16 x1</t>
  </si>
  <si>
    <t>r+ flat, +1/16x2</t>
  </si>
  <si>
    <t xml:space="preserve">r- flat, +1/16 </t>
  </si>
  <si>
    <t>r+ up,. +1/16 x2</t>
  </si>
  <si>
    <t>r+ flat/up, +1/16x5</t>
  </si>
  <si>
    <t>r flat/up, +1/8x2, +1/16, deflection</t>
  </si>
  <si>
    <t>r flat/up, +1/8, +1/16x3</t>
  </si>
  <si>
    <t>r flat/up, +1/8x4, louder</t>
  </si>
  <si>
    <t>r flat/up, +1/8x6, louder</t>
  </si>
  <si>
    <t>ref_ch: ch2, q</t>
  </si>
  <si>
    <t>r+ up, +1/16x4</t>
  </si>
  <si>
    <t>r+ flat, 800 spread</t>
  </si>
  <si>
    <t>r- flat/up, +1/8x3, litlte deflection, +1/16x3</t>
  </si>
  <si>
    <t>r+ flat/up +1/16x4, flatter</t>
  </si>
  <si>
    <t>r- flat/up, +1/8, little deflection, louder, +1/16, spread changing</t>
  </si>
  <si>
    <t>r- flat, +1/8x2, +1/16, deflection</t>
  </si>
  <si>
    <t>r up, +1/8, +1/16x2, sounds louder</t>
  </si>
  <si>
    <t>r flat/up, +1/8, +1/16x2, spread changing</t>
  </si>
  <si>
    <t>r-, lots of cells, +1/8x5, louder and fuzz</t>
  </si>
  <si>
    <t>r+, 700 spread</t>
  </si>
  <si>
    <t>r--, +1/4x4, fuzz, a litte louder</t>
  </si>
  <si>
    <t>r---, +1/4, big deflection</t>
  </si>
  <si>
    <t>r up, 350 +1/16 x2</t>
  </si>
  <si>
    <t>r flat, splash, +1/16  deflection</t>
  </si>
  <si>
    <t xml:space="preserve">q +1/2 r-- </t>
  </si>
  <si>
    <t>r- +1/8 x2 deflection, c+</t>
  </si>
  <si>
    <t>q +1/4 fuzz +1/4 c+, +1/4 x2 deflection +1/4 x2 nc</t>
  </si>
  <si>
    <t>r+ flat, +1/16 x2 louder</t>
  </si>
  <si>
    <t>r flat +1/16 x3</t>
  </si>
  <si>
    <t>qq +1/8 x7 r-</t>
  </si>
  <si>
    <t>q, +1/8 x2 r-</t>
  </si>
  <si>
    <t>c+ +1/4, +1/8 x6 deflection, qq</t>
  </si>
  <si>
    <t xml:space="preserve">r flat/up, c+, 300, +1/16 </t>
  </si>
  <si>
    <t>r+ flat/up, +1/16 x2</t>
  </si>
  <si>
    <t xml:space="preserve">r-- flat, +1/16 x2 deflection, </t>
  </si>
  <si>
    <t>r- flat, +1/16 x3</t>
  </si>
  <si>
    <t>r flat/down, -1/16 x2</t>
  </si>
  <si>
    <t>r flat 350 spread +1/16 spread changing</t>
  </si>
  <si>
    <t xml:space="preserve">r flat 350 spread, </t>
  </si>
  <si>
    <t>r flat 450 spread +1/16</t>
  </si>
  <si>
    <t>r+ flat, 500 spread +1/16 x1</t>
  </si>
  <si>
    <t>r+ flat, 450 spread, +1/16 x2 c+</t>
  </si>
  <si>
    <t>r+ flat 300 spread +1/16 x1</t>
  </si>
  <si>
    <t>r- down -1/8 x2 r+ flat</t>
  </si>
  <si>
    <t>r flat, +1/16 x2</t>
  </si>
  <si>
    <t xml:space="preserve">r flat/ down 350 </t>
  </si>
  <si>
    <t>r fkat/down, c, 350, +1/16 x2</t>
  </si>
  <si>
    <t>r flat, +1/16 x3 c</t>
  </si>
  <si>
    <t>r flat 700</t>
  </si>
  <si>
    <t>r flat, +1/16 x3</t>
  </si>
  <si>
    <t>r+ flat, 400, +1/16 x3 c+</t>
  </si>
  <si>
    <t>r+ flat 400, +1/16 x2</t>
  </si>
  <si>
    <t>r+ flat, +1/16 x3</t>
  </si>
  <si>
    <t>r+ flat, 350 spread, +1/16 x3 c</t>
  </si>
  <si>
    <t>r+ flat, +1/16 x2</t>
  </si>
  <si>
    <t xml:space="preserve">r+ flat, +1/16 x2 </t>
  </si>
  <si>
    <t>r+ flat, +1/16 x6 louder c+</t>
  </si>
  <si>
    <t>r+ up +1/16 x4</t>
  </si>
  <si>
    <t>r up, +1/16x6, flatter</t>
  </si>
  <si>
    <t>r flat, quiet, +1/8, deflection, +1/8, deflection, +1/16, found a cell, spread changing</t>
  </si>
  <si>
    <t>r flat/up, +1/16x5, flatter? bigger?</t>
  </si>
  <si>
    <t>r flat/up, +1/8x2, deflection, +1/16x2, huge cell!!</t>
  </si>
  <si>
    <t>r+ up, 500 spread, +1/16x5</t>
  </si>
  <si>
    <t>r flat, 400 spread, +1/16, louder, +1/16, louder and fuzz, +1/16, louder</t>
  </si>
  <si>
    <t>r+ up, 400 spread, +1/16x2, louder, +1/16</t>
  </si>
  <si>
    <t>r flat/up, 700 spread but not great clusters, +1/16x3, found new cell maybe? +1/16x2, definitely louder</t>
  </si>
  <si>
    <t>r flat/up, +1/16x3, deflection, +1/16, deflection, spread changing</t>
  </si>
  <si>
    <t>r+ flat/up, +1/16x8, nc</t>
  </si>
  <si>
    <t>r--, +1/8x4, big deflection, +1/8, def louder</t>
  </si>
  <si>
    <t>r- flat, c, +1/8x2, +1/16x7, louder</t>
  </si>
  <si>
    <t>r- flat, +1/8x8, spread changing, little flatter?</t>
  </si>
  <si>
    <t>r- flat, +1/8x5, deflection, +1/8, big fuzz and louder and flatter</t>
  </si>
  <si>
    <t>r- flat, +1/8x5, huge fuzz and spread changing!</t>
  </si>
  <si>
    <t>r- flat, +1/8x3, little deflection, c, +1/8x2, little deflection, +1/8, spread growing</t>
  </si>
  <si>
    <t>r--, +1/4x2, +1/8x2, much louder and big cells!</t>
  </si>
  <si>
    <t>r---, +1/4, big deflection, +1/8x5, big fuzz, +1/8, huge fuzz and huge cells!</t>
  </si>
  <si>
    <t>r- flat, +1/16 x1</t>
  </si>
  <si>
    <t>r- flat, +1/16 x5</t>
  </si>
  <si>
    <t>r- +1/16 x3 deflection, +1/16 x2 c</t>
  </si>
  <si>
    <t>r- no spread, +1/16 x1 deflection louder</t>
  </si>
  <si>
    <t>hashy, +1/8 x7 louder, deflection</t>
  </si>
  <si>
    <t>r flat, splash +1/16 x5 nc</t>
  </si>
  <si>
    <t>r flat, small, +1/16 x4 big deflection, louder</t>
  </si>
  <si>
    <t>r flat tiny spread, +1/16 x3, r loud</t>
  </si>
  <si>
    <t>hashy +1/8 x2 big deflection, r</t>
  </si>
  <si>
    <t>r+ up 500 spread</t>
  </si>
  <si>
    <t>I think can2 moved up yesterday?</t>
  </si>
  <si>
    <t>r+ flat, +1/16 x4</t>
  </si>
  <si>
    <t xml:space="preserve">r---, +1/8 x3 big deflection, r+ </t>
  </si>
  <si>
    <t>r+ flat +1/16 x2 c+</t>
  </si>
  <si>
    <t xml:space="preserve">r+ flat/up, +1/16 x4 </t>
  </si>
  <si>
    <t>r+ flat, +1/16 x6 c+</t>
  </si>
  <si>
    <t>r+ flat, 350, +1/16 x8</t>
  </si>
  <si>
    <t>r+ flat -1/16 x4</t>
  </si>
  <si>
    <t>r+ down 400, +1/16 x2</t>
  </si>
  <si>
    <t>r flat -1/16 x4</t>
  </si>
  <si>
    <t>r flat, +1/16 x1</t>
  </si>
  <si>
    <t>r+ flat 500 spread</t>
  </si>
  <si>
    <t>r+ down -1/16 x4</t>
  </si>
  <si>
    <t>r+ 450 spread, +1/16 x2</t>
  </si>
  <si>
    <t xml:space="preserve">r+ flat </t>
  </si>
  <si>
    <t>r+ flat, +1/16 x6</t>
  </si>
  <si>
    <t>r+ flat +1/16 x4</t>
  </si>
  <si>
    <t>r+ flat/down +1/16 x4</t>
  </si>
  <si>
    <t>r+ flat/down +1/16 x3</t>
  </si>
  <si>
    <t>r+ flat +1/16 x1 c+</t>
  </si>
  <si>
    <t>r+ flat, +1/16 x5</t>
  </si>
  <si>
    <t>r+ flat, +1/16 x2, r down</t>
  </si>
  <si>
    <t>r+ flat, 400, +1/16 x4</t>
  </si>
  <si>
    <t>r+  flat 400 +1/16 x4</t>
  </si>
  <si>
    <t>r+ flat +1/16 x4 r down/flat c</t>
  </si>
  <si>
    <t>r+ flat/down +1/16 x6</t>
  </si>
  <si>
    <t>r+ flat/down, +1/16 x3 c</t>
  </si>
  <si>
    <t>r+ flat 500</t>
  </si>
  <si>
    <t>r+ up, +1/16 x6 c+</t>
  </si>
  <si>
    <t>r+ flat/up, +1/16x13</t>
  </si>
  <si>
    <t>r flat/up, 300 spread, +1/16x4</t>
  </si>
  <si>
    <t>r flat/up, +1/8x3, spread changing, new cell</t>
  </si>
  <si>
    <t>r+ flat, 550 spread</t>
  </si>
  <si>
    <t>r flat/up, 300 spread, +1/8x4, nc, +1/8, spread changing</t>
  </si>
  <si>
    <t>r+ flat/up, 300 spread, +1/16x3, flatter</t>
  </si>
  <si>
    <t>r+ flat, 1000 spread</t>
  </si>
  <si>
    <t>r flat/up, +1/8, deflection, +1/16x2, spread changing</t>
  </si>
  <si>
    <t>r flat/up, 400 spread, +1/16x5, little louder</t>
  </si>
  <si>
    <t>r flat/up, +1/8, +1/16x3, spread changing and lots of c's</t>
  </si>
  <si>
    <t>r-, +1/8x3, spread growing! big fuzz</t>
  </si>
  <si>
    <t>r flat, +1/8, +1/16x5, sounds a lot louder</t>
  </si>
  <si>
    <t>r flat/up, 350 spread, +1/16x3, louder and found a cell</t>
  </si>
  <si>
    <t>r flat/up, +1/16x6, cell in the background</t>
  </si>
  <si>
    <t>r-- quiet, 300 spread, +1/8x5, ripples are back</t>
  </si>
  <si>
    <t>r flat, 300 spread, +1/16x2, spread changing</t>
  </si>
  <si>
    <t>r-- flat, +1/8x8, ripples back</t>
  </si>
  <si>
    <t>r--- flat? quiet?, +1/8, +1/4, ripples back, +1/4, +1/8x6, found a cell, ripples again'</t>
  </si>
  <si>
    <t>r- flat/up, +1/16x8. little louder</t>
  </si>
  <si>
    <t>r--, +1/8x8, recoevered decent rips</t>
  </si>
  <si>
    <t>r---?, +1/4x2, +1/8x4, r-</t>
  </si>
  <si>
    <t>r--, +1/4, +1/8x4, little louder?, +1/8x2</t>
  </si>
  <si>
    <t>r--, flat, small, +1/8x7, spread changing</t>
  </si>
  <si>
    <t>r--, +1/8x8, louder for sure</t>
  </si>
  <si>
    <t>r---, +1/4x2, +1/8x4, spread changing, cell on ch4</t>
  </si>
  <si>
    <t>r up, +1/8x5, ripples sound nice</t>
  </si>
  <si>
    <t>rip detector</t>
  </si>
  <si>
    <t>can1 ref</t>
  </si>
  <si>
    <t xml:space="preserve">can2 ref </t>
  </si>
  <si>
    <t/>
  </si>
  <si>
    <t>hard to turn</t>
  </si>
  <si>
    <t>ch3 60hz</t>
  </si>
  <si>
    <t>ch2 dead?</t>
  </si>
  <si>
    <t>turns extremely easily</t>
  </si>
  <si>
    <t>turns easlly</t>
  </si>
  <si>
    <t>chs 2 &amp; 3 likely bridged</t>
  </si>
  <si>
    <t>ch3 dead</t>
  </si>
  <si>
    <t>post surgery. all chans start out with huge 60hz/high freq noise esp when touching the rat thensuddenly get quiet (in) after 5-10 turns, some end up with c's and kills, some just stay quiet; in general everything is pretty quiet, even the ones with cells</t>
  </si>
  <si>
    <t>all quiet at 5 fuzz in at 6, now qq</t>
  </si>
  <si>
    <t>10 no change</t>
  </si>
  <si>
    <t>all channels quiet at 6 then fuzz/k at 10</t>
  </si>
  <si>
    <t>started getting q at 5.5, c+ at 6, k at 8. c+ on ch4 ch 1 and 3 still very noisy</t>
  </si>
  <si>
    <t xml:space="preserve">quiet at 6 , hashy c </t>
  </si>
  <si>
    <t>q at 5.5/6, all in by 8</t>
  </si>
  <si>
    <t>ch4 in at 6, same at 8</t>
  </si>
  <si>
    <t xml:space="preserve">all quiet at 5, c+ at 6, kk to 7 </t>
  </si>
  <si>
    <t xml:space="preserve">all quiet, big fuzz at 5, c+ k at 7 </t>
  </si>
  <si>
    <t>all quiet at 5, q</t>
  </si>
  <si>
    <t xml:space="preserve">quiet at 6, c </t>
  </si>
  <si>
    <t xml:space="preserve">ch4 quiet at 5, c+ by 7 ch3 getting there but chs 1 and 2 still noisy </t>
  </si>
  <si>
    <t xml:space="preserve">quiet at 5.5, c++ </t>
  </si>
  <si>
    <t xml:space="preserve">ch2 in at 5.5 , c+ k. ch3 and 4 still noisy </t>
  </si>
  <si>
    <t>quieter at 6 but not fully, still pretty noisy at 9</t>
  </si>
  <si>
    <t>ch3 in at 5, c+ . otherchans noisy</t>
  </si>
  <si>
    <t>quiet at 4</t>
  </si>
  <si>
    <t>ch2 at 6, but then back, all quiet at 8, c's</t>
  </si>
  <si>
    <t>quiet at 8, c's and kills!</t>
  </si>
  <si>
    <t>quiet at 6, c's</t>
  </si>
  <si>
    <t>quiet at 3</t>
  </si>
  <si>
    <t>quiet at 9, c's and kills!</t>
  </si>
  <si>
    <t>quiet at 7</t>
  </si>
  <si>
    <t>quiet at 6</t>
  </si>
  <si>
    <t>quiet at 10, c's and kills!</t>
  </si>
  <si>
    <t>all quiet at 7.5, c's!</t>
  </si>
  <si>
    <t>all quiet at 6, c+ and kill, back to quiet</t>
  </si>
  <si>
    <t>all quiet at 7</t>
  </si>
  <si>
    <t>all but ch1 quiet at 6</t>
  </si>
  <si>
    <t>all quiet at 6, c and some kills</t>
  </si>
  <si>
    <t>all quiet at 5</t>
  </si>
  <si>
    <t>all quiet at 4</t>
  </si>
  <si>
    <t>all quiet at 5, c+</t>
  </si>
  <si>
    <t>all quiet at 6</t>
  </si>
  <si>
    <t>all quiet at 4, but then back to noisy</t>
  </si>
  <si>
    <t>all quieter at 4 but then back to noisy</t>
  </si>
  <si>
    <t>ch3 quiet at 4 but then noisy again at 5, now all noisy</t>
  </si>
  <si>
    <t>ch2 quiet at 5, others still noisy</t>
  </si>
  <si>
    <t>ch 1 qiet  at 4, ch2 quiet at 5 all in by 6</t>
  </si>
  <si>
    <t xml:space="preserve">all quiet at 8, c++ k </t>
  </si>
  <si>
    <t>ch 2/4 in at 5 ch1 in at 6</t>
  </si>
  <si>
    <t xml:space="preserve">no chainge, all noisy </t>
  </si>
  <si>
    <t>quiet at 4 (esp 1 and 4) but then 1 got noisy again</t>
  </si>
  <si>
    <t xml:space="preserve">ch 1 and 2 quiet at 3 </t>
  </si>
  <si>
    <t xml:space="preserve">all quiet at 4 suddenly - silent! </t>
  </si>
  <si>
    <t xml:space="preserve">ch3 in at 6 </t>
  </si>
  <si>
    <t>ch2 quiet at 6, chs 3 and  4 in at 8</t>
  </si>
  <si>
    <t>ch2 in at 6, others noisy</t>
  </si>
  <si>
    <t>all chans quiet around 5</t>
  </si>
  <si>
    <t>ch2 quiet at 4 , others still noisy</t>
  </si>
  <si>
    <t>all quiet at 4, qq</t>
  </si>
  <si>
    <t>quiet at 4 except for ch3</t>
  </si>
  <si>
    <t xml:space="preserve">Periodically TONS of 60hz. </t>
  </si>
  <si>
    <t>very quiet but neural, deflection, quieter +.5 c+</t>
  </si>
  <si>
    <t>still totally 60hz, +2 no change</t>
  </si>
  <si>
    <t>ch2 looks neural, 1/3/4 look like 60hz but sound normal +1 fuzz c+</t>
  </si>
  <si>
    <t>chs1 and 3 might be dead. +1 fuzz, picked up small cell</t>
  </si>
  <si>
    <t>see arches during whisking. qq, +1 fuzz, bursty c</t>
  </si>
  <si>
    <t>q, +1 fuzz, hashy</t>
  </si>
  <si>
    <t>hashy, +1 no change</t>
  </si>
  <si>
    <t>qq, +1 Big fuzz, c+</t>
  </si>
  <si>
    <t>q +1 no change, +1 nc, picked up a bit of 60hz</t>
  </si>
  <si>
    <t>q, lots of 60, +1 fuzz, +1 hashy</t>
  </si>
  <si>
    <t>hashy, c+ +1 q c+</t>
  </si>
  <si>
    <t>chs 1 and3 likely dead q +1 fuzz +1 louder</t>
  </si>
  <si>
    <t>chs 3 and 4 60hz, q +1 fuzz, c++</t>
  </si>
  <si>
    <t>hashy, +1 big fuzz</t>
  </si>
  <si>
    <t>ch3 only one with neural, rest 60hz, c- +1 fuzz</t>
  </si>
  <si>
    <t>q +1 fuzz +1hashy, +1 qq, ch2 all 60hz</t>
  </si>
  <si>
    <t>q +1 fuzz chs 1 and 4 all 60hz</t>
  </si>
  <si>
    <t>ch3 all 60hz. q +2  nc</t>
  </si>
  <si>
    <t>see arches during whisking, ch3 60hz
h +1 k c</t>
  </si>
  <si>
    <t>n +1 nc +1 c</t>
  </si>
  <si>
    <t>qq +3 a little louder</t>
  </si>
  <si>
    <t>see arches during whisking, 60hz on ch2 and 3. 
qn +1 c</t>
  </si>
  <si>
    <t>ch3 all 60hz (not anymore). n +1 big fuzz q</t>
  </si>
  <si>
    <t>n +1 nc, +1 c</t>
  </si>
  <si>
    <t>q +1 c</t>
  </si>
  <si>
    <t>ch1 all 60hz (not anymore), noisy +1 h?</t>
  </si>
  <si>
    <t>qh +1 c+</t>
  </si>
  <si>
    <t>qh +1 big fuzz (k?)</t>
  </si>
  <si>
    <t>q +1 got a little louder, +1 q</t>
  </si>
  <si>
    <t>q +1 nc, +1 nc</t>
  </si>
  <si>
    <t>q +1 qq, +2 a little noise on ch2</t>
  </si>
  <si>
    <t>qh +1 nc, +1 nc, +1 h on ch 2</t>
  </si>
  <si>
    <t>qh +1 nc, +1 a little louder (maybe c- on ch 3/4)</t>
  </si>
  <si>
    <t>qq +1 nc, +1 nc</t>
  </si>
  <si>
    <t>h? +1 nc</t>
  </si>
  <si>
    <t>qh? +1 nc</t>
  </si>
  <si>
    <t>q +1 picked up 60hz, +1 nc</t>
  </si>
  <si>
    <t>all 60hz, +1 nc</t>
  </si>
  <si>
    <t>hashy +1 q, +1 qq</t>
  </si>
  <si>
    <t>hashy +1 louder, +1 now all 60hz</t>
  </si>
  <si>
    <t>ALL 60hz. +1 nc</t>
  </si>
  <si>
    <t>qq, +1 nc, +1 nc</t>
  </si>
  <si>
    <t>all 60hz +1nc</t>
  </si>
  <si>
    <t>ch4 might be dead. q, +1 nc, +.5 fuzz</t>
  </si>
  <si>
    <t>q +1 hashy, qq</t>
  </si>
  <si>
    <t>hashy, +1 nc, +1 nc</t>
  </si>
  <si>
    <t>still all 60hz +2 no change</t>
  </si>
  <si>
    <t>ch1 and 4 are neural but super quiet, +1 no change</t>
  </si>
  <si>
    <t xml:space="preserve">q, +1 hashy. +1 qq </t>
  </si>
  <si>
    <t>qq +1 nc +1nc, +1 nc</t>
  </si>
  <si>
    <t>q +1 deflection +1 nc</t>
  </si>
  <si>
    <t xml:space="preserve">q +1 louder, +1 hashy </t>
  </si>
  <si>
    <t>ch3 looks neural, hashy +1 maybe got louder. other chans are very unstable</t>
  </si>
  <si>
    <t>qq +1 nc +1 deflection, slightly louder</t>
  </si>
  <si>
    <t>hashy, +1 deflection +1 nc</t>
  </si>
  <si>
    <t>q +1 nc, +1 nc, +1 nc</t>
  </si>
  <si>
    <t>hashy, +1 deflection nc</t>
  </si>
  <si>
    <t>very quiet, tiny signal +1 no change</t>
  </si>
  <si>
    <t>quiet but neural, +2 got louder, fuzz. ch3 still mostly 60hz</t>
  </si>
  <si>
    <t>periodically the chs with 60hz get bigger and smaller (maybe depending on position of the turner), now using a-/a/a+ as our terminology for arches and their sizes</t>
  </si>
  <si>
    <t>hashy, +1, hashy, c+</t>
  </si>
  <si>
    <t>still totally 60hz, +2 +2 no change</t>
  </si>
  <si>
    <t>ch2 looks neural, 1/3/4 look like 60hz but sound normal, +1, deflection, +1 fuzz</t>
  </si>
  <si>
    <t>chs1 and 3 might be dead. +1, deflection</t>
  </si>
  <si>
    <t>q/hashy, +1, c+, a</t>
  </si>
  <si>
    <t>hashy, c+ growing throughout turning +1, lots of movement</t>
  </si>
  <si>
    <t>hashy, deflection/fuzz +1</t>
  </si>
  <si>
    <t>a (arches), q, +1 biggg fuzz at the end</t>
  </si>
  <si>
    <t>hashy, +1 big fuzz deflections</t>
  </si>
  <si>
    <t>q/hashy, +1 deflection, +1, deflections fuzz and kill</t>
  </si>
  <si>
    <t xml:space="preserve">q, +1, +0.5, big fuzz and kill </t>
  </si>
  <si>
    <t>a+, q, +1, fuzz, c+</t>
  </si>
  <si>
    <t>q, +1, louder/fuzz</t>
  </si>
  <si>
    <t>a, hashy, +1, fuzz and louder, ch3 and 4 look slightly different (less variable) but not 60hz</t>
  </si>
  <si>
    <t>a- (shallow) hashy, +1, +.5 deflection/fuzz</t>
  </si>
  <si>
    <t>q/hashy (no 60hz chs!), +1 deflection, +1, deflection</t>
  </si>
  <si>
    <t>a-, q/hashy, +1, deflection and then quieter, +1 big fuzz and c+!</t>
  </si>
  <si>
    <t>a+, hashy (no 60hz chs, just quieter versions slightly noisier versions of chs 2 and 3), +1, small deflection, +1 deflection</t>
  </si>
  <si>
    <t>a+, hashy, +.5 all q, +1.5, still q</t>
  </si>
  <si>
    <t>a+, hashy, +.1, big fuzz, c++</t>
  </si>
  <si>
    <t>a, +1 big fuzz</t>
  </si>
  <si>
    <t>a+, all 60hz, +2, quieter, no more 60Hz, +2, big fuzz and c's!</t>
  </si>
  <si>
    <t>hashy, +1, fuzz, c-'s</t>
  </si>
  <si>
    <t>all 60Hz, +1, no more 60hz, +1 big fuzz, +1 big fuzz and kill</t>
  </si>
  <si>
    <t>a-, hashy, +1 quiet, +1, +.5, nc after initial quieting, a</t>
  </si>
  <si>
    <t>q/hashy, +1, big fuzz, c's, a</t>
  </si>
  <si>
    <t>hashy/noisy, +1 +1, got quiet, +.5, big fuzz, +1 huge fuzz, definitely in brain</t>
  </si>
  <si>
    <t>hashy/noisy, +1 +.5 lots of activity, +.5, fuzz</t>
  </si>
  <si>
    <t>q +1 +1, got louder and then quieter</t>
  </si>
  <si>
    <t>c-, +1 big fuzz</t>
  </si>
  <si>
    <t>ch1 very 60 hz, +1, louder and then very quiet, a, +1, still quiet</t>
  </si>
  <si>
    <t>a, +1 fuzz</t>
  </si>
  <si>
    <t xml:space="preserve">chs 3 and 4 are 60 +2 nc +1 ch1 got quieter </t>
  </si>
  <si>
    <t>ch1 and 3 have 60 +2 nc</t>
  </si>
  <si>
    <t>ch1 is 60 q +2 nc +1 slightly louder?</t>
  </si>
  <si>
    <t xml:space="preserve">q +2 nc </t>
  </si>
  <si>
    <t xml:space="preserve">hashy +1 deflections +1 </t>
  </si>
  <si>
    <t>60 on ch1 and 2, qq nc</t>
  </si>
  <si>
    <t>all 60hz, particularly huge and consistent +4</t>
  </si>
  <si>
    <t>q +2 deflection, maybe slightly louder a+</t>
  </si>
  <si>
    <t>q ch2 is 60 +2 deflections, now ch1 is 60 too</t>
  </si>
  <si>
    <t>all neural +1 nc +2 nc a-</t>
  </si>
  <si>
    <t xml:space="preserve">ch2 and 4 are 60 +1 now ch3 is 60 +1 nc +1 now all 60 </t>
  </si>
  <si>
    <t xml:space="preserve">all 60 +2 now all neural! a-  </t>
  </si>
  <si>
    <t>all 60hz +2  all chanes went in! but q. +1 got louder +1 now chs1 and 2 are mostly 60 but sound neural</t>
  </si>
  <si>
    <t>ch1 and 3 are mostly 60hz +2 nc</t>
  </si>
  <si>
    <t>q +1 nc +.5 big fuzz mostly just ch3! then back to q</t>
  </si>
  <si>
    <t>all pretty 60 hz but not when being touched. +2 some deflections</t>
  </si>
  <si>
    <t>q/hashy, +1, +1, nc</t>
  </si>
  <si>
    <t>q, +1, +1 deflection, a little louder and back to q</t>
  </si>
  <si>
    <t>q, ch3 60hz, +1 got louder, +1now hashy</t>
  </si>
  <si>
    <t>all chs have the 60 hz but still sounds neural, +1 +1</t>
  </si>
  <si>
    <t>ch2 and ch3 lots of 60hz but still sound neural; hashy, +1, +1 louder but then got quiet again randomly?</t>
  </si>
  <si>
    <t>q, +1 deflections and a little louder, +1 kill and even louder</t>
  </si>
  <si>
    <t>qq +1, +1 nc</t>
  </si>
  <si>
    <t>q, +1, +1, weird noise / deflections at the end?</t>
  </si>
  <si>
    <t xml:space="preserve">hashy, +1, +1 deflection and got quieter again </t>
  </si>
  <si>
    <t>q/hashy, +1 deflection, +1, a little louder</t>
  </si>
  <si>
    <t>qq +1, +1 deflection</t>
  </si>
  <si>
    <t>q/hashy, +1, +1 deflection</t>
  </si>
  <si>
    <t>q +1 deflections, +1</t>
  </si>
  <si>
    <t>all neural but quiet, deflections, +2</t>
  </si>
  <si>
    <t>all nueral but really quiet, +2, deflection at 1.5</t>
  </si>
  <si>
    <t>all neural but really quiet, +2</t>
  </si>
  <si>
    <t>canula 1 is moving well, canula 2 might be a lost cause
-a is for inverted arches (can be extended to -r for inverted ripples as well)</t>
  </si>
  <si>
    <t>c+ +1 k q a-</t>
  </si>
  <si>
    <t>n lots of 60hz +1 nc +1 nc ch2 is the only on that's maybe alive</t>
  </si>
  <si>
    <t>n +1 h? picked up a cell on ch4, a--</t>
  </si>
  <si>
    <t>c+ +1 fuzz? (k?) q</t>
  </si>
  <si>
    <t>c+ +1 fuzz h, a-</t>
  </si>
  <si>
    <t>q +1 nc +1 nc</t>
  </si>
  <si>
    <t>a- h +1 big fuzz h</t>
  </si>
  <si>
    <t>a n h? +1 fuzz? c4 (dying)</t>
  </si>
  <si>
    <t>a q +1 c(4)</t>
  </si>
  <si>
    <t>a h? +1 k</t>
  </si>
  <si>
    <t>a c4 +1 fuzz (k?)</t>
  </si>
  <si>
    <t>a q +1 hit a cell</t>
  </si>
  <si>
    <t>a qn +1 k</t>
  </si>
  <si>
    <t>a- q +1 deflections (fuzz?) nc +1 nc (maybe a little quieter?)</t>
  </si>
  <si>
    <t>1- q +1 deflections, something noisy on ch3</t>
  </si>
  <si>
    <t>a- q +1 k</t>
  </si>
  <si>
    <t>a-  +1 c+ k?</t>
  </si>
  <si>
    <t xml:space="preserve">sometimes inverted a- q +1 nc +1 maybe a little louder? </t>
  </si>
  <si>
    <t>a c++ +1 c+++++ (k?)</t>
  </si>
  <si>
    <t>a q +1 fuzz kinda hashy?</t>
  </si>
  <si>
    <t>a q +1 c</t>
  </si>
  <si>
    <t>a c+++ on 4 +1 k</t>
  </si>
  <si>
    <t>a qn +1 c+ k</t>
  </si>
  <si>
    <t>a q +1 nc +1 k</t>
  </si>
  <si>
    <t>a c--? +1 c+ k</t>
  </si>
  <si>
    <t>a q +1 big deflection, got a tiny bit louder</t>
  </si>
  <si>
    <t xml:space="preserve">a qq +1 maybe a little louder? +0.5 c+ k? </t>
  </si>
  <si>
    <t>a q +1 k</t>
  </si>
  <si>
    <t>a qq +1 k</t>
  </si>
  <si>
    <t>a q +1 got louder</t>
  </si>
  <si>
    <t>qq +1 got a little louder, small inverted a</t>
  </si>
  <si>
    <t>qq +1 nc +1 nc, small inverted a</t>
  </si>
  <si>
    <t>q +1 nc +1 maybe got a tiny bit louder?, small inverted a</t>
  </si>
  <si>
    <t>basically silent +1 nc +1 nc, small inverted a</t>
  </si>
  <si>
    <t>q +1 nc +1 nc, small inverted a</t>
  </si>
  <si>
    <t>almost silent +1 nc +1 nc, small inverted a</t>
  </si>
  <si>
    <t>q +1  nc +1 nc, small inverted a</t>
  </si>
  <si>
    <t>q +1 a little quieter? +1 nc, small inverted a</t>
  </si>
  <si>
    <t>qn +1 nc +1 nc , small inverted a</t>
  </si>
  <si>
    <t>q +1 nc +1 got quieter, small inverted a</t>
  </si>
  <si>
    <t>qq +1 nc, small inverted a</t>
  </si>
  <si>
    <t>qn +1 nc +1 nc, small inverted a</t>
  </si>
  <si>
    <t>qn +1 saw a small deflection, +1 c on ch4, small inverted a</t>
  </si>
  <si>
    <t>-a- qn +1  nc +1 nc</t>
  </si>
  <si>
    <t>-a- q +1 maybe a tiny bit louder +1 maybe popped into brain! +1 hashy - delayed c on ch 1/2</t>
  </si>
  <si>
    <t>-a- qq +1 nc +1 nc</t>
  </si>
  <si>
    <t>all 60Hz +2 nc</t>
  </si>
  <si>
    <t>-a- qq +1 s +1 s</t>
  </si>
  <si>
    <t>-a- s +1 qqq +1 qqq</t>
  </si>
  <si>
    <t>-a- s +1 nc +1 nc</t>
  </si>
  <si>
    <t>-a- qq +1 qqq +1 qq</t>
  </si>
  <si>
    <t>-a- qqq +1 nc +1 nc</t>
  </si>
  <si>
    <t>-a- q +1 nc +1 weird spikes (definitely noise) nc</t>
  </si>
  <si>
    <t>-a- s +1 nc +1 deflections nc</t>
  </si>
  <si>
    <t>small inverted a s +1 nc +1 nc</t>
  </si>
  <si>
    <t>didn't adjust yesterday. pushed aggressivly on can2 and actually seem to have popped in on quite a few; can1 arches have mostly gone away and many tetrodes have gotten quieter, maybe in collosum; can2 found brain on so many!!</t>
  </si>
  <si>
    <t xml:space="preserve">hashy +1 fuzz c </t>
  </si>
  <si>
    <t>just ch2 has signal, +2 fuzz, hashy</t>
  </si>
  <si>
    <t>hashy +1 tiny fuzz +1 nc. ch1 and 3 mostly just 60hz</t>
  </si>
  <si>
    <t xml:space="preserve">hashy +1 tiny fuzz </t>
  </si>
  <si>
    <t xml:space="preserve">hashy +1 deflections, fuzz </t>
  </si>
  <si>
    <t xml:space="preserve">hashy +1 fuzz </t>
  </si>
  <si>
    <t>hashy +2 now much quieter + deflections</t>
  </si>
  <si>
    <t xml:space="preserve">hashy +1 tiny deflection </t>
  </si>
  <si>
    <t xml:space="preserve">hashy +1 deflection, quieter +1 fuzz c+ </t>
  </si>
  <si>
    <t xml:space="preserve">hsdhy +1 deflection </t>
  </si>
  <si>
    <t>hashy +1 louder . ch2 mostly 60hz</t>
  </si>
  <si>
    <t>hashy, +2 got quieter, ch 1 and 3 went from 60hz to normal</t>
  </si>
  <si>
    <t>qq +1 now hashy, louder. ch3 and 4 mostly 60hz</t>
  </si>
  <si>
    <t xml:space="preserve">hashy, all chans have lots of 60hz +2  </t>
  </si>
  <si>
    <t>hashy +1 got quieter. mostly 60 on chs 1,2,4</t>
  </si>
  <si>
    <t xml:space="preserve">hashy +1 quieter? </t>
  </si>
  <si>
    <t>hashy +1 deflection, fuzz. ch1 and 4 mostly 60hz</t>
  </si>
  <si>
    <t xml:space="preserve">hashy +1 nc  +1 fuzz +1 c+ k now q </t>
  </si>
  <si>
    <t xml:space="preserve">hashy +1 fuzz c coming ch3 all 60hz </t>
  </si>
  <si>
    <t>loud hashy +1 maybe louder</t>
  </si>
  <si>
    <t xml:space="preserve">q +1 defelctions, ch1 now 60hz </t>
  </si>
  <si>
    <t>hashy +1 quieter. ch1 and 2 all 60</t>
  </si>
  <si>
    <t xml:space="preserve">purely 60h all chans +1 now ch 1 and 2 have signal +1 fuzz tiny c </t>
  </si>
  <si>
    <t xml:space="preserve">hashy +1 deflection c coming </t>
  </si>
  <si>
    <t>hashy +1 fuzz quieter but c+ coming</t>
  </si>
  <si>
    <t>q +1 deflections +.5 nc</t>
  </si>
  <si>
    <t>hashy lots of 60 on ch 1 and 2, cant see ch 3 and 4. +2 nc  +1 nc</t>
  </si>
  <si>
    <t>qq +1 deflections, louder +.5 nc</t>
  </si>
  <si>
    <t xml:space="preserve">q hashy +1 fuzz k </t>
  </si>
  <si>
    <t>hashy lots of 60hz on ch1 +1 all 60 now on ch2 +1 now qq and ch2 back to normal</t>
  </si>
  <si>
    <t xml:space="preserve">hashy +1 fuzz k </t>
  </si>
  <si>
    <t>q/hashy on ch1, ch3 is 60hz, +1 +1 louder +1 +1 big deflection and ch3 is now normal, +1 +1 quiet again +1 little fuzz and c's</t>
  </si>
  <si>
    <t>q/hashy +1 +1 +1 getting louder +1 lot louder +1 +1 quiet again +1 little fuzz, c is coming</t>
  </si>
  <si>
    <t>ch1 is 60hz, q +1 +1 little louder +1 +1 lot louder/hashy +1 +1 big fuzz and little c's, +.5</t>
  </si>
  <si>
    <t>qq +1 +1 +1 getting louder +1 lot louder +1 quieter again +1 +1 hugee fuzz and c's!</t>
  </si>
  <si>
    <t>ch1 and ch4 are 60hz, others q, +1 +1 +1 getting louder +1 +1 louder again +1 +1  +1 solidly in! big fuzz</t>
  </si>
  <si>
    <t>ch2 is 60hz, others q, +1 +1 +1 ch2 looks normal again, +1 louder +1 quieter again +1 +1 fuzz!</t>
  </si>
  <si>
    <t>hashy +1 fuzz/louder +1 quiet again +1 +1 huge fuzz and cells and kills +.5</t>
  </si>
  <si>
    <t>ch2 looks like 60hz, +1 +1 louder! +1 lot quieter +1 louder again +1 deflection +1 +1 big fuzz!</t>
  </si>
  <si>
    <t>q, +1 deflections +1 +1 +1 +1  huge fuzz and kills and c+'s</t>
  </si>
  <si>
    <t>q, +1 +1 deflections +1 +1 +1 lots of c's!! ch4 and maybe ch3 have a lot of 60hz</t>
  </si>
  <si>
    <t>q/hashy +1 +1 deflections +1 deflections +1 hugeee kill and c+'s!</t>
  </si>
  <si>
    <t>q/hashy on ch4, +1 +1 nc +1 +1 little louder +1 +1 in! c's</t>
  </si>
  <si>
    <t>q/hashy on ch1, ch3 60hz, +1 +1 deflection, +1, +1  getting louder, +1 little fuzz, +1 deflections and medium fuzz, +.5, ch3 still dead</t>
  </si>
  <si>
    <t>q/hashy on ch3, +1 deflection, +1 nc, +1 deflection, +1 nc, +1 nc, +1 deflection, +1 quieter, +1  in! big fuzz and c+!</t>
  </si>
  <si>
    <t>hashy, +1 c!, +1 deflection, c and big fuzz</t>
  </si>
  <si>
    <t>q, +1 little louder, +1 nc</t>
  </si>
  <si>
    <t>hashy, +1 big fuzz!</t>
  </si>
  <si>
    <t xml:space="preserve">q, +1 little deflection, +1 nc, +1, nc, +1 nc deflection, +1 nc +1 louder, fuzz +1 popped in! </t>
  </si>
  <si>
    <t>looks kind of flatter / smoother than the others, tons of 60hz,+2 nc</t>
  </si>
  <si>
    <t xml:space="preserve">q/hashy, +1 deflection, +1 nc, +1 nc +3 gettting louder deflections but new pure 60 on ch2.  </t>
  </si>
  <si>
    <t>q/hashy on ch4, +1 nc, +1 nc +2 deflections getting louder, tiny c now but no dramatic pop. looks like 55</t>
  </si>
  <si>
    <t>qq +1 +1 nc +3 gradually getting louder, c+ fuzz now back to q/hashy c+</t>
  </si>
  <si>
    <t xml:space="preserve">q, +1 +1 nc +3 gradually gettting louder, big fuzz popped in! c+ k then back to quiet. chs3,4 still pure 60. </t>
  </si>
  <si>
    <t>q/hashy on ch4, +1 deflection, +1 nc, +1 deflection, +1 definitely louder! +1 big fuzz and kill and c!! popped in!</t>
  </si>
  <si>
    <t>q/hashy +1 deflection, +1 deflection, +1  nc +1 deflection +1 c! +1 c!! popped in??</t>
  </si>
  <si>
    <t>q/hashy +1 deflection, +1 nc, +1 deflection, +1 some cells!, +1 kills, deflections on the way down!</t>
  </si>
  <si>
    <t>q +1 louder! +1 deflection, +1 deflection, +1 c's! +.5 kills and c's!</t>
  </si>
  <si>
    <t>hashy +1 nc, +1 deflection, +1 little louder, +1 louder! kills! c's, +1 c's and kill</t>
  </si>
  <si>
    <t>q/hashy on ch4, +1 deflections and quieter, +1 nc, +1 deflection, +1 louder, +1 quieter again, +1 nc signal matches previous tetrodes just quieter</t>
  </si>
  <si>
    <t>q, +1, +1 little louder, +1 little louder, +1, +1, +1 nc, no convincing entry but simlar to 62</t>
  </si>
  <si>
    <t>qq, +1 deflections, +1 nc, +1 little louder, +1 deflection, +1 deflection, same situation as 61-63</t>
  </si>
  <si>
    <t xml:space="preserve">q +1 fuzz </t>
  </si>
  <si>
    <t>hashy lots of 60hz +.5 nc</t>
  </si>
  <si>
    <t>q +.5 nc</t>
  </si>
  <si>
    <t xml:space="preserve">qq +1 c fuzz </t>
  </si>
  <si>
    <t>qq +1 fuzz c-</t>
  </si>
  <si>
    <t>hashy +.5 fuzz</t>
  </si>
  <si>
    <t>qq +1 deflections, nc</t>
  </si>
  <si>
    <t xml:space="preserve">q +.5fuzz </t>
  </si>
  <si>
    <t>q +1 nc +1 qq</t>
  </si>
  <si>
    <t>q +1 nc +.5 nc</t>
  </si>
  <si>
    <t>qq +.5 nc</t>
  </si>
  <si>
    <t>q +1 fuzz, k</t>
  </si>
  <si>
    <t>hashy +1 fuzz</t>
  </si>
  <si>
    <t>hashy, +.5 nc</t>
  </si>
  <si>
    <t>q +1 really noisy nc</t>
  </si>
  <si>
    <t xml:space="preserve">q +1 c+ </t>
  </si>
  <si>
    <t>qq +1 mc</t>
  </si>
  <si>
    <t>hashy +.5 fuzz, c++</t>
  </si>
  <si>
    <t>qq +1 nc +1 nc</t>
  </si>
  <si>
    <t>hashy +.5 fuzz c-</t>
  </si>
  <si>
    <t>q +1 c on ch2</t>
  </si>
  <si>
    <t>ch1 and3 60hz, q +1 deflection nc, possible SWR, no c</t>
  </si>
  <si>
    <t>ch1 60hz, q  +.5 nc</t>
  </si>
  <si>
    <t>qq, .5 fuzz, c-</t>
  </si>
  <si>
    <t>qq +.5 deflection qq</t>
  </si>
  <si>
    <t>c++ +.5 q</t>
  </si>
  <si>
    <t>q +.5 c+ big deflection</t>
  </si>
  <si>
    <t>c- +.5 c---</t>
  </si>
  <si>
    <t>c- +.5 big fuzz c-</t>
  </si>
  <si>
    <t>c +.5 nc</t>
  </si>
  <si>
    <t>ch4 60hz, qq +.5 deflection. fuzz</t>
  </si>
  <si>
    <t>c+ +.5 k, big fuzz</t>
  </si>
  <si>
    <t>c+ +.5 nc</t>
  </si>
  <si>
    <t>qq +.5 nc +.5 nc</t>
  </si>
  <si>
    <t>c+ +.25 k</t>
  </si>
  <si>
    <t>c +.25 k big fuzz</t>
  </si>
  <si>
    <t>all 60 +1 nc no deflectyion, higly likely dead</t>
  </si>
  <si>
    <t>q +.5 k c+ chs 2 and 3 60hz</t>
  </si>
  <si>
    <t>q +.5 deflection nc</t>
  </si>
  <si>
    <t>qq +.5 c--</t>
  </si>
  <si>
    <t>q +.5 nc only ch3 has 60hz</t>
  </si>
  <si>
    <t>q +.5  nc</t>
  </si>
  <si>
    <t>arches qc- +.5  nc</t>
  </si>
  <si>
    <t>qq +.5 possible SWR</t>
  </si>
  <si>
    <t>hashy +.5 c-</t>
  </si>
  <si>
    <t>can1 is having so few changes, not sure where we are there or what's going on, pushed super aggressively on a few and ended up with much more promising movement but also downward ripples on one'; lots of baby ripples on can2 including one tetrode w downwards rips; getting weird noise artifacts that look like giant clipping spikes but clearly aren't</t>
  </si>
  <si>
    <t>qq +1/2 x2 fuzz +1/2 x4 c +1 fuzz q +1 fuzz k c +1 qq +1 c +1</t>
  </si>
  <si>
    <t>q +1/2 x2 nc</t>
  </si>
  <si>
    <t>hahsy +1/2 x1 fuzz +1/2 x3 q</t>
  </si>
  <si>
    <t>q +1 k big fuzz +1 qq +1/2 fuzz k, c+, +1/2 q +1/2 c- +1/2 k q</t>
  </si>
  <si>
    <t>hashy c-? +1 deflection nc, +1 nc</t>
  </si>
  <si>
    <t xml:space="preserve">hashy +1 fuzz +1 k q +1/2 nc </t>
  </si>
  <si>
    <t>qq +1 fuzz +1 nc</t>
  </si>
  <si>
    <t>qq +1 nc +1big deflection</t>
  </si>
  <si>
    <t>q +1 fuzz +1 q +1 nc</t>
  </si>
  <si>
    <t>hashy +1 fuzz +1 nc +1 nc +1 nc +1 nc +1 k</t>
  </si>
  <si>
    <t xml:space="preserve">qq +1 fuzz +1 nc +1q +1 k +1 k +1 k </t>
  </si>
  <si>
    <t>hashy +1 nc +1 nc +1 nc +1 louder, +1big fuzz r++ (down)</t>
  </si>
  <si>
    <t>q +1 nc +1 nc +1 k +1 k q +1 q +1 qq</t>
  </si>
  <si>
    <t>q +1/2 x2 deflection +1/2 got quieter</t>
  </si>
  <si>
    <t>hashy +1/2 big fuzz and new c, +1/2 fuzz</t>
  </si>
  <si>
    <t>q +1/2 fuzz, +1/2</t>
  </si>
  <si>
    <t>q +1/2 fuzz</t>
  </si>
  <si>
    <t>hashy +1/2 deflection and quieter +1/2</t>
  </si>
  <si>
    <t>q +1/2 x3 nc</t>
  </si>
  <si>
    <t>q +1/2 +1/2 nc</t>
  </si>
  <si>
    <t>q +1/2 +1/2 +1/2 +1/2 some fuzzes? maybe?</t>
  </si>
  <si>
    <t>q +1/2 fuzz and deflections +1/2 much quieter</t>
  </si>
  <si>
    <t>hashy +1/2 +1/2 +1/2 +1/2 +1/2 deflection? +1/2 +1/2 deflection? +1/2 not much change idk</t>
  </si>
  <si>
    <t>qq +1/2 x3 soooo quiet +1/2 still soooo quiet</t>
  </si>
  <si>
    <t>hashy +1/2 +1/2 picked up a cell and k</t>
  </si>
  <si>
    <t>qq +1/2 +1/2 +1/2 +1/2 fuzz</t>
  </si>
  <si>
    <t>ch1 2 and 4 noisy 60hz, hashy +1/2 +1/2 +1/2 nc</t>
  </si>
  <si>
    <t>r--, +1/8 nc</t>
  </si>
  <si>
    <t>r (down)</t>
  </si>
  <si>
    <t>hashy, +1/4 x2 new c</t>
  </si>
  <si>
    <t>r--- +1/4 slightly louder</t>
  </si>
  <si>
    <t>hashy +1/4 nc</t>
  </si>
  <si>
    <t>hashy +1/4 +1/8 deflection</t>
  </si>
  <si>
    <t>c+, +1/4 x3 nc</t>
  </si>
  <si>
    <t>hashy +1/4 x4 r---</t>
  </si>
  <si>
    <t>hashy +1/4 x2 deflections</t>
  </si>
  <si>
    <t>c +1/4 x2 fuzz!</t>
  </si>
  <si>
    <t>c+ +1/4 x3 cell is gone</t>
  </si>
  <si>
    <t>c+ +1/4 x2 cell is gone, fuzz</t>
  </si>
  <si>
    <t>r-</t>
  </si>
  <si>
    <t>c++ +1/4 x2 fuzz and k</t>
  </si>
  <si>
    <t>c++, +1/4 x4 huge cell still there? weird cell-looking things on a bunch of tetrodes that keep getting clipped</t>
  </si>
  <si>
    <t>q +1/2 hashy +1/2 fuzz k</t>
  </si>
  <si>
    <t>hashy +1/4 x2 nc</t>
  </si>
  <si>
    <t>Dead</t>
  </si>
  <si>
    <t xml:space="preserve">c+ +1/2 nc +1/2 k </t>
  </si>
  <si>
    <t>r- (up) +1/8 nc</t>
  </si>
  <si>
    <t>q +1/4 x2 c+</t>
  </si>
  <si>
    <t>q +1/2 nc +1/2 k q</t>
  </si>
  <si>
    <t>c+ +1/2 c +1/2 fuzz k</t>
  </si>
  <si>
    <t>q +1/4 x1 k</t>
  </si>
  <si>
    <t>r- (up)</t>
  </si>
  <si>
    <t>q +1/4 nc</t>
  </si>
  <si>
    <t>r- (up) +1/8 x1 nc</t>
  </si>
  <si>
    <t>hashy +1/4 x2 c</t>
  </si>
  <si>
    <t xml:space="preserve">qq +1/4 x2 hashy </t>
  </si>
  <si>
    <t xml:space="preserve">q +1/4 fuzz c- </t>
  </si>
  <si>
    <t xml:space="preserve"> </t>
  </si>
  <si>
    <t>no artifacts to start but then started happening after 5 or so minutes but only on the fourth quadrant -- jk it's on a bunch of them; switched headstages and the noise went away (110 must be bad)</t>
  </si>
  <si>
    <t>hashy +1/2 x1 fuzz +1/2 hashy SWR</t>
  </si>
  <si>
    <t xml:space="preserve">q +1 x2 maybe r--  +1/2 </t>
  </si>
  <si>
    <t>q +1 big fuzz +1 nc +1/2 x2 k</t>
  </si>
  <si>
    <t>q  +1 hashy +1 q +1/2 x6 c+++ SWR 800 spread</t>
  </si>
  <si>
    <t>qq +1 x2 hashy deflection +1 qq fuzz +1 k</t>
  </si>
  <si>
    <t xml:space="preserve">hashy +1 kill +1 nc +1/2 deflection +1/2 </t>
  </si>
  <si>
    <t>q +1 big fuzz +1 nc +1 nc +1 k c+</t>
  </si>
  <si>
    <t>q +1 deflection +1 nc +1  deflection +1 nc</t>
  </si>
  <si>
    <t xml:space="preserve">q +1  deflection +1 nc  k +1 fuzz +1 def </t>
  </si>
  <si>
    <t>hashy +1  q +1 nc +1 q</t>
  </si>
  <si>
    <t>q +1 nc +1 nc +1 swr incoming</t>
  </si>
  <si>
    <t>hashy +1/4 nc +1/8 swr incomin</t>
  </si>
  <si>
    <t>q +1/8 x2</t>
  </si>
  <si>
    <t>r- (very down)</t>
  </si>
  <si>
    <t>q +1/8 x3 swr incoming</t>
  </si>
  <si>
    <t xml:space="preserve">hashy +1 deflection, +1 nc, +1 deflections, +1 deflections, +1/2 c, +1/2 quieter, +1/2 nc, +1/2 nc </t>
  </si>
  <si>
    <t>q +1 deflection, +1 , +1/2  nc, +1/2 fuzz c</t>
  </si>
  <si>
    <t xml:space="preserve">hashy, +1 fuzz, +1 nc, +1 fuzz, +1 big fuzz </t>
  </si>
  <si>
    <t>q +1 nc, +1 nc, +1 c and fuzz, +1 cell gone, +1 big fuzz and kill</t>
  </si>
  <si>
    <t>hashy, +1 fuzz, +1  nc, +1 nc, +1 delfection?, +1 nc, +1 fuzz</t>
  </si>
  <si>
    <t xml:space="preserve">hashy, +1 fuzz, +1 quieter, +1 nc, +1 fuzz tiny c, +1 big fuzz and k, </t>
  </si>
  <si>
    <t>quiet hashy, +1 deflection, +1 nc, +1 nc, +1 fuzz</t>
  </si>
  <si>
    <t xml:space="preserve">hashy, +1 slightly louder, +1 deflection big fuzz c, +1/2 deflection </t>
  </si>
  <si>
    <t xml:space="preserve">hashy, +1 fuzz, +1 nc, +1 nc, +1  nc, +1 c r--? </t>
  </si>
  <si>
    <t>q,+1 nc,+1 nc, +1 quieter, +1, +1/2 louder, c+</t>
  </si>
  <si>
    <t xml:space="preserve"> +1 deflections, +1, +1, +1, +1 little louder</t>
  </si>
  <si>
    <t xml:space="preserve"> +1/2 +1/2 deflection c's, +1/2 big fuzz, +1/2 big fuzz, r--?</t>
  </si>
  <si>
    <t xml:space="preserve"> +1 quiet +1 fuzz and then quiet +1 so quiet +1 +1 still so quiet</t>
  </si>
  <si>
    <t>q +1 fuzz deflections +1 quiet +1 fuzz +1 +1 +1 +1 nc +1 louder/hashy +.5, c's</t>
  </si>
  <si>
    <t xml:space="preserve">q +.5 +.5 +.5 +.5 nc </t>
  </si>
  <si>
    <t xml:space="preserve"> +1 ch2 crazy noise, +1, deflections, +1 deflections and quieter, +1 deflection, +1 quiet, +.5</t>
  </si>
  <si>
    <t>r-, +1/8x2</t>
  </si>
  <si>
    <t>r- (down)</t>
  </si>
  <si>
    <t>r--, +1/8x2 slightly louder</t>
  </si>
  <si>
    <t>q, +1/4, +1/8, r--</t>
  </si>
  <si>
    <t>c, +1/4, cell dying +1/8x2</t>
  </si>
  <si>
    <t>q, +1/4 x3 nc</t>
  </si>
  <si>
    <t>hashy, r--, +1/8x2  getting louder r-</t>
  </si>
  <si>
    <t>hashy +1/4 +1/8 +1/8</t>
  </si>
  <si>
    <t>swr type lfp, +1/4 r--, +1/8</t>
  </si>
  <si>
    <t>r--- +1/4 x2</t>
  </si>
  <si>
    <t>r--- +1/8 x4 nc</t>
  </si>
  <si>
    <t>r- (up) +1/8</t>
  </si>
  <si>
    <t>c, +1/4 +!/8 x2 deflections</t>
  </si>
  <si>
    <t>tiniest signs of rips +1/8 x2 deflections</t>
  </si>
  <si>
    <t>hashy +1/2x3, c++</t>
  </si>
  <si>
    <t>hashy +1 deflection swr incoming</t>
  </si>
  <si>
    <t>hashy +1/4 x2 fuzz c+</t>
  </si>
  <si>
    <t>swr close, +1/16 x2</t>
  </si>
  <si>
    <t>r (up) 200 splash</t>
  </si>
  <si>
    <t>c++ +1/16 x3 nc</t>
  </si>
  <si>
    <t>q +1/4 x1 swr incoming</t>
  </si>
  <si>
    <t xml:space="preserve">c++ +1/2 k q+1/2 k  </t>
  </si>
  <si>
    <t>hashy +1/8 nc swr incoming</t>
  </si>
  <si>
    <t>r (up) 400 splash</t>
  </si>
  <si>
    <t xml:space="preserve"> +1/4, c, +1/8, fuzz</t>
  </si>
  <si>
    <t>hashy +1/4 +1/8x2, tiniest tiniest rips</t>
  </si>
  <si>
    <t>q/hashy, +1/4, +1/8 deflection</t>
  </si>
  <si>
    <t>tiniest sign of rips, +1/8x5</t>
  </si>
  <si>
    <t xml:space="preserve">  </t>
  </si>
  <si>
    <t xml:space="preserve">so many ripples!  goal today is pulling up some chans to find ref candidates -try with the tets that have downward r  </t>
  </si>
  <si>
    <t xml:space="preserve">-r, very down c+ -1/2 fuzz now r up, 400 splash. so responsive, turned around immediatly! </t>
  </si>
  <si>
    <t>r+, still up, 760 spread leave</t>
  </si>
  <si>
    <t xml:space="preserve">r-, still up +1/8 x5 </t>
  </si>
  <si>
    <t>-r super down, pull up to find cc -1/2 x2 still r down -1/2 x2 r up -1/2 x2  now qq, no triggering</t>
  </si>
  <si>
    <t>r- +1/8 x3</t>
  </si>
  <si>
    <t>r- +1/8 x3 getting =louder</t>
  </si>
  <si>
    <t xml:space="preserve">r-+1/8 x4 </t>
  </si>
  <si>
    <t xml:space="preserve">r-c on ch1 +1/8 x2 c gone </t>
  </si>
  <si>
    <t>r- +1/8 x2 r growing</t>
  </si>
  <si>
    <t>r--- leave for putative ref</t>
  </si>
  <si>
    <t xml:space="preserve">r- +1/8 x4 deflections </t>
  </si>
  <si>
    <t xml:space="preserve">r- +1/8 x2 fuzz </t>
  </si>
  <si>
    <t>r 300 splash +1/16 x3</t>
  </si>
  <si>
    <t>-r pulling back all the way to callosum to be ref -swr inverted, still noisy -1/2 x3</t>
  </si>
  <si>
    <t>r- +1/8 x4 defliections, r maybe growing</t>
  </si>
  <si>
    <t>r+, flat, 700 spread</t>
  </si>
  <si>
    <t>hint of r +1/8 x1 k +1/8</t>
  </si>
  <si>
    <t>r--- +1/8 x3 fuzz</t>
  </si>
  <si>
    <t>q +1/8 x2 c- r--</t>
  </si>
  <si>
    <t>q +1/8 x2 louder</t>
  </si>
  <si>
    <t>c +1/8 x1 swr incoming r--</t>
  </si>
  <si>
    <t>c++ +1/8 x2  nc</t>
  </si>
  <si>
    <t>r-- +1/8 nc</t>
  </si>
  <si>
    <t xml:space="preserve">r+ +1/16 </t>
  </si>
  <si>
    <t>c+ +1/8  x2 nc</t>
  </si>
  <si>
    <t>c  +1/16 x1 r-</t>
  </si>
  <si>
    <t>q  +1/8 deflection possible swr (down) We might have overshot this one and didn't realize how deep we were</t>
  </si>
  <si>
    <t>hashy +1/8 x2 c--  r---</t>
  </si>
  <si>
    <t>q  +1/8 louder r--</t>
  </si>
  <si>
    <t>q +1/8 x4 nc</t>
  </si>
  <si>
    <t>hashy +1/4 louder r--</t>
  </si>
  <si>
    <t xml:space="preserve">r+ 200 splash +1/16 </t>
  </si>
  <si>
    <t>r+ (down) 300 splash, did not move</t>
  </si>
  <si>
    <t>c++, r+ (flat),350 spash</t>
  </si>
  <si>
    <t>r--, +1/8 x2 nc, +1/8 deflection, r--</t>
  </si>
  <si>
    <t xml:space="preserve">r-, +1/16 </t>
  </si>
  <si>
    <t>c+, +1/16</t>
  </si>
  <si>
    <t>r--, +1/8, c, +1/16, r-</t>
  </si>
  <si>
    <t>did not move heard r</t>
  </si>
  <si>
    <t>r---, +1/16, nc, +1/16 x3 nc</t>
  </si>
  <si>
    <t>hashy +1/8 x4 swr incoming</t>
  </si>
  <si>
    <t>r-- c-- +1/8 x4 c+</t>
  </si>
  <si>
    <t>r-- +1/8 x2 c incoming</t>
  </si>
  <si>
    <t>r 300 spread +1/16 x4</t>
  </si>
  <si>
    <t>q +1/8 x3 r---</t>
  </si>
  <si>
    <t xml:space="preserve">r-- +1/8 x4 </t>
  </si>
  <si>
    <t>c++ and no rips so still in deep ctx? +1/4 x2 k +1/4 now qq</t>
  </si>
  <si>
    <t xml:space="preserve">clear r +1/8 </t>
  </si>
  <si>
    <t xml:space="preserve">r- c on ch4 +1/8  fuzz c moved +1/8 x3 </t>
  </si>
  <si>
    <t xml:space="preserve">r- c on ch4 +1/8 x4 </t>
  </si>
  <si>
    <t>r~ +1/8 maybe growing</t>
  </si>
  <si>
    <t xml:space="preserve">r- +1/8 x 3 </t>
  </si>
  <si>
    <t xml:space="preserve">r- +1/8 x2 </t>
  </si>
  <si>
    <t>r- +1/8 r growing</t>
  </si>
  <si>
    <t xml:space="preserve">r- +1/8 x3 </t>
  </si>
  <si>
    <t xml:space="preserve">r +1/8 </t>
  </si>
  <si>
    <t>i+ r-- +1/8 x6 interneron gone</t>
  </si>
  <si>
    <t xml:space="preserve">solid r! still up +1/16 </t>
  </si>
  <si>
    <t>r-- +1/8 x2 deflections, r definitely bigger</t>
  </si>
  <si>
    <t>r-- +1/8 x3 deflection</t>
  </si>
  <si>
    <t>r- pulling back to find callosum -1/2 x 3 quieter, no more rips</t>
  </si>
  <si>
    <t>r+</t>
  </si>
  <si>
    <t>So many ripples! kept some in place, moved some gently. Priority is getting references figured out</t>
  </si>
  <si>
    <t xml:space="preserve">r++ (down) 200 splash +1/16 </t>
  </si>
  <si>
    <t xml:space="preserve">r+ (down) -1 r (up) -1 r-- </t>
  </si>
  <si>
    <t>r+ (up) +1/16 x2</t>
  </si>
  <si>
    <t>r+ (up) c++putative can 1 ref  +1/16 x4</t>
  </si>
  <si>
    <t>r+ (up) +1/16 x4 bg fuzz, c+++</t>
  </si>
  <si>
    <t xml:space="preserve">r++ (flat) splash +1/16 </t>
  </si>
  <si>
    <t>r+ (up) 450 spread</t>
  </si>
  <si>
    <t>r-- +1/8  big deflection r growing k</t>
  </si>
  <si>
    <t>r+ (flat) 200 splash +1/16 growing spread</t>
  </si>
  <si>
    <t>qq r--- -1/2 x4 getting quieter, further from SWR</t>
  </si>
  <si>
    <t>r+ (flat) 300 splash +1/16</t>
  </si>
  <si>
    <t>r- (down) -1 x2 no more SWR</t>
  </si>
  <si>
    <t xml:space="preserve">r+ (up) +1/16 </t>
  </si>
  <si>
    <t>r- (up) +1/8 x2</t>
  </si>
  <si>
    <t>r+ (down) -1/2 x1 r now (up)</t>
  </si>
  <si>
    <t>r+ (down) -1/2 x3 r now (flat) k -1/2 x1 r now (up)</t>
  </si>
  <si>
    <t xml:space="preserve">r- (up) +1/8 x2 big deflection, fuzz +1/8 </t>
  </si>
  <si>
    <t>r+ (up) 450 splash</t>
  </si>
  <si>
    <t>r-- (up) +1/8 getting louder</t>
  </si>
  <si>
    <t xml:space="preserve">r- (up) +1/8 </t>
  </si>
  <si>
    <t>r+ (up) 300 spread</t>
  </si>
  <si>
    <t>r- (up) +1/8 x2 louder r</t>
  </si>
  <si>
    <t>r++ (down) -1/2 x3 r (flat) -1/2 x2 r now up</t>
  </si>
  <si>
    <t>r- (up) +1/8 x2 getinng louder</t>
  </si>
  <si>
    <t>r-- (up) +1/4 big fuzz c++</t>
  </si>
  <si>
    <t>hashy -1 x3 found r must have accidentally blown past the SWRs</t>
  </si>
  <si>
    <t>r (up) c+ +1/8 changing</t>
  </si>
  <si>
    <t>r+ (up) +1/16 big k fuzz c++</t>
  </si>
  <si>
    <t>r +1/16 x2</t>
  </si>
  <si>
    <t>r-- +1/8 c2 found c++</t>
  </si>
  <si>
    <t>r++ (flat) 500 spread not moving</t>
  </si>
  <si>
    <t>r+ (down) moving up -3/4 r+ centered</t>
  </si>
  <si>
    <t>r++ (flat) 400 spread</t>
  </si>
  <si>
    <t>r++ (up) 250 splash, +1/16 x2</t>
  </si>
  <si>
    <t>r+ (up), +1/16</t>
  </si>
  <si>
    <t>c++ r--, +1/16x5, swr growing</t>
  </si>
  <si>
    <t>q, swr visible but not rips audible, potential reference, moving up -1/4 x6 -1/2x2 deflection leave for now, retract more this weekend if needed</t>
  </si>
  <si>
    <t>r++ (up) 250 splash, +1/16x2 more centered</t>
  </si>
  <si>
    <t>r--, +1/8 deflection, +1/8 deflections, +1/8 deflections, getting louder</t>
  </si>
  <si>
    <t>r (up), +1/16 big fuzz +1/16</t>
  </si>
  <si>
    <t>r (up) 250 spread c+, +1/16x6</t>
  </si>
  <si>
    <t>r (up) +1/16x4 louder</t>
  </si>
  <si>
    <t>r+ (flat) 300 spread, +1/16, growing</t>
  </si>
  <si>
    <t>r (up), +1/8 +1/16x3</t>
  </si>
  <si>
    <t>r (up), +1/8x4 deflections, +1/8x2 c</t>
  </si>
  <si>
    <t>No auditory Rips but SW visible</t>
  </si>
  <si>
    <t>r++ (up), 1/16x4 more centered</t>
  </si>
  <si>
    <t>r (up), 1/8x3 cell dying</t>
  </si>
  <si>
    <t>r- (up), 1/8x2</t>
  </si>
  <si>
    <t>r+ (up), 1/16 louder SWR</t>
  </si>
  <si>
    <t>r+ (up), 1/16x3 loudr swr</t>
  </si>
  <si>
    <t>r+ (up), 1/16x2</t>
  </si>
  <si>
    <t>r- (up), 1/8x5 louder and deflection</t>
  </si>
  <si>
    <t>r-- (up), 1/8x2 louder</t>
  </si>
  <si>
    <t>r (up), 1/16x4</t>
  </si>
  <si>
    <t>r+ (up), 1/16 growing</t>
  </si>
  <si>
    <t>r (up), 1/16x2 fuzz and louder</t>
  </si>
  <si>
    <t>r incoming, 1/8x5</t>
  </si>
  <si>
    <t>No R but SW is visible</t>
  </si>
  <si>
    <t>Saturday adjustment. Prioritized getting 2x possible references for each canula. The rest adjusted very cautiously for first behavior on Monday</t>
  </si>
  <si>
    <t>r (down) -1/2 x3 k r now (up)</t>
  </si>
  <si>
    <t>r up +1/16x3 r up</t>
  </si>
  <si>
    <t>600 spread r+ up</t>
  </si>
  <si>
    <t>250 splash r+ up +1/8 r+ flat</t>
  </si>
  <si>
    <t>--r -1/2 -1/4x2 r+ flat</t>
  </si>
  <si>
    <t>--r -1/2 r (up, move down tomorrow)</t>
  </si>
  <si>
    <t>--r -1/2 r+ flat</t>
  </si>
  <si>
    <t>500 spread r+ (up/flat)</t>
  </si>
  <si>
    <t>--r -1/2x3 r+ flat</t>
  </si>
  <si>
    <t xml:space="preserve">q </t>
  </si>
  <si>
    <t>-r +1/8x2 -1/2x2 (-)r+</t>
  </si>
  <si>
    <t>r--- +1/8x3 r--</t>
  </si>
  <si>
    <t>600 spread r++ flat</t>
  </si>
  <si>
    <t>r-- +1/8 +1/16</t>
  </si>
  <si>
    <t>400 spread r flat</t>
  </si>
  <si>
    <t>r (up) +1/8x2 r+</t>
  </si>
  <si>
    <t>r (up) +1/8 r+ +1/16 loud</t>
  </si>
  <si>
    <t xml:space="preserve">250 splash +1/16 </t>
  </si>
  <si>
    <t>q -1/2 x2 qq</t>
  </si>
  <si>
    <t>r+ (flat) 300 spread +1/16</t>
  </si>
  <si>
    <t>700 spread</t>
  </si>
  <si>
    <t>600 spread</t>
  </si>
  <si>
    <t>r (flat) +1/16 c incoming</t>
  </si>
  <si>
    <t>r-- (up) +1/4</t>
  </si>
  <si>
    <t xml:space="preserve">r (flat) +1/16 </t>
  </si>
  <si>
    <t xml:space="preserve">r+ (flat) 300 spalsh +1/16 </t>
  </si>
  <si>
    <t>r+ flat -1/2 x3  q</t>
  </si>
  <si>
    <t>r (flat) +1/16 x2</t>
  </si>
  <si>
    <t>250 splash -r+ -0.5 r+ flat?</t>
  </si>
  <si>
    <t>r+ centered +1/16</t>
  </si>
  <si>
    <t>250 spread -r+ -0.5 r+ flat</t>
  </si>
  <si>
    <t>450 spread r+ centered</t>
  </si>
  <si>
    <t>-r -0.5x2 r+</t>
  </si>
  <si>
    <t>r centered/up +1/16x2 r flat</t>
  </si>
  <si>
    <t>q -0.5x2 not perfect, but better</t>
  </si>
  <si>
    <t>r+ centered</t>
  </si>
  <si>
    <t>(-)r+ 400 spread</t>
  </si>
  <si>
    <t>q r--- +1/8x2 distant cells +1/8 r</t>
  </si>
  <si>
    <t>r+ (up) +1/16</t>
  </si>
  <si>
    <t>r+ (flat)</t>
  </si>
  <si>
    <t>r (up) +1/16 r (flat?)</t>
  </si>
  <si>
    <t>r--- +1/8x4 r (keep moving tomorrow)</t>
  </si>
  <si>
    <t>hashy, -1/2 x3 q</t>
  </si>
  <si>
    <t>750 spread</t>
  </si>
  <si>
    <t>r flat +1/16 x1</t>
  </si>
  <si>
    <t xml:space="preserve">r- (up), 1/8 x1 r bigger +1/16 </t>
  </si>
  <si>
    <t>r+ up +1/16 x2 spread growing</t>
  </si>
  <si>
    <t>r+ (flat) bump c++</t>
  </si>
  <si>
    <t>r+ (up) +1/8 x2</t>
  </si>
  <si>
    <t>r (up) +1/8 deflection</t>
  </si>
  <si>
    <t>r+ (flat)+1/16 x2</t>
  </si>
  <si>
    <t>r (up) +1/8 c incoming</t>
  </si>
  <si>
    <t>r+ (flat) +1/16 x3</t>
  </si>
  <si>
    <t>r +1/8 x1</t>
  </si>
  <si>
    <t>some SWR visible, -1/2 x2 qq now</t>
  </si>
  <si>
    <t>First day of behavior/full recording day. Lots of tets moved much further than we intended. This drive seems much more responsive than others - movements should be much smaller in the future</t>
  </si>
  <si>
    <t>r+ 350 splash leaving</t>
  </si>
  <si>
    <t>r down -1/2 c+ r flat</t>
  </si>
  <si>
    <t>r down -1/2 x3 louder r, might be still down</t>
  </si>
  <si>
    <t>r down/flat 300 splash didn't move</t>
  </si>
  <si>
    <t>r down -1/2 x2 c flat</t>
  </si>
  <si>
    <t>r down -1/2 x2 -1/4 flat</t>
  </si>
  <si>
    <t>r down -1/8 x3 flat c++</t>
  </si>
  <si>
    <t>r down -1/2 x2 flat</t>
  </si>
  <si>
    <t>q Ideal Ref</t>
  </si>
  <si>
    <t>r down -1/2 louder -1/4 flat</t>
  </si>
  <si>
    <t>r flat 600 spread</t>
  </si>
  <si>
    <t>r down -1/2 x2 r flat</t>
  </si>
  <si>
    <t>r flat didn't move</t>
  </si>
  <si>
    <t>r down -1/2 x2 flat -1/4 louder</t>
  </si>
  <si>
    <t>r down -1/2 flat c</t>
  </si>
  <si>
    <t>r down -1/4 x2 flat</t>
  </si>
  <si>
    <t xml:space="preserve">q maybe distant rips abandon as reference +1/8 x2 +1/4 x2 </t>
  </si>
  <si>
    <t>r flat 550 spread</t>
  </si>
  <si>
    <t>r down -1/2 x3 r flat</t>
  </si>
  <si>
    <t>r flat 300 splash</t>
  </si>
  <si>
    <t>r flat 350 splash</t>
  </si>
  <si>
    <t>r down 300 splash</t>
  </si>
  <si>
    <t>r down -1/2 x3 flat</t>
  </si>
  <si>
    <t>r flat 1200 spread</t>
  </si>
  <si>
    <t>r down -1/2 x3 -1/4 louder</t>
  </si>
  <si>
    <t xml:space="preserve">r up </t>
  </si>
  <si>
    <t>r way down, -.5 x 2 still way down -.5 deflection. much flatter, spread gorwing leave (tho still down)</t>
  </si>
  <si>
    <t>r way down -.5 x2 starting to get better -.5 x2 fuzz big c+ coming, more centered</t>
  </si>
  <si>
    <t>r down -.5 x2 big fuzz more centered -.5 x2 more centered</t>
  </si>
  <si>
    <t xml:space="preserve">r down -.5 x3 getting flatter, big fuzz </t>
  </si>
  <si>
    <t xml:space="preserve">r down -.5 x3 much flatter smaller </t>
  </si>
  <si>
    <t>r-.way down .5 x2  -.25 flatter</t>
  </si>
  <si>
    <t>maybe distant SWR, small c on ch 3 -.5 -.25 c getting smaller. definitely better</t>
  </si>
  <si>
    <t>r dwon -.5 x3 -.25 big fuzz more centered</t>
  </si>
  <si>
    <t>r dwon 350 spread -.5 big fuzz c++ -.25 leave more centerd</t>
  </si>
  <si>
    <t>r down -.5 x3 big fuzz slightly up</t>
  </si>
  <si>
    <t>r flat 800 spread leave</t>
  </si>
  <si>
    <t>r down-.5 -.25 fuzz now slightly up</t>
  </si>
  <si>
    <t>r down 300 spread</t>
  </si>
  <si>
    <t>r down 500 spread -.5 big fuzz more entered</t>
  </si>
  <si>
    <t>r up and small +1/16 deflection</t>
  </si>
  <si>
    <t>hashy, def distant SWR. not quiet so push +1/4 x2 much quieter, mabye r---</t>
  </si>
  <si>
    <t xml:space="preserve">r down 400 spread -.5 amazing fuzz spread growing, more centered </t>
  </si>
  <si>
    <t>r down 500 spread -.5 x2  -.25 deflection now flat/up</t>
  </si>
  <si>
    <t xml:space="preserve">r flat 1250 spread leave </t>
  </si>
  <si>
    <t>r down -.5 x3 flatter</t>
  </si>
  <si>
    <t>r way down 300 splash -.5 x3 fuzz new c flatter, but still down</t>
  </si>
  <si>
    <t xml:space="preserve">r diwn -.5 x2 big fuzz more centerd </t>
  </si>
  <si>
    <t>r flat/down  600 spread leave</t>
  </si>
  <si>
    <t>r flat 1200 spread leave</t>
  </si>
  <si>
    <t>r down -.5 -.25 flatter maybe ca3? rips look different</t>
  </si>
  <si>
    <t>r down -.5 x2 c coming flatter</t>
  </si>
  <si>
    <t>r flat/down leave</t>
  </si>
  <si>
    <t>r flat 1400 spread leave</t>
  </si>
  <si>
    <t xml:space="preserve">qq but distant SW and c on ch4 -.5 quieter </t>
  </si>
  <si>
    <t>1hz noise is back sometimes. Pulled back some, not as many as yesterday, many good channels. References are now SET</t>
  </si>
  <si>
    <t>r down/flat -1/4 x2 flat</t>
  </si>
  <si>
    <t>r flat leave</t>
  </si>
  <si>
    <t>r down 400 splash</t>
  </si>
  <si>
    <t>r flat 500 spread</t>
  </si>
  <si>
    <t>300 splash</t>
  </si>
  <si>
    <t>350 splash</t>
  </si>
  <si>
    <t xml:space="preserve">qq  </t>
  </si>
  <si>
    <t xml:space="preserve">r down  -1/2 x1 r flat, -1/4 c+ </t>
  </si>
  <si>
    <t>r flat 250 splash</t>
  </si>
  <si>
    <t>r down  -1/2 x2 flat -1/4 x1 r ++ flat</t>
  </si>
  <si>
    <t>r up, c, 300 spread</t>
  </si>
  <si>
    <t>r flat 400 spread</t>
  </si>
  <si>
    <t>r flat 350 spread</t>
  </si>
  <si>
    <t>r down -1/4 x8 r flat</t>
  </si>
  <si>
    <t xml:space="preserve">r  down -1/2 x3 -1/4 x1 </t>
  </si>
  <si>
    <t>r fkat c, 200 spread</t>
  </si>
  <si>
    <t>r  down -1/2 x1 -1/4 x2 r louder</t>
  </si>
  <si>
    <t>r flat 450 spread</t>
  </si>
  <si>
    <t>r down c -.5 -.25 fuzz flatter</t>
  </si>
  <si>
    <t>r flat 700 spread leave</t>
  </si>
  <si>
    <t>r down 300 splash -.25 flatter</t>
  </si>
  <si>
    <t>r down 350 splash -.5 x2 big fuzz now flat/up</t>
  </si>
  <si>
    <t>r up/flat leave</t>
  </si>
  <si>
    <t>r down 450 spread leave</t>
  </si>
  <si>
    <t>q small c on ch 3, ch1 nice and quiet though - push down bc 64 is better +.5 fuzz deflections +.25 x4 still no r</t>
  </si>
  <si>
    <t>r down 400 spread - .5 fuzz c coming</t>
  </si>
  <si>
    <t>r flat 450 spread leave</t>
  </si>
  <si>
    <t>r up/flat 250 splahs</t>
  </si>
  <si>
    <t>r flat/down 500 spread leave</t>
  </si>
  <si>
    <t>r down 550 soread -.25 spread shifting</t>
  </si>
  <si>
    <t>r down 300 splash -.5 big fuzz -.25 now slightly up</t>
  </si>
  <si>
    <t>r down  -.5 fuzz spread coming</t>
  </si>
  <si>
    <t>r flat wimpy splash leave</t>
  </si>
  <si>
    <t>r flat 300 spread leave</t>
  </si>
  <si>
    <t>r flat 800 spread, leave</t>
  </si>
  <si>
    <t>r flat 700 spread, leave</t>
  </si>
  <si>
    <t>r down but  800 spread (?) leave</t>
  </si>
  <si>
    <t xml:space="preserve">r down 300 splash -.5 -.25 </t>
  </si>
  <si>
    <t xml:space="preserve">r down 350 splash -.5 - .25 x2 now slightly up </t>
  </si>
  <si>
    <t>r down 400 splash -.5 -.25 now more up</t>
  </si>
  <si>
    <t>r down 300 splash -.5 x2 -.25 now centered spread growing</t>
  </si>
  <si>
    <t>r down 800 spread leave</t>
  </si>
  <si>
    <t>still looking kinda different (similar to 62) r up? leave</t>
  </si>
  <si>
    <t>r down 700 spread leave</t>
  </si>
  <si>
    <t>r down 300 splash -.5 flatter , spread growing -.25 now centered</t>
  </si>
  <si>
    <t>r down -.5 flatter -.25</t>
  </si>
  <si>
    <t>r way down -.5 x2 -.25fuzz c+ flatter</t>
  </si>
  <si>
    <t>qq very nice</t>
  </si>
  <si>
    <t>rips mostly down, pull back on most down ones. stopped on tet23 he kept moving and tried to bite</t>
  </si>
  <si>
    <t>500 splash r flat/down</t>
  </si>
  <si>
    <t xml:space="preserve">r down 500 splash -.25x3 now flat/ up </t>
  </si>
  <si>
    <t xml:space="preserve">r way down -.5 fuzz, now up! </t>
  </si>
  <si>
    <t xml:space="preserve">r way down -.5 x4 now up </t>
  </si>
  <si>
    <t>r down, wimpy splash  -.5 fuzz -.25 x2 spread changing, flatter</t>
  </si>
  <si>
    <t>r way down -.5 x2 new c now falt/up</t>
  </si>
  <si>
    <t>r way down -.5 better -.25 now flat/up</t>
  </si>
  <si>
    <t>600 spread still, r down leave</t>
  </si>
  <si>
    <t>500 splash but very down -.5 flatter -.25spread growing</t>
  </si>
  <si>
    <t xml:space="preserve">ch4 has a unit, -.25 x5 was gettting better but now new con ch2/4. turn back around +.5 x3 now back to c on ch4 +.25x2 better!  </t>
  </si>
  <si>
    <t>r way down -.5 fuzz -.5 big fuzz -.25 now up.flat</t>
  </si>
  <si>
    <t>r way down -.5 better -.25 x2 now up</t>
  </si>
  <si>
    <t>r flat/fown, 600 splash leave</t>
  </si>
  <si>
    <t>400 splash slightly donw -.25x2 now more up</t>
  </si>
  <si>
    <t>way down, wimpy splash -.5 x2 how up/flat</t>
  </si>
  <si>
    <t xml:space="preserve">r way down -.5, -0.5, -0.5 hear Swr dont see, -0.5 small waves, -0.25 </t>
  </si>
  <si>
    <t>lots of noise on ch 1 and 4, -0.5 waves starting to point up</t>
  </si>
  <si>
    <t>r down, -0.5 small r up</t>
  </si>
  <si>
    <t>600 spread r down didnt move</t>
  </si>
  <si>
    <t>r down 500 spread didnt move</t>
  </si>
  <si>
    <t>r way down, -0.5, -0.5 r smaller, -0.5 -0.5 flat, 0.5 flat r starting to point up</t>
  </si>
  <si>
    <t xml:space="preserve">small r down, -0.5, -0.5 flat, 0.5 small r starting to point up </t>
  </si>
  <si>
    <t>1000 spread (not clustery tho</t>
  </si>
  <si>
    <t>1400 spread!</t>
  </si>
  <si>
    <t>qq leave</t>
  </si>
  <si>
    <t>Not many great channels. pulling back a few</t>
  </si>
  <si>
    <t>500 spread r down</t>
  </si>
  <si>
    <t>r flat/down 400 splash</t>
  </si>
  <si>
    <t>r flat quiet</t>
  </si>
  <si>
    <t>r down 400 spread</t>
  </si>
  <si>
    <t>r down 750 spread</t>
  </si>
  <si>
    <t>r down 450 spread</t>
  </si>
  <si>
    <t>r down 200 splash</t>
  </si>
  <si>
    <t xml:space="preserve">r flat  </t>
  </si>
  <si>
    <t>qq - probably over corrected due to miscommunication yesterday</t>
  </si>
  <si>
    <t>r down  -1/2 x2 -1/4 x2 flat</t>
  </si>
  <si>
    <t>r up, q</t>
  </si>
  <si>
    <t>r flat q</t>
  </si>
  <si>
    <t>r down 600</t>
  </si>
  <si>
    <t>r down -1/2 x2 -1/4 up</t>
  </si>
  <si>
    <t>r down -1/2 c+</t>
  </si>
  <si>
    <t>r down -1/2 x4 q flat</t>
  </si>
  <si>
    <t>r down 500 spread</t>
  </si>
  <si>
    <t>r down 350 spread</t>
  </si>
  <si>
    <t>r down 350 spread -1/2 flat -1/4 x2 up slghtly, k</t>
  </si>
  <si>
    <t>r down 300 splash -1/2 x2 flat -1/2 flat -1/4 x3 slightly up</t>
  </si>
  <si>
    <t>r down 300 splash -1/2 x3 slightly up</t>
  </si>
  <si>
    <t>r down 300 splash -1/2 x2 r up</t>
  </si>
  <si>
    <t>r flat 300 splkash -1/4 flat</t>
  </si>
  <si>
    <t>r down -1/2 x5 flat</t>
  </si>
  <si>
    <t>r down 200 spread  -1/2 x2 flat</t>
  </si>
  <si>
    <t xml:space="preserve">r down -1/2 x3 flat </t>
  </si>
  <si>
    <t>r down -1/2 x2 flat -1/4</t>
  </si>
  <si>
    <t>r down 450 spread -1/4 x3 flat</t>
  </si>
  <si>
    <t>r down -1/2 x2 -1/4 x3 flat</t>
  </si>
  <si>
    <t>r down -1/2 x2 up</t>
  </si>
  <si>
    <t>r flat 700 spread</t>
  </si>
  <si>
    <t>r down 300 spread -1/2 x2 flat</t>
  </si>
  <si>
    <t>r flat q +1/8 x2 louder</t>
  </si>
  <si>
    <t>r down 300 spread -1/2 x2 up</t>
  </si>
  <si>
    <t>r down -1/2 x3 up</t>
  </si>
  <si>
    <t>r down c -1/2 x3 up</t>
  </si>
  <si>
    <t>r down -1/2 up</t>
  </si>
  <si>
    <t>r down 300 splash -1/2 x2 c++ up</t>
  </si>
  <si>
    <t>r down-1/4 x3 -1/2 x3 up</t>
  </si>
  <si>
    <t>r down 300 spread -1/2 x1 -1/4 flat</t>
  </si>
  <si>
    <t xml:space="preserve">r flat really weird noise events -1/2 x2 flat </t>
  </si>
  <si>
    <t>r down -1/2 x3 -1/4 x2 c+ flat</t>
  </si>
  <si>
    <t>r down -1/2 flat -1/2 r flat -1/4 up</t>
  </si>
  <si>
    <t>Pulled up more than previously. Tetrodes seem to drop more than previous drives, so pulling back further will hopefully get better recordings later</t>
  </si>
  <si>
    <t>r down 300 splash, -1/2 x2 fuzz and flatter, -1/2 pretty flat, -1/2 quieter</t>
  </si>
  <si>
    <t>r down 300 splash, -1/4 flat, -1/4 flat, -1/2 up, -1/4 up and quieter</t>
  </si>
  <si>
    <t>r down 300 splash, -1/2 flatter, -1/2 slightly up, -1/4 up and quieter</t>
  </si>
  <si>
    <t>r flat quiet, -1/4 still flat</t>
  </si>
  <si>
    <t>r down 200 splash, -1/2 big fuzz and c++, flat, -1/2 flat, -1/4 fuzz, up</t>
  </si>
  <si>
    <t>r flat/down 400 splash, -1/2 flatter, -1/2 slightly up</t>
  </si>
  <si>
    <t>r flat/down 400 spread</t>
  </si>
  <si>
    <t>r down 650 spread</t>
  </si>
  <si>
    <t>r down 700 spread (carried by one large cell)</t>
  </si>
  <si>
    <t>r flat/down 500 spread</t>
  </si>
  <si>
    <t>r flat/down 300 splash</t>
  </si>
  <si>
    <t>r up, tiny splash</t>
  </si>
  <si>
    <t>r flat, 1220 spread</t>
  </si>
  <si>
    <t>r flat/down, 300 splash, -1/2 flat, -1/2, up and quieter, -1/4</t>
  </si>
  <si>
    <t>r flat, 300 splash, -1/4</t>
  </si>
  <si>
    <t>r flat/up 200 splash</t>
  </si>
  <si>
    <t>r down, 550 nice spread</t>
  </si>
  <si>
    <t>r down 550 spread</t>
  </si>
  <si>
    <t>r flat 650 spread</t>
  </si>
  <si>
    <t>r flat, 400 spread</t>
  </si>
  <si>
    <t>r flat 950 spread</t>
  </si>
  <si>
    <t>r down 200 splash, -1/2x2 louder and flatter, fuzz, -1/2 quieter and slightly up</t>
  </si>
  <si>
    <t>r down 400 spread, -1/2 flat, -1/2 quiet and up</t>
  </si>
  <si>
    <t>r flat 750 spread</t>
  </si>
  <si>
    <t>r flat, 300 splash</t>
  </si>
  <si>
    <t>r down, -1/2x2 rips still look weird, p but idk? maybe ca3, -1/2 now looks down but more normal so maybe now in ca1 again, -1/2x2 flat and quiet, -1/4 slightly up</t>
  </si>
  <si>
    <t>r down, looks weird, maybe in ca3, -1/2x3 looks more normal! like back in ca1 -1/2 fuzz and c, flatter, -1/2 flat/slightly up</t>
  </si>
  <si>
    <t>r flat, 300 spread</t>
  </si>
  <si>
    <t>r flat 1000 spread (one really big cell)</t>
  </si>
  <si>
    <t>Had to pull references back first thing in the morning. Had clear SWRs on 11, potential on 64. Pulled back to good effect but may not be stable for today.</t>
  </si>
  <si>
    <t>r up 300 splash</t>
  </si>
  <si>
    <t>r up 200 splash</t>
  </si>
  <si>
    <t>r down -1/2 x1 up</t>
  </si>
  <si>
    <t>r down 300 splash -1/2 x2 flat -1/4 x2 up</t>
  </si>
  <si>
    <t>r down, barely audible R -1/2 x4 up</t>
  </si>
  <si>
    <t>r down, barely audible R -1/2 x2 up</t>
  </si>
  <si>
    <t>Obvious,  flat r -1  deflections ,clear r -1 still some sw visible -.5 better, nice and q. Move was made before recordings</t>
  </si>
  <si>
    <t>r down 350 spread -1/2 x2 flat -1/4 x1 up</t>
  </si>
  <si>
    <t>r way down -1/2 x3 slight up r</t>
  </si>
  <si>
    <t>r way down -1/2 x4 r up</t>
  </si>
  <si>
    <t>r way down -1/2 x5 r now up</t>
  </si>
  <si>
    <t>r way down  -1/2 x2 flat now, -1/2 x1 -1/4 x1 up now</t>
  </si>
  <si>
    <t>q +1/4 deflection</t>
  </si>
  <si>
    <t>r down, 400 spread -1/2 x2 up</t>
  </si>
  <si>
    <t>r down 350 spread -1/2 x4 up</t>
  </si>
  <si>
    <t>r down 400 spread -1/2 x2 up</t>
  </si>
  <si>
    <t>r way down/maybe ca3? -1/2 x2 -1/4 x1 still down -1/2 x3 up</t>
  </si>
  <si>
    <t>r down 200 spread</t>
  </si>
  <si>
    <t>r way down -1/2 x3 up</t>
  </si>
  <si>
    <t>r down -1/2 x5 up</t>
  </si>
  <si>
    <t>r down splash (weird noise events on this tet) -1/2 x3 up</t>
  </si>
  <si>
    <t>r down 200 spread -1/2 x3 down -1/2 x1 flat</t>
  </si>
  <si>
    <t>r down splash -1/2 x4 up</t>
  </si>
  <si>
    <t>r flat 300 spread</t>
  </si>
  <si>
    <t>r down 1800 spread</t>
  </si>
  <si>
    <t>r down -1/2 x3 rup</t>
  </si>
  <si>
    <t xml:space="preserve">r up  </t>
  </si>
  <si>
    <t>r flat 200 splash</t>
  </si>
  <si>
    <t>r flat but quiet</t>
  </si>
  <si>
    <t>r flat 400 splash</t>
  </si>
  <si>
    <t>r down 300 splash -1/2 x4 flat</t>
  </si>
  <si>
    <t>r down 450 spread -1/2 x2 up</t>
  </si>
  <si>
    <t>r flat 1100 spread</t>
  </si>
  <si>
    <t>r down may be in ca3 -1/2 x5 r flat</t>
  </si>
  <si>
    <t>Sometimes has audible R, visible SW -1 no clear change, but potentially better (pull up more later?) Move was made before recordings.</t>
  </si>
  <si>
    <t>things seem to be becoming more stable, slight adjustments to get things that we moved up back in the right positions, and rescuing some things that need to be pulled up</t>
  </si>
  <si>
    <t>r flat 300 splash, +1/16</t>
  </si>
  <si>
    <t>r flat/up 300 splash, +1/16</t>
  </si>
  <si>
    <t>r up 200 splash, +1/16, spread growing</t>
  </si>
  <si>
    <t>r up 300 splash, +1/16</t>
  </si>
  <si>
    <t>r flat/up 500 spread</t>
  </si>
  <si>
    <t>q +1/8x2 deflection</t>
  </si>
  <si>
    <t>quiet</t>
  </si>
  <si>
    <t>r flat/down 1000 spread</t>
  </si>
  <si>
    <t>r flat/up 300 spread, +1/16</t>
  </si>
  <si>
    <t>r up (quiet)</t>
  </si>
  <si>
    <t>r very down, -1/2x2 deflection flat and quiet, -1/4x2, more centered and quiet</t>
  </si>
  <si>
    <t>r down 600 spread</t>
  </si>
  <si>
    <t>r very down 300 splash, -1/2 deflection, -1/2 deflection</t>
  </si>
  <si>
    <t>r flat/up 300 splash</t>
  </si>
  <si>
    <t>r flat/down 900 spread</t>
  </si>
  <si>
    <t>r flat/up splash, +1/16</t>
  </si>
  <si>
    <t>quiet, +1/16</t>
  </si>
  <si>
    <t>r flat 900 spread</t>
  </si>
  <si>
    <t>r up, +1/16 deflection</t>
  </si>
  <si>
    <t>r very down 450 spread, -1/2 kill, more centered, -1/4, spread growing, -1/4 flat/up</t>
  </si>
  <si>
    <t>r down 300 spread, -1/2, -1/4x2, kill and growing, centered -1/4</t>
  </si>
  <si>
    <t>r flat/up splash</t>
  </si>
  <si>
    <t>r flat 500 spread, +1/16</t>
  </si>
  <si>
    <t>r down 300 splash, -1/2 big kills, -1/2, slightly up</t>
  </si>
  <si>
    <t>r up splash, +1/16 kills and deflection, growing</t>
  </si>
  <si>
    <t>r flat/up 600 spread</t>
  </si>
  <si>
    <t>r down 800 spread</t>
  </si>
  <si>
    <t>r flat/up 450 spread, +1/16</t>
  </si>
  <si>
    <t>r flat splash, +1/16</t>
  </si>
  <si>
    <t>r flat/down 700 spread</t>
  </si>
  <si>
    <t>seems mostly qq, but pulling up a bit more -1/2</t>
  </si>
  <si>
    <t>same as yesterday</t>
  </si>
  <si>
    <t>r flat/up, 300 spread +1/16</t>
  </si>
  <si>
    <t>r flat/up 350 spread +1/16</t>
  </si>
  <si>
    <t>r flat/up 400 spread</t>
  </si>
  <si>
    <t>r flat/down  300 splash +1/16 nc</t>
  </si>
  <si>
    <t>r up, 200 splash +1/16 x2</t>
  </si>
  <si>
    <t>r flat, 400 spread +1/16 growing</t>
  </si>
  <si>
    <t xml:space="preserve">r up 400 spread +1/16 </t>
  </si>
  <si>
    <t>r flat/up 300 spread +1/16</t>
  </si>
  <si>
    <t>r flat quiet, 200 splash are there rips here at all +1/8 now there are! small but flat</t>
  </si>
  <si>
    <t>r flat/up 450 spread</t>
  </si>
  <si>
    <t xml:space="preserve">r flat 200 splash +1/16 </t>
  </si>
  <si>
    <t>r flat 800 spread</t>
  </si>
  <si>
    <t xml:space="preserve">r flat/up 300 splash +1/16 </t>
  </si>
  <si>
    <t xml:space="preserve">r small/down? -.5 x2 </t>
  </si>
  <si>
    <t>r down 500 spread -.5 x1</t>
  </si>
  <si>
    <t>r flat/down 300 spread</t>
  </si>
  <si>
    <t>r flatt/up 300 splash</t>
  </si>
  <si>
    <t>r very down 300 spread -.5 x2 -.25 x1</t>
  </si>
  <si>
    <t>r very down, 200 splash -.5 x3</t>
  </si>
  <si>
    <t xml:space="preserve">r flat/up 500 spread +1/16 </t>
  </si>
  <si>
    <t>r flat/up 500 spread +1/16</t>
  </si>
  <si>
    <t>r up 200 splash +1/16</t>
  </si>
  <si>
    <t>r flat/down 200 splash  -1/4 x2</t>
  </si>
  <si>
    <t>r flat/up, splash +1/16</t>
  </si>
  <si>
    <t>r flat, quiet, splash +1/16</t>
  </si>
  <si>
    <t>r up, splash +1/16 x2  r still really small/indistinguishable?</t>
  </si>
  <si>
    <t>r flat/up, splash +1/16 x2 r growing</t>
  </si>
  <si>
    <t>r up (quiet) ch3 dead? +1/8 +1/16 x2 maybe r bigger?</t>
  </si>
  <si>
    <t>r flat/down 650 spread</t>
  </si>
  <si>
    <t>r up, 400 spread</t>
  </si>
  <si>
    <t>r flat/down 750 spread</t>
  </si>
  <si>
    <t>r up, splash +1/16</t>
  </si>
  <si>
    <t>r flat/up, 800 spread elave</t>
  </si>
  <si>
    <t>r down, splash -.5 fuzz still down -.5 now up</t>
  </si>
  <si>
    <t>r super down 400 spread -.5 x2 growing now flat</t>
  </si>
  <si>
    <t xml:space="preserve">r flat, 300 spread -.5 accidentally but still looks good! </t>
  </si>
  <si>
    <t>r down, 300 spread -.5 fuzz now up</t>
  </si>
  <si>
    <t>weird noise on ch3, r flat quiet/down -1/4 x3 now growing, slightly up</t>
  </si>
  <si>
    <t xml:space="preserve">r up (quiet) +1/16 x4 now can hear r better </t>
  </si>
  <si>
    <t>r down, splash -.5 new c+ still down -.5 now up</t>
  </si>
  <si>
    <t>r flat, 300 spread, +1/16</t>
  </si>
  <si>
    <t>r flat/up, 850 spread!</t>
  </si>
  <si>
    <t>r flat, 450 spread</t>
  </si>
  <si>
    <t>r flat/up 800 spread</t>
  </si>
  <si>
    <t>r flat/down 350 spread</t>
  </si>
  <si>
    <t>r down 350 spread, -1/4, flatter, -1/4, deflection, growing, -1/8x2, flat/up</t>
  </si>
  <si>
    <t>r flat/up, 300 spread, +1/16</t>
  </si>
  <si>
    <t>r flat 300 spread, +1/16</t>
  </si>
  <si>
    <t>rips? down? -1/2 deflection, now don't hear anything, mgiht've moved the wrong way?</t>
  </si>
  <si>
    <t>r flat/up 550 spread</t>
  </si>
  <si>
    <t>r flat/down 1500 spread</t>
  </si>
  <si>
    <t>r very down, 300 spread, -1/2x2, flat/up and quieter</t>
  </si>
  <si>
    <t>r flat, quiet? 350 spread, +1/16x3, ended up way down, -1/8</t>
  </si>
  <si>
    <t>r flat/down, 300 splash</t>
  </si>
  <si>
    <t>r flat/up 400 spread, +1/16</t>
  </si>
  <si>
    <t>r flat/down 600 spread</t>
  </si>
  <si>
    <t>r down, 300 splash, -1/8x6, -1/4x2, flatter and quieter</t>
  </si>
  <si>
    <t>r flat/up, 300 spread</t>
  </si>
  <si>
    <t>up and quiet, splash, +1/16x4, more audible r's</t>
  </si>
  <si>
    <t>r flat, 750 spread</t>
  </si>
  <si>
    <t>r very down 500 spread, -1/4x2 kills, flatter, -1/4, flat and quieter</t>
  </si>
  <si>
    <t>r flat and quiet, splash, +1/16x4, maybe a little more audible?</t>
  </si>
  <si>
    <t>r flat/up, splash, +1/16</t>
  </si>
  <si>
    <t>r up, interneuron, +1/16x4 r still really small</t>
  </si>
  <si>
    <t>r up, splash, +1/16x2, flat</t>
  </si>
  <si>
    <t>r down, splash, -1/2, flatter, -1/4 flat/up</t>
  </si>
  <si>
    <t>quiet, +1/16x2, up, +1/16 deflection</t>
  </si>
  <si>
    <t>r very down, 400 spread, -1/8x2, louder and flatter, -1/8x2, -1/4x2 flat/up, loud and growing!</t>
  </si>
  <si>
    <t>r flat/up, 600 spread</t>
  </si>
  <si>
    <t>r flat/up quiet, splash, +1/16x2</t>
  </si>
  <si>
    <t>r down, 450 spread, -1/8x2 deflection and kill, and then quieter, -1/8 and growing so much</t>
  </si>
  <si>
    <t>r down 400 spread, -1/8, louder, -1/8, flatter, -1/8, -1/8, -1/8, -1/8, flat/up</t>
  </si>
  <si>
    <t>r flat/up, 550 spread</t>
  </si>
  <si>
    <t>r flat/up, splash</t>
  </si>
  <si>
    <t>r flat/up, 400 spread, +1/16</t>
  </si>
  <si>
    <t>r flat/up, 300 splash</t>
  </si>
  <si>
    <t>r flat/down, 600 spread</t>
  </si>
  <si>
    <t>quiet / up, splash, +1/16x4</t>
  </si>
  <si>
    <t>r flat/up, 350 spread</t>
  </si>
  <si>
    <t>r down, splash, -1/8, -1/4x4, flat/up</t>
  </si>
  <si>
    <t>r flat/up, 750 spread</t>
  </si>
  <si>
    <t>r flat/down, 450 spread</t>
  </si>
  <si>
    <t>r flat/up 700 spread</t>
  </si>
  <si>
    <t>r down, 350 spread, -1/8, -1/4x2, flat/up</t>
  </si>
  <si>
    <t>r flat/up, 400 splash</t>
  </si>
  <si>
    <t>r flat splash, quiet?</t>
  </si>
  <si>
    <t>r down, 350 spread, -1/4x3, kills, flat/up</t>
  </si>
  <si>
    <t>r flat/down, 350 spread</t>
  </si>
  <si>
    <t>very quiet, +1/8x4 deflection, +1/8x3, c</t>
  </si>
  <si>
    <t>r down, splash, leave? -1/4x4, deflection, kill?, flat?</t>
  </si>
  <si>
    <t>r down, splash, -1/4x3, deflection, flatter</t>
  </si>
  <si>
    <t>quiet, +1/4x3, deflection, more audible</t>
  </si>
  <si>
    <t>r down, 400 spread, -1/4x2, flat</t>
  </si>
  <si>
    <t>quiet, +1/4x3, little louder</t>
  </si>
  <si>
    <t>r flat, 550 spread</t>
  </si>
  <si>
    <t>r flat/down, 500 spread, -1/8x3</t>
  </si>
  <si>
    <t>r flat and quiet? splash</t>
  </si>
  <si>
    <t>r flat/down, 400 spread</t>
  </si>
  <si>
    <t>?, +1/8x3</t>
  </si>
  <si>
    <t>?, +1/8 deflection</t>
  </si>
  <si>
    <t>r flat, 800 spread</t>
  </si>
  <si>
    <t>r flat, 1000 spread</t>
  </si>
  <si>
    <t>r flat, 1300 spread</t>
  </si>
  <si>
    <t>r flat/up, 500 spread</t>
  </si>
  <si>
    <t>r flat/up, 900 spread</t>
  </si>
  <si>
    <t>r flat, 1200 spread</t>
  </si>
  <si>
    <t>r down 400 spread, -1/8, -1/4x3, flat</t>
  </si>
  <si>
    <t>r flat/up, 650 spread</t>
  </si>
  <si>
    <t>r flat, 700 spread</t>
  </si>
  <si>
    <t>?, +1/8x6, slightly louder rips?</t>
  </si>
  <si>
    <t xml:space="preserve">r up, tiny r +1/8 </t>
  </si>
  <si>
    <t>r down, splash -1/8 x3 flat -1/8 x1 up now</t>
  </si>
  <si>
    <t>r up, 250 splash +1/16 x3 c+</t>
  </si>
  <si>
    <t>q got a little noisy, but not terrible. just distant hash</t>
  </si>
  <si>
    <t>r flat, 300 splash +1/16</t>
  </si>
  <si>
    <t>r down 300 splash -1/4 x1 flat -1/8 x2 up</t>
  </si>
  <si>
    <t>r flat splash, q, +1/16 x2</t>
  </si>
  <si>
    <t xml:space="preserve">r up +1/16 </t>
  </si>
  <si>
    <t>q, r flat</t>
  </si>
  <si>
    <t xml:space="preserve">r flat 300 spread </t>
  </si>
  <si>
    <t>no audible R, +1/8 x2</t>
  </si>
  <si>
    <t>r flat, q +1/16x2 r louder</t>
  </si>
  <si>
    <t>r flat, very small +1/16 x2 r louder</t>
  </si>
  <si>
    <t>flat, 300 splash</t>
  </si>
  <si>
    <t>r up/flat +1/16</t>
  </si>
  <si>
    <t>r down, splash -1/8 x3 flat</t>
  </si>
  <si>
    <t>r flat/down -1/8 x2 q</t>
  </si>
  <si>
    <t xml:space="preserve">r down/flat, q </t>
  </si>
  <si>
    <t>r flat, q -1/8</t>
  </si>
  <si>
    <t>r flat. 200 spread. 2 cells. +1/16 x1</t>
  </si>
  <si>
    <t xml:space="preserve">r flat/up </t>
  </si>
  <si>
    <t>r flat, 600 spread</t>
  </si>
  <si>
    <t>r flat/up, 300 splash +1/16</t>
  </si>
  <si>
    <t xml:space="preserve">r small up, +1/8  </t>
  </si>
  <si>
    <t xml:space="preserve">r flat/up, spread 450 </t>
  </si>
  <si>
    <t>r flat/down, splash</t>
  </si>
  <si>
    <t>q some background hash, but still good.</t>
  </si>
  <si>
    <t>NOTE: when we raise things today, let's not be as agressive, I think we're ending up too far up / quiet and then it takes us a while to get back down</t>
  </si>
  <si>
    <t>r down, 450 spread, -1/16x2</t>
  </si>
  <si>
    <t>r flat/up, 500 spread, +1/16</t>
  </si>
  <si>
    <t>r flat/up, 350 spread, +1/16x3</t>
  </si>
  <si>
    <t>r up/flat, quiet, +1/8x2</t>
  </si>
  <si>
    <t>r flat/up, 500 spread +1/16</t>
  </si>
  <si>
    <t>r flat/up, 950 spread</t>
  </si>
  <si>
    <t>r flat/down, 400 spread -1/8 x1</t>
  </si>
  <si>
    <t>r flat/up, 860 spread</t>
  </si>
  <si>
    <t>r flat/up, 400 splash +1/16 x1</t>
  </si>
  <si>
    <t>r flat splash, q -1/8 x2</t>
  </si>
  <si>
    <t xml:space="preserve">r flat/down, 300 splash +1/16 </t>
  </si>
  <si>
    <t>r down, 300 spread -1/8 x3 r flat</t>
  </si>
  <si>
    <t>r flat,splash +1/16</t>
  </si>
  <si>
    <t>r down, 300 splash -1/8x3</t>
  </si>
  <si>
    <t>r down, 200 splash -1/16</t>
  </si>
  <si>
    <t>r flat, q, +1/16x2</t>
  </si>
  <si>
    <t>so far, only 2 lock2 errors[</t>
  </si>
  <si>
    <t>r up, quiet +1/16 x2</t>
  </si>
  <si>
    <t>r flat/quiet +1/16 x2</t>
  </si>
  <si>
    <t>r flat/down, 350 spread, -1/16x2</t>
  </si>
  <si>
    <t>lots of 60hz today, r flat, 400 spread</t>
  </si>
  <si>
    <t>r flat, splash, +1/16 not sure what to do</t>
  </si>
  <si>
    <t>r flat, 860 spread</t>
  </si>
  <si>
    <t>r flat, quiet, splash, +1/16x2, slightly louder</t>
  </si>
  <si>
    <t>r flat/down, 1000 spread</t>
  </si>
  <si>
    <t>?, +1/4x2 big deflections at the end, tiny rips</t>
  </si>
  <si>
    <t>r down, 300 spread, -1/8x4, less down</t>
  </si>
  <si>
    <t>r flat, quiet, +1/16x2</t>
  </si>
  <si>
    <t>r flat, 300 splash, +1/16</t>
  </si>
  <si>
    <t>r flat/down, 450 spread, -1/8</t>
  </si>
  <si>
    <t>r down, 300 splash, -1/8x2, flatter</t>
  </si>
  <si>
    <t>r flat/up, 700 spread</t>
  </si>
  <si>
    <t>r flat/up, 450 spread, +1/16</t>
  </si>
  <si>
    <t>r flat, 900 spread</t>
  </si>
  <si>
    <t>r up, splash, +1/16x2</t>
  </si>
  <si>
    <t>r flat/down, 300 spread, -1/8, deflection</t>
  </si>
  <si>
    <t>r flat/up, 650 spread, +1/16x2</t>
  </si>
  <si>
    <t>r flat/up, splash, +1/16x2</t>
  </si>
  <si>
    <t>r flat/down, weird noise, +1/16</t>
  </si>
  <si>
    <t>r flat, splash, +1/16</t>
  </si>
  <si>
    <t>r down, 300 spread, -1/8x2</t>
  </si>
  <si>
    <t>r flat/up, 500 spread, +1/16x2</t>
  </si>
  <si>
    <t>r flat/up, splash, +1/16x3</t>
  </si>
  <si>
    <t>r up, splash, +1/8x2</t>
  </si>
  <si>
    <t>r flat, 500 spread, +1/16</t>
  </si>
  <si>
    <t>r flat/up, 830 spread</t>
  </si>
  <si>
    <t>r flat/up, 400 spread, +1/16x2</t>
  </si>
  <si>
    <t>flat and quiet? maybe ca3?, -1/8x2 deflections, now down!, -1/8 and lots of stuff happening</t>
  </si>
  <si>
    <t>r flat/down 200 splash, -1/8x2, louder</t>
  </si>
  <si>
    <t>r flat 200 splash, +1/16</t>
  </si>
  <si>
    <t>r flat/down 200 splash, -1/8x2</t>
  </si>
  <si>
    <t>very faint r, +1/8</t>
  </si>
  <si>
    <t>r down 300 spread, -1/8</t>
  </si>
  <si>
    <t>r down 200 splash, -1/8x3</t>
  </si>
  <si>
    <t>r flat, q, +1/8x2, sound louder!</t>
  </si>
  <si>
    <t>?, lower, +1/8x4</t>
  </si>
  <si>
    <t>r flat q, +1/8x2, deflection, ripples found</t>
  </si>
  <si>
    <t>r flat, q, +1/8 ? maybe try raising it a bunch tomorrow</t>
  </si>
  <si>
    <t>r down 350 spread, -1/8</t>
  </si>
  <si>
    <t>r flat/down, 300 splash, -1/16x2</t>
  </si>
  <si>
    <t>r flat/down, q, ?, -1/8x4</t>
  </si>
  <si>
    <t>r down 300 splash, -1/16x4</t>
  </si>
  <si>
    <t>r flat, q +1/16</t>
  </si>
  <si>
    <t>Might be ca3? no audible r. -1/8 x6 looking better but still no obvious R</t>
  </si>
  <si>
    <t>r flat. 450 spread</t>
  </si>
  <si>
    <t>r flat, q splash +1/16x2</t>
  </si>
  <si>
    <t>r flat splash +1/16</t>
  </si>
  <si>
    <t>r flat, q +1/16 x3</t>
  </si>
  <si>
    <t>r flat 1150 spread</t>
  </si>
  <si>
    <t>r flat, q, +1/16</t>
  </si>
  <si>
    <t>r flat/up, 400 spread</t>
  </si>
  <si>
    <t>r flat splash, +1/16x2</t>
  </si>
  <si>
    <t>r flat/down splash, +1/16</t>
  </si>
  <si>
    <t>r flat/up splash, +1/16x2</t>
  </si>
  <si>
    <t>r flat/up, +1/8x2, spread growing</t>
  </si>
  <si>
    <t>r flat/down, 350 spread, -1/8x2</t>
  </si>
  <si>
    <t>r flat/up, 400 spread +1/16 x2</t>
  </si>
  <si>
    <t>r flat/up, 800 spread</t>
  </si>
  <si>
    <t xml:space="preserve">r flat/up, 550 spread +1/16 </t>
  </si>
  <si>
    <t>r down, splash -1/4 x2 r flat c+</t>
  </si>
  <si>
    <t>r flat/down, splash -1/8 x3 flat</t>
  </si>
  <si>
    <t>r flat, 300 spread +1/16 x2</t>
  </si>
  <si>
    <t>r flat/down, splash, -1/8x2</t>
  </si>
  <si>
    <t>r flat/down, splash, -1/8x3</t>
  </si>
  <si>
    <t>r flat/down, splash, +1/16</t>
  </si>
  <si>
    <t>so quiet rips, -1/4x4</t>
  </si>
  <si>
    <t>r flat/down, 300 spread -1/8 x3</t>
  </si>
  <si>
    <t>r flat +1/16</t>
  </si>
  <si>
    <t>? -1/4 x3</t>
  </si>
  <si>
    <t>r flat/up +1/16 x2</t>
  </si>
  <si>
    <t>? -1/4 x1 rips! -1/4 overshoot bring down tomorrow</t>
  </si>
  <si>
    <t xml:space="preserve">r down, 350 spread -1/8 x3 </t>
  </si>
  <si>
    <t>r flat q, +1/16x2</t>
  </si>
  <si>
    <t>r down, splash, -1/4x2, much flatter, -1/4, might've gone too far but we'll see</t>
  </si>
  <si>
    <t>r quiet? all 60hz today but still hear rips?</t>
  </si>
  <si>
    <t>r flat, q, -1/8x6 deflection at the very end, -1/8x2</t>
  </si>
  <si>
    <t>r flat, 350 spread, -1/8, kills and big fuzz</t>
  </si>
  <si>
    <t>r flat/down, 550 spread</t>
  </si>
  <si>
    <t>r flat 1000 spread</t>
  </si>
  <si>
    <t>?, -1/8x3, deflection, -1/8, maybe tiny rips, -1/8x2 deflection, -1/8x2</t>
  </si>
  <si>
    <t>?, -1/8x3 deflections, -1/8x3, slightly louder rips? up?</t>
  </si>
  <si>
    <t>r down, 550 spread, -1/8, -1/16x3</t>
  </si>
  <si>
    <t>r flat/down, splash, -1/8s2</t>
  </si>
  <si>
    <t>r down, -1/4x2</t>
  </si>
  <si>
    <t>r flat/down, 400 splash, -1/8x2</t>
  </si>
  <si>
    <t>r flat, splash -1/16 x4</t>
  </si>
  <si>
    <t>r flat, 1150 spread</t>
  </si>
  <si>
    <t>r up +1/16 x2</t>
  </si>
  <si>
    <t>r flat -1/16 x3</t>
  </si>
  <si>
    <t>r flat, 300 splash +1/16 x2</t>
  </si>
  <si>
    <t>r flat, splash +1/8 x1 +1/16 x2</t>
  </si>
  <si>
    <t>r flat, 1050 spread</t>
  </si>
  <si>
    <t>r flat, splash +1/16 x3</t>
  </si>
  <si>
    <t xml:space="preserve">r flat/up, splash +1/8 x2 </t>
  </si>
  <si>
    <t>500 spread</t>
  </si>
  <si>
    <t>550 spread</t>
  </si>
  <si>
    <t>460 spread</t>
  </si>
  <si>
    <t>1000 spread</t>
  </si>
  <si>
    <t>400 spread</t>
  </si>
  <si>
    <t>tiny rips, should pull up</t>
  </si>
  <si>
    <t>300 spread</t>
  </si>
  <si>
    <t>850 spread</t>
  </si>
  <si>
    <t>800 spread</t>
  </si>
  <si>
    <t>650 spread</t>
  </si>
  <si>
    <t>1800 spread</t>
  </si>
  <si>
    <t>950 spread</t>
  </si>
  <si>
    <t>deflections but no rips</t>
  </si>
  <si>
    <t>r flat/ up400 splash</t>
  </si>
  <si>
    <t>r flat, very quiet, very sparse, splash</t>
  </si>
  <si>
    <t>1100 spread</t>
  </si>
  <si>
    <t>a bit noisy, needs retraction, -1/8 x6, sounds good def ccheck tomorrow</t>
  </si>
  <si>
    <t>r flat, up, splash</t>
  </si>
  <si>
    <t>r down splash</t>
  </si>
  <si>
    <t>no rips. cells present, probalby not hpc? +1/8 x3</t>
  </si>
  <si>
    <t>r flat/down 950 spread</t>
  </si>
  <si>
    <t>r down, splash</t>
  </si>
  <si>
    <t xml:space="preserve">No rips, might not be hpc +1/4 x1 +1/8 x2 </t>
  </si>
  <si>
    <t>r flat, single gian cell 600 spread</t>
  </si>
  <si>
    <t>r down/flat 400 spread</t>
  </si>
  <si>
    <t>r down 350 spread -1/8 x4 looking flat</t>
  </si>
  <si>
    <t>r down/flat, splash</t>
  </si>
  <si>
    <t>r down, spread 400 - single gian cell.</t>
  </si>
  <si>
    <t>r flat,  650 spread</t>
  </si>
  <si>
    <t>r down, q</t>
  </si>
  <si>
    <t>r flat, q</t>
  </si>
  <si>
    <t>r flat. splash</t>
  </si>
  <si>
    <t>No audible rips, single cell +1/8 x2</t>
  </si>
  <si>
    <t>r down. splash</t>
  </si>
  <si>
    <t>No audible rips +1/8 x5</t>
  </si>
  <si>
    <t>r flat/down 450 spread</t>
  </si>
  <si>
    <t>r up, splash</t>
  </si>
  <si>
    <t>r flat, one cell 300 spread</t>
  </si>
  <si>
    <t>r flat, 950 spread</t>
  </si>
  <si>
    <t xml:space="preserve">r down, splash </t>
  </si>
  <si>
    <t>r down, 400 splash, -1/8x2, flatter</t>
  </si>
  <si>
    <t>r down, -1/4, flatter</t>
  </si>
  <si>
    <t>1300 spread</t>
  </si>
  <si>
    <t>r down 450 spread, -1/8, deflection, -1/8x3, deflection</t>
  </si>
  <si>
    <t>a little hashy but mostly good</t>
  </si>
  <si>
    <t>r down, 400 spread</t>
  </si>
  <si>
    <t>930 spread</t>
  </si>
  <si>
    <t>r flat/up, splash, +1/16x3, flatter</t>
  </si>
  <si>
    <t>r down, 400 spread, -1/4, -1/8, flatter</t>
  </si>
  <si>
    <t>r flat, splash, +1/16x2</t>
  </si>
  <si>
    <t>couple cells, not sure where, has spindles so probably cortical, +1/4x2, picked up a cell, +1/4, found another cell</t>
  </si>
  <si>
    <t>700 spread, still that same giant cell</t>
  </si>
  <si>
    <t>400 nice spread</t>
  </si>
  <si>
    <t>500 nice spread</t>
  </si>
  <si>
    <t>r down, 500 spread, one giant cell</t>
  </si>
  <si>
    <t>r flat/down, splash, -1/8</t>
  </si>
  <si>
    <t>very slight ripples, +1/8x2</t>
  </si>
  <si>
    <t>r flat/down, 400 splash, -1/8, -1/16x2</t>
  </si>
  <si>
    <t>?, spindles so probably more cortical</t>
  </si>
  <si>
    <t>r down, 500 spread</t>
  </si>
  <si>
    <t>r down, splash, -1/8, deflection, -1/16x4, flatter</t>
  </si>
  <si>
    <t>1200 spread</t>
  </si>
  <si>
    <t>900 spread</t>
  </si>
  <si>
    <t>r down, splash, -1/8x2, flatter</t>
  </si>
  <si>
    <t>r down, 400 spread, -1/8, -1/16, flat and spread growing</t>
  </si>
  <si>
    <t>pretty good, deflections but no audible rips</t>
  </si>
  <si>
    <t xml:space="preserve">r flat/down </t>
  </si>
  <si>
    <t>Slight rips, sometimes large deflections on rips, cell present. -1/8 x3, qq</t>
  </si>
  <si>
    <t>400 spread but really good, lots of cells</t>
  </si>
  <si>
    <t>450 spread</t>
  </si>
  <si>
    <t xml:space="preserve">r flat, +1/16 </t>
  </si>
  <si>
    <t>qq, ch3 is quietest</t>
  </si>
  <si>
    <t>r flat/down, 300 spread</t>
  </si>
  <si>
    <t>r down, 300 splash, -1/8 x2 r flat</t>
  </si>
  <si>
    <t>r flat/up, 200 splash +1/16</t>
  </si>
  <si>
    <t>r flat/up, 200 splash +1/16 x2</t>
  </si>
  <si>
    <t>r flat/up, 400 spread +1/16</t>
  </si>
  <si>
    <t>r flat/down, 300 spread -1/8 r up/flat</t>
  </si>
  <si>
    <t>mostly quiet, a little hashy but no cell, very slight rips  -1/8 x4 no audible r</t>
  </si>
  <si>
    <t>r flat/down, 400 spread -1/16 x2</t>
  </si>
  <si>
    <t>r flat/down, 300 splash -1/16 x2</t>
  </si>
  <si>
    <t>r flat/up, 450 spread +1/16 x2</t>
  </si>
  <si>
    <t>r down, 300 splash -1/8 x1</t>
  </si>
  <si>
    <t xml:space="preserve">r flat, 300 splash +1/16 </t>
  </si>
  <si>
    <t xml:space="preserve">r down -1/8 </t>
  </si>
  <si>
    <t xml:space="preserve">distant rips? saw spindles +1/8 x3 </t>
  </si>
  <si>
    <t xml:space="preserve">r flat, 300 spread -1/16 </t>
  </si>
  <si>
    <t>r flat/down, splash -1/16 x2</t>
  </si>
  <si>
    <t>? -1/8 x4 def moving</t>
  </si>
  <si>
    <t>r flat/down, 650 spread</t>
  </si>
  <si>
    <t>r flat, 450 nice spread</t>
  </si>
  <si>
    <t>r flat, splash +1/16</t>
  </si>
  <si>
    <t>r down, splash -1/16 x2</t>
  </si>
  <si>
    <t>r flat/down, splash -1/8 x2</t>
  </si>
  <si>
    <t>r flat, splash +1/16 x2</t>
  </si>
  <si>
    <t xml:space="preserve">r flat, 300 splash -1/8 </t>
  </si>
  <si>
    <t>r flat, 400 nice spread</t>
  </si>
  <si>
    <t>r small, up +1/16 x2</t>
  </si>
  <si>
    <t>? +1/8 x2</t>
  </si>
  <si>
    <t>r down, 400 spread -1/8 x2</t>
  </si>
  <si>
    <t>r flat/down, 400 spread -1/8 x2 r up</t>
  </si>
  <si>
    <t>r flat/down, 450 spread -1/8</t>
  </si>
  <si>
    <t xml:space="preserve">550 spread -1/16 </t>
  </si>
  <si>
    <t xml:space="preserve">r flat, 350 splash +1/16 </t>
  </si>
  <si>
    <t>r flat/up 470 spread +1/16 x2</t>
  </si>
  <si>
    <t>r flat/up, 300 splash +1/16 x2</t>
  </si>
  <si>
    <t>r flat, 600 spread (giant cell)</t>
  </si>
  <si>
    <t>r up. 400</t>
  </si>
  <si>
    <t>r down 300</t>
  </si>
  <si>
    <t>r flat 300</t>
  </si>
  <si>
    <t>r flat, 500</t>
  </si>
  <si>
    <t>r flat 850</t>
  </si>
  <si>
    <t>r flat, 300</t>
  </si>
  <si>
    <t>r flat 450</t>
  </si>
  <si>
    <t>t flat 300</t>
  </si>
  <si>
    <t>very distant rips but there</t>
  </si>
  <si>
    <t>r flat 350</t>
  </si>
  <si>
    <t>looks like ca3</t>
  </si>
  <si>
    <t>r flat 400 really nice spread</t>
  </si>
  <si>
    <t>r flat 300 spread but looks nice</t>
  </si>
  <si>
    <t>Just noticed that reference hadn't been properly applied to all channels, just on reference channels.</t>
  </si>
  <si>
    <t>r down, 300 +1/16</t>
  </si>
  <si>
    <t>r up +1/8</t>
  </si>
  <si>
    <t xml:space="preserve">splash r down +1/16 </t>
  </si>
  <si>
    <t>splash r down +1/16</t>
  </si>
  <si>
    <t>r flat +1/8</t>
  </si>
  <si>
    <t>r down +1/16</t>
  </si>
  <si>
    <t>r down splash +1/16</t>
  </si>
  <si>
    <t>r flat splash +1/8</t>
  </si>
  <si>
    <t xml:space="preserve">r flat +1/16 </t>
  </si>
  <si>
    <t>r flat -1/16</t>
  </si>
  <si>
    <t xml:space="preserve">r down +1/16 </t>
  </si>
  <si>
    <t>r flat splash -1/16</t>
  </si>
  <si>
    <t>r down -1/8</t>
  </si>
  <si>
    <t>r flat 350 good spread</t>
  </si>
  <si>
    <t xml:space="preserve">r flat 400 +1/16 </t>
  </si>
  <si>
    <t>r flat 1000</t>
  </si>
  <si>
    <t xml:space="preserve">r flat </t>
  </si>
  <si>
    <t>r up +1/16</t>
  </si>
  <si>
    <t>r flat/down +1/16</t>
  </si>
  <si>
    <t xml:space="preserve">r down/flat +1/16 </t>
  </si>
  <si>
    <t xml:space="preserve">splash r flat +1/8 </t>
  </si>
  <si>
    <t xml:space="preserve">splash +1/16 </t>
  </si>
  <si>
    <t xml:space="preserve">r down, splash -1/8 x4 r flat </t>
  </si>
  <si>
    <t xml:space="preserve">r flat, 400 spread +1/16 x3 </t>
  </si>
  <si>
    <t>r flat, splash +1/16 x4</t>
  </si>
  <si>
    <t>r down, 300 spread</t>
  </si>
  <si>
    <t>r flat, 400 spread +1/16 x3</t>
  </si>
  <si>
    <t>r down splash  -1/8 x3 r flat</t>
  </si>
  <si>
    <t>r flat, splash +1/8 x1</t>
  </si>
  <si>
    <t>r flat, 300 spread +1/16 x3</t>
  </si>
  <si>
    <t>r flat, 300 splash +1/16 x1</t>
  </si>
  <si>
    <t>r small and quiet, splash +1/8 x3</t>
  </si>
  <si>
    <t>r down, splash -1/8x4</t>
  </si>
  <si>
    <t>r quiet -1/8 x2</t>
  </si>
  <si>
    <t>r down, 300 spread -1/8 x1</t>
  </si>
  <si>
    <t>r down, 300 nice spread -1/16 x1</t>
  </si>
  <si>
    <t>r flat, quiet +1/16 x4</t>
  </si>
  <si>
    <t>r flat, 300 spread -1/16 x4</t>
  </si>
  <si>
    <t>r down, splash -1/8 x1 -1/16 x2</t>
  </si>
  <si>
    <t>r flat, quiet, splash -1/16 x3</t>
  </si>
  <si>
    <t>r flat, 500 nice spread</t>
  </si>
  <si>
    <t>r flat/down, 450 spread -1/16 x12 -1/8 x5</t>
  </si>
  <si>
    <t>r flat/down, 350 nice spread</t>
  </si>
  <si>
    <t>? +1/16 x4</t>
  </si>
  <si>
    <t>r flat, 475 spread</t>
  </si>
  <si>
    <t>r flat, 300 spread +1/16 x1</t>
  </si>
  <si>
    <t>r flat, 1100 spread</t>
  </si>
  <si>
    <t>r flat/down, 350 splash -1/8 x2</t>
  </si>
  <si>
    <t>r flat, 850 spread</t>
  </si>
  <si>
    <t>r flat, 400 spread +1/16 x2</t>
  </si>
  <si>
    <t>r flat/down, splash -1/8 x4</t>
  </si>
  <si>
    <t>r flat, splash -1/8 x2 r flat</t>
  </si>
  <si>
    <t>-1/8 x2 r flat</t>
  </si>
  <si>
    <t>r flat/down, 300 spread, +1/16x2</t>
  </si>
  <si>
    <t>r flat, 350 spread, +1/16x2</t>
  </si>
  <si>
    <t>r down, quiet, splash, -1/16x10</t>
  </si>
  <si>
    <t>r flat/up, 400 spread, +1/16x3</t>
  </si>
  <si>
    <t>r down, 300 spread, -1/16x8, spread growing, more flat</t>
  </si>
  <si>
    <t>r flat, 400 nice spread, +1/16</t>
  </si>
  <si>
    <t>r flat, 400 spread, +1/16x2</t>
  </si>
  <si>
    <t>r flat, splash, +1/16x3</t>
  </si>
  <si>
    <t>r flat, 300 splash, +1/16x2</t>
  </si>
  <si>
    <t>r flat, 300 spread, +1/16x3</t>
  </si>
  <si>
    <t>very down, -1/4x2, fuzz and flat</t>
  </si>
  <si>
    <t>very down, 300 nice spread, -1/8x6, flat</t>
  </si>
  <si>
    <t>r flat, quiet, +1/8x3</t>
  </si>
  <si>
    <t>r flat/up, splash, +1/8, spread growing</t>
  </si>
  <si>
    <t>r down, 650 spread</t>
  </si>
  <si>
    <t>r flat, quiet splash, -1/4x2 little louder?, -1/4</t>
  </si>
  <si>
    <t>r flat, 300 spread, +1/8, +1/16x3</t>
  </si>
  <si>
    <t>r flat, splash, +1/8, +1/16x2, louder, +1/16</t>
  </si>
  <si>
    <t>?, +1/4, deflections, +1/4 deflection, +1/4, fuzz, +1/4, +1/4, +1/8x2 ripples back slightly! +1/8x2, r!</t>
  </si>
  <si>
    <t>r flat/down, 400 nice spread</t>
  </si>
  <si>
    <t>r flat/up, splash, +1/8, deflections, flatter, +1/16x4</t>
  </si>
  <si>
    <t>r flat 1300 spread</t>
  </si>
  <si>
    <t>r flat/down, 400 spread, -1/16x4</t>
  </si>
  <si>
    <t>r down, 350 spread, -1/8 -1/16</t>
  </si>
  <si>
    <t>r flat, 400 spread, +1/16x3, found new cells?</t>
  </si>
  <si>
    <t>r flat, 300 spread, +1/16x2, growing</t>
  </si>
  <si>
    <t>r flat, splsah</t>
  </si>
  <si>
    <t>350 spread</t>
  </si>
  <si>
    <t>800 spread during behavior, giant cell popped up, not sure if ca1?</t>
  </si>
  <si>
    <t>giant cell during behavior, not convinced that this is ca1 though</t>
  </si>
  <si>
    <t>350 nice spread</t>
  </si>
  <si>
    <t>300 nice spread</t>
  </si>
  <si>
    <t>450 nice spread</t>
  </si>
  <si>
    <t>r down, 400 spread, huge cell popped up during behavior</t>
  </si>
  <si>
    <t>980 spread</t>
  </si>
  <si>
    <t>r flat, 300 some spread</t>
  </si>
  <si>
    <t>r down, -1/8x2, looks flatter</t>
  </si>
  <si>
    <t>r down, 400 decent spread</t>
  </si>
  <si>
    <t>r flat/down, 400 decent spread</t>
  </si>
  <si>
    <t>r flat, 400 decent spread</t>
  </si>
  <si>
    <t>r down, quiet, splash, -1/8x6, flatter, -1/8</t>
  </si>
  <si>
    <t>r flat, 350 some spread, +1/16</t>
  </si>
  <si>
    <t>r down, quiet, -1/8x19</t>
  </si>
  <si>
    <t>r flat/up, +1/8</t>
  </si>
  <si>
    <t>r flat, +1/16x2</t>
  </si>
  <si>
    <t>r flat/up, +1/16x4</t>
  </si>
  <si>
    <t>r up, quiet, +1/8, deflection, +1/8, +1/16x3, louder for sure</t>
  </si>
  <si>
    <t>r flat/up, +1/16x3</t>
  </si>
  <si>
    <t>r flat/up, +1/8 +1/16 deflection, +1/16, big kills and fuzzes</t>
  </si>
  <si>
    <t>r flat/up, +1/8, deflection, +1/16x6 +1/8, big deflection</t>
  </si>
  <si>
    <t>r flat/up, quiet, +1/16x2, deflection, +1/16x2, +1/8x2</t>
  </si>
  <si>
    <t>r down, 400 spread, -1/16x9 big fuzz</t>
  </si>
  <si>
    <t>r flat, quiet, +1/16x6</t>
  </si>
  <si>
    <t>r flat/up, kinda quiet, +1/16x4</t>
  </si>
  <si>
    <t>r flat 1400 spread</t>
  </si>
  <si>
    <t>r flat/up, +1/16, deflection, spread growing</t>
  </si>
  <si>
    <t>r flat/down, 500 spread, -1/16x2</t>
  </si>
  <si>
    <t>r flat/down, splash, -1/8x3, deflection and flat</t>
  </si>
  <si>
    <t>r down, -1/8x5, flatter</t>
  </si>
  <si>
    <t>r down, -1/8x4, flatter</t>
  </si>
  <si>
    <t>r down, splash, -1/4 -1/8, flatter</t>
  </si>
  <si>
    <t>r flat/up, 850 spread</t>
  </si>
  <si>
    <t>r down, small spread, -1/8x6, flatter</t>
  </si>
  <si>
    <t>400 some spread</t>
  </si>
  <si>
    <t>350 decent spread</t>
  </si>
  <si>
    <t>r flat/down, -1/8x4</t>
  </si>
  <si>
    <t>r flat/up, +1/16x8</t>
  </si>
  <si>
    <t>r flat/down, -1/8</t>
  </si>
  <si>
    <t>r flat/up, +1/16x7</t>
  </si>
  <si>
    <t>r flat/down, -1/16x5</t>
  </si>
  <si>
    <t>r flat/down, -1/16, spread changing</t>
  </si>
  <si>
    <t>r flat/up, 400 nice spread, +1/16x5</t>
  </si>
  <si>
    <t>r up, quiet, +1/8x8, deflection, +1/8, big fuzz, picking up cells</t>
  </si>
  <si>
    <t>r flat/down, +1/16x2</t>
  </si>
  <si>
    <t>r flat/up, +1/8 +1/16x3, spread changing</t>
  </si>
  <si>
    <t>r flat/up, +1/8x2, big fuzz and spread changin</t>
  </si>
  <si>
    <t>r flat/down, -1/16</t>
  </si>
  <si>
    <t>r flat/down, -1/16x3</t>
  </si>
  <si>
    <t>r flat/down, +1/16x3</t>
  </si>
  <si>
    <t>r flat/up, +1/8x2, +1/16x2</t>
  </si>
  <si>
    <t>r flat/down, -1/16x3, deflection, -1/16</t>
  </si>
  <si>
    <t>r flat/up, +1/8, deflection, +1/8x2, deflection, +1/8x2</t>
  </si>
  <si>
    <t>r flat/up, +1/16x4, +1/8x3 +1/16x2, deflections</t>
  </si>
  <si>
    <t>r flat/up, +1/16x4, +1/8x2, deflection, +1/8, deflection, +1/8x4 spread changing</t>
  </si>
  <si>
    <t>r flat/down, -1/16x2</t>
  </si>
  <si>
    <t>r up, +1/4x2 +1/8x2, +1/4x2, r flat cells!</t>
  </si>
  <si>
    <t>maybe downward deflections?, -1/4x4</t>
  </si>
  <si>
    <t>r flat/down, 400 decent spread, -1/16x3</t>
  </si>
  <si>
    <t>r flat/down, 350 spread, -1/8, spread changing</t>
  </si>
  <si>
    <t>r flat/down, 350 spread, -1/8x3</t>
  </si>
  <si>
    <t>r flat/down, 500 spread, -1/16x3</t>
  </si>
  <si>
    <t>r fflat/down, 400 spread, +1/16x3</t>
  </si>
  <si>
    <t>r flat/down, -1/8 -1/16</t>
  </si>
  <si>
    <t>r flat/down, 550 spread, -1/16x5, spread changing</t>
  </si>
  <si>
    <t>r flat/down, 700 spread</t>
  </si>
  <si>
    <t>r flat, -1/8</t>
  </si>
  <si>
    <t>r down, 400 nice spread, -1/16x6</t>
  </si>
  <si>
    <t>r flat/down, 500 nice spread</t>
  </si>
  <si>
    <t>r flat/down, 400 spread, -1/16x3</t>
  </si>
  <si>
    <t>r flat/down, -1/8x3</t>
  </si>
  <si>
    <t>r flat, 1500 spread</t>
  </si>
  <si>
    <t>r flat/down, -1/8x2</t>
  </si>
  <si>
    <t>1050 spread</t>
  </si>
  <si>
    <t>2200 spread</t>
  </si>
  <si>
    <t>sleep</t>
  </si>
  <si>
    <r>
      <rPr>
        <rFont val="Arial"/>
        <color theme="1"/>
      </rPr>
      <t xml:space="preserve">goal, </t>
    </r>
    <r>
      <rPr>
        <rFont val="Arial"/>
        <color theme="1"/>
      </rPr>
      <t>forageassistOFF</t>
    </r>
    <r>
      <rPr>
        <rFont val="Arial"/>
        <color theme="1"/>
      </rPr>
      <t>. 30 s lockout, delay 1500-3000 ms, 15 outerreps</t>
    </r>
  </si>
  <si>
    <t>first goal [5]. Started working right away, having trouble navigating with LED ring. Did some good behavior initially, then just stayed in the home well area, then just sat for a while. Pulled him out early to prevent poor behavior. This day is just to get him back into the swing of training.</t>
  </si>
  <si>
    <r>
      <rPr>
        <rFont val="Arial"/>
        <color theme="1"/>
      </rPr>
      <t xml:space="preserve">goal, </t>
    </r>
    <r>
      <rPr>
        <rFont val="Arial"/>
        <color theme="1"/>
      </rPr>
      <t>forageassistOFF</t>
    </r>
    <r>
      <rPr>
        <rFont val="Arial"/>
        <color theme="1"/>
      </rPr>
      <t>. 30 s lockout, delay 1500-3000 ms, 15 outerreps</t>
    </r>
  </si>
  <si>
    <t xml:space="preserve">first goal still [5] </t>
  </si>
  <si>
    <t>Sleep</t>
  </si>
  <si>
    <t>No References SET - first day of real recording. PTP not working</t>
  </si>
  <si>
    <r>
      <rPr>
        <rFont val="Arial"/>
        <color theme="1"/>
      </rPr>
      <t xml:space="preserve">goal, </t>
    </r>
    <r>
      <rPr>
        <rFont val="Arial"/>
        <b/>
        <color theme="1"/>
      </rPr>
      <t>forageassist2</t>
    </r>
    <r>
      <rPr>
        <rFont val="Arial"/>
        <color theme="1"/>
      </rPr>
      <t>. 30 s lockout, delay 1500-3000 ms, 15 outerreps</t>
    </r>
  </si>
  <si>
    <t xml:space="preserve">FIrst goals [4 8]. Lick artifact is a lot. Originally grounded everything but might change that. I see some strange pulsating in the LEDs, that matches some pulsing i've heard in the recording (esp on dead channels). Went to arm 8 and just sat there for a while initially. Did some trials, but has a lot of issues navigating with LED ring. Spent most of his time sleeping in arm 8. Finaaly found goal about 40min in! Tried disconnecting the milk ground wires about 60 min in. Helped with the big noise events, but not with the "popping" noise events. </t>
  </si>
  <si>
    <t>1hz tick present caused by RF antenna</t>
  </si>
  <si>
    <r>
      <rPr>
        <rFont val="Arial"/>
        <color theme="1"/>
      </rPr>
      <t xml:space="preserve">goal, </t>
    </r>
    <r>
      <rPr>
        <rFont val="Arial"/>
        <b/>
        <color theme="1"/>
      </rPr>
      <t>forageassist2</t>
    </r>
    <r>
      <rPr>
        <rFont val="Arial"/>
        <color theme="1"/>
      </rPr>
      <t>. 30 s lockout, delay 1500-3000 ms, 15 outerreps</t>
    </r>
  </si>
  <si>
    <t>Fixed PTP. Now calibrated. Pulse from earlier is at exactly 1s intervals. first goals [5 10]. Found goal at 10. 30min in has 6 goal visits. Spent the next 30min sleeping in arm 6. Taking home at 1hr</t>
  </si>
  <si>
    <t>1sec ticking was driven by an MCU power supply/ MCU grounding issue. unplugged/adjusted ground wire and it went away</t>
  </si>
  <si>
    <t xml:space="preserve">references still not finalized </t>
  </si>
  <si>
    <r>
      <rPr>
        <rFont val="Arial"/>
        <color theme="1"/>
      </rPr>
      <t xml:space="preserve">goal, </t>
    </r>
    <r>
      <rPr>
        <rFont val="Arial"/>
        <b/>
        <color theme="1"/>
      </rPr>
      <t>forageassist2</t>
    </r>
    <r>
      <rPr>
        <rFont val="Arial"/>
        <color theme="1"/>
      </rPr>
      <t>. 30 s lockout, delay 1500-3000 ms, 15 outerreps</t>
    </r>
  </si>
  <si>
    <t>first goals [4 10] found goal at [10]. Didn't do much work, visited goal 3 times then just stayed by home well, took a long nap, and got lots of errors. putting him back in sleep box early.</t>
  </si>
  <si>
    <r>
      <rPr>
        <rFont val="Arial"/>
        <color theme="1"/>
      </rPr>
      <t xml:space="preserve">goal, </t>
    </r>
    <r>
      <rPr>
        <rFont val="Arial"/>
        <b/>
        <color theme="1"/>
      </rPr>
      <t>forageassist2</t>
    </r>
    <r>
      <rPr>
        <rFont val="Arial"/>
        <color theme="1"/>
      </rPr>
      <t>. 30 s lockout, delay 1500-3000 ms, 15 outerreps</t>
    </r>
  </si>
  <si>
    <t>goals [4 7] found goal at [4]. Took a while to get started but actually working!  finished first goal at 68min. Second goal is [10 7]. Got stuck thinking [4] was goal. Slept the last 15 min in arm 1</t>
  </si>
  <si>
    <t xml:space="preserve">references set; tony trodesconf saved </t>
  </si>
  <si>
    <r>
      <rPr>
        <rFont val="Arial"/>
        <color theme="1"/>
      </rPr>
      <t xml:space="preserve">goal, </t>
    </r>
    <r>
      <rPr>
        <rFont val="Arial"/>
        <b/>
        <color theme="1"/>
      </rPr>
      <t>forageassist2</t>
    </r>
    <r>
      <rPr>
        <rFont val="Arial"/>
        <color theme="1"/>
      </rPr>
      <t>. 30 s lockout, delay 1500-3000 ms, 15 outerreps</t>
    </r>
  </si>
  <si>
    <t>goals [5,10]. found goal 10 on trial 2. lick artifact is clear (even with referencing) on both box and arm wells; but made worse by grounding to wall. working consistently and exploring well, but not repeating. seems frustrated at times but after abt 5 goals, is definitely repeating better. next goals [11 9]</t>
  </si>
  <si>
    <t>whole day - when unreferenced, huge 60hz noise - most likely because pump box was plugged in</t>
  </si>
  <si>
    <r>
      <rPr>
        <rFont val="Arial"/>
        <color theme="1"/>
      </rPr>
      <t xml:space="preserve">goal, </t>
    </r>
    <r>
      <rPr>
        <rFont val="Arial"/>
        <b/>
        <color theme="1"/>
      </rPr>
      <t>forageassist2</t>
    </r>
    <r>
      <rPr>
        <rFont val="Arial"/>
        <color theme="1"/>
      </rPr>
      <t>. 30 s lockout, delay 1500-3000 ms, 15 outerreps</t>
    </r>
  </si>
  <si>
    <t xml:space="preserve">goals [4 6]. found 4 quickly and repeated pretty well; next goals [6 8] and took a loooong break at home, does not seem motivated to search for next goal at all  but did get really lucky and found 8! </t>
  </si>
  <si>
    <t>ptp not calibrated upon start (but calibrating); ptp never calibrated?</t>
  </si>
  <si>
    <r>
      <rPr>
        <rFont val="Arial"/>
        <color theme="1"/>
      </rPr>
      <t xml:space="preserve">goal, </t>
    </r>
    <r>
      <rPr>
        <rFont val="Arial"/>
        <b/>
        <color theme="1"/>
      </rPr>
      <t>forageassist2</t>
    </r>
    <r>
      <rPr>
        <rFont val="Arial"/>
        <color theme="1"/>
      </rPr>
      <t>. 30 s lockout, delay 1500-3000 ms, 15 outerreps</t>
    </r>
  </si>
  <si>
    <t xml:space="preserve">ptp calibrating. first goals [9 11] got lucky on first goal and found [9] immediately. 1hz noise showed up real bad. spent a bit of time messing with grounding. Stopped recording because 1hz noise is so bad, it's not really usable. Lots of noise events and us fiddling with things. discovered that the noise is driven by the RF antenna </t>
  </si>
  <si>
    <r>
      <rPr>
        <rFont val="Arial"/>
        <color theme="1"/>
      </rPr>
      <t xml:space="preserve">goal, </t>
    </r>
    <r>
      <rPr>
        <rFont val="Arial"/>
        <b/>
        <color theme="1"/>
      </rPr>
      <t>forageassist2</t>
    </r>
    <r>
      <rPr>
        <rFont val="Arial"/>
        <color theme="1"/>
      </rPr>
      <t>. 30 s lockout, delay 1500-3000 ms, 15 outerreps</t>
    </r>
  </si>
  <si>
    <t>first goals [6 5] ptp calibrating. Found goal [6]. 30 min in has 2 goal visits. 40 min in hasn't moved in the past 15, just chilling near home well. Started working a bit, but not great.</t>
  </si>
  <si>
    <t>ptp synchronized. Might not have been referenced</t>
  </si>
  <si>
    <r>
      <rPr>
        <rFont val="Arial"/>
        <color theme="1"/>
      </rPr>
      <t xml:space="preserve">goal, </t>
    </r>
    <r>
      <rPr>
        <rFont val="Arial"/>
        <b/>
        <color theme="1"/>
      </rPr>
      <t>forageassist2</t>
    </r>
    <r>
      <rPr>
        <rFont val="Arial"/>
        <color theme="1"/>
      </rPr>
      <t>. 30 s lockout, delay 1500-3000 ms, 15 outerreps</t>
    </r>
  </si>
  <si>
    <t>goals [5,4], playing around with grounds, really noisy/fuzzy in the center/outer arms + when he's grooming, had to settle amplifiers multiple times; grounding outer arms made it worse so ungrounded again; found 4 at 11:38; next goals [9,6] (12:15ish) - getting a little frustrated, found [9] at 12:42, tried some more arms on that side but hasn't repeated</t>
  </si>
  <si>
    <t>ran long oops</t>
  </si>
  <si>
    <r>
      <rPr>
        <rFont val="Arial"/>
        <color theme="1"/>
      </rPr>
      <t xml:space="preserve">goal, </t>
    </r>
    <r>
      <rPr>
        <rFont val="Arial"/>
        <b/>
        <color theme="1"/>
      </rPr>
      <t>forageassist2</t>
    </r>
    <r>
      <rPr>
        <rFont val="Arial"/>
        <color theme="1"/>
      </rPr>
      <t>. 30 s lockout, delay 1500-3000 ms, 15 outerreps</t>
    </r>
  </si>
  <si>
    <t>goals [11,9] (forgot to restart python at first so had to restart the statescript and python one minute in), found 11 at 1:50; fiddled with the plug to the right of the mcu ground (thinking it was the ground wire) around 1:54 and haven't seen any fuzziness since then but now seeing lick artifacts on the outer arms, jk I still see the fuzziness somtimes; short session and no s3 so we can adjust before lab meeting</t>
  </si>
  <si>
    <t>adding foil around mcu ground completely got rid of the fuzzy noise!!</t>
  </si>
  <si>
    <t>S1</t>
  </si>
  <si>
    <r>
      <rPr>
        <rFont val="Arial"/>
        <color theme="1"/>
      </rPr>
      <t xml:space="preserve">goal, </t>
    </r>
    <r>
      <rPr>
        <rFont val="Arial"/>
        <b/>
        <color theme="1"/>
      </rPr>
      <t>forageassist2</t>
    </r>
    <r>
      <rPr>
        <rFont val="Arial"/>
        <color theme="1"/>
      </rPr>
      <t>. 30 s lockout, delay 1500-3000 ms, 15 outerreps</t>
    </r>
  </si>
  <si>
    <t>first goal [10 4], found [10] 45 min in completed first goal block. next block is [11 7]. Found [11] by 1hr but has slowed down quite a bit. At 77min basically just sticking to home area. Going to pull him out early.</t>
  </si>
  <si>
    <r>
      <rPr>
        <rFont val="Arial"/>
        <color theme="1"/>
      </rPr>
      <t xml:space="preserve">goal, </t>
    </r>
    <r>
      <rPr>
        <rFont val="Arial"/>
        <b/>
        <color theme="1"/>
      </rPr>
      <t>forageassist2</t>
    </r>
    <r>
      <rPr>
        <rFont val="Arial"/>
        <color theme="1"/>
      </rPr>
      <t>. 30 s lockout, delay 1500-3000 ms, 15 outerreps</t>
    </r>
  </si>
  <si>
    <t xml:space="preserve">first goals [5 7] found [7] by 25min, but only 1 visit. 45min hasn't left the home area for about 10 min. Just has a bunch of locktype2 errors. </t>
  </si>
  <si>
    <r>
      <rPr>
        <rFont val="Arial"/>
        <color theme="1"/>
      </rPr>
      <t xml:space="preserve">goal, </t>
    </r>
    <r>
      <rPr>
        <rFont val="Arial"/>
        <b/>
        <color theme="1"/>
      </rPr>
      <t>forageassist2</t>
    </r>
    <r>
      <rPr>
        <rFont val="Arial"/>
        <color theme="1"/>
      </rPr>
      <t>. 30 s lockout, delay 1500-3000 ms, 15 outerreps</t>
    </r>
  </si>
  <si>
    <t>first goals [6,8] found 8 at 10:14, doing work but really struggling to repeat as of 10:56, just sitting at the home well at 11:07. not repeating well at all but did do stuff for most of the session</t>
  </si>
  <si>
    <t>longer sleep</t>
  </si>
  <si>
    <r>
      <rPr>
        <rFont val="Arial"/>
        <color theme="1"/>
      </rPr>
      <t xml:space="preserve">goal, </t>
    </r>
    <r>
      <rPr>
        <rFont val="Arial"/>
        <b/>
        <color theme="1"/>
      </rPr>
      <t>forageassist2</t>
    </r>
    <r>
      <rPr>
        <rFont val="Arial"/>
        <color theme="1"/>
      </rPr>
      <t>. 30 s lockout, delay 1500-3000 ms, 15 outerreps</t>
    </r>
  </si>
  <si>
    <t>first goals [7,11], found 11 at 1:03, repeating well! (albeit easy arm), weirdly uneven distribution of rip vs waits (not due to any biases on his part but just which ones got randomly selected?); next goals [9,10] (1:33) found 10 at 1:38; took a 20 minute nap between 1:50-2:10 but now working again... was repeating again at the end but the computer ran out of space :(( (need to remember to empty the trash!)</t>
  </si>
  <si>
    <t>Note: there's some moderately audible construction happening in the neighboring room today</t>
  </si>
  <si>
    <r>
      <rPr>
        <rFont val="Arial"/>
        <color theme="1"/>
      </rPr>
      <t xml:space="preserve">goal, </t>
    </r>
    <r>
      <rPr>
        <rFont val="Arial"/>
        <b/>
        <color theme="1"/>
      </rPr>
      <t>forageassist2</t>
    </r>
    <r>
      <rPr>
        <rFont val="Arial"/>
        <color theme="1"/>
      </rPr>
      <t>. 30 s lockout, delay 1500-3000 ms, 15 outerreps</t>
    </r>
  </si>
  <si>
    <t>first goals [9,6], found 9 at 10:13. big sharp lick artifact at outer arms, has been napping for 15 min at 11:03, currently at 30 homes and 2 goals, started working again but doesn't remember where the goal is, has tried goal 10 a bunch of times, finally found 9 again at 11:26</t>
  </si>
  <si>
    <r>
      <rPr>
        <rFont val="Arial"/>
        <color theme="1"/>
      </rPr>
      <t xml:space="preserve">goal, </t>
    </r>
    <r>
      <rPr>
        <rFont val="Arial"/>
        <b/>
        <color theme="1"/>
      </rPr>
      <t>forageassist2</t>
    </r>
    <r>
      <rPr>
        <rFont val="Arial"/>
        <color theme="1"/>
      </rPr>
      <t>. 30 s lockout, delay 1500-3000 ms, 15 outerreps</t>
    </r>
  </si>
  <si>
    <t xml:space="preserve">first goals [4,11], found 4 at 12:40, finally found it again at 1:21. tons of home loop and just sitting at the home well, not motivated (or frustrated?) even tho it should have been an easy arm. </t>
  </si>
  <si>
    <r>
      <rPr>
        <rFont val="Arial"/>
        <color theme="1"/>
      </rPr>
      <t xml:space="preserve">goal, </t>
    </r>
    <r>
      <rPr>
        <rFont val="Arial"/>
        <b/>
        <color theme="1"/>
      </rPr>
      <t>forageassist2</t>
    </r>
    <r>
      <rPr>
        <rFont val="Arial"/>
        <color theme="1"/>
      </rPr>
      <t>. 30 s lockout, delay 1500-3000 ms, 15 outerreps</t>
    </r>
  </si>
  <si>
    <t>first goals [10,4], found 4 at 10:25, slowly but surely repeating, actually ended up repeating pretty quickly! next goals [11, 6] (10:50) , found 11 at 11:19. Stayed in arm 8 and slept the rest of the time.</t>
  </si>
  <si>
    <r>
      <rPr>
        <rFont val="Arial"/>
        <color theme="1"/>
      </rPr>
      <t xml:space="preserve">goal, </t>
    </r>
    <r>
      <rPr>
        <rFont val="Arial"/>
        <b/>
        <color theme="1"/>
      </rPr>
      <t>forageassist2</t>
    </r>
    <r>
      <rPr>
        <rFont val="Arial"/>
        <color theme="1"/>
      </rPr>
      <t>. 30 s lockout, delay 1500-3000 ms, 15 outerreps</t>
    </r>
  </si>
  <si>
    <t>first goals [5,9], found 5 at 1:55, has been working hard but is really struggling</t>
  </si>
  <si>
    <t>cleaning pump box was accidentally plugged in for this session</t>
  </si>
  <si>
    <r>
      <rPr>
        <rFont val="Arial"/>
        <color theme="1"/>
      </rPr>
      <t xml:space="preserve">goal, </t>
    </r>
    <r>
      <rPr>
        <rFont val="Arial"/>
        <b/>
        <color theme="1"/>
      </rPr>
      <t>forageassist2</t>
    </r>
    <r>
      <rPr>
        <rFont val="Arial"/>
        <color theme="1"/>
      </rPr>
      <t>. 30 s lockout, delay 1500-3000 ms, 15 outerreps</t>
    </r>
  </si>
  <si>
    <t>first goals [4,10], found 4 at 10:14, big lick artifact on the outer arms :/ some channels seem extra fuzzy today. also just realized he's gotten 4 for 3 days in a row now (although didn't do anything with it on 4/9), ring wasn't turned on immediately, next goals [9,7] (10:34) found 9 at 10:36, doing a lot of work but just not getting it</t>
  </si>
  <si>
    <r>
      <rPr>
        <rFont val="Arial"/>
        <color theme="1"/>
      </rPr>
      <t xml:space="preserve">goal, </t>
    </r>
    <r>
      <rPr>
        <rFont val="Arial"/>
        <b/>
        <color theme="1"/>
      </rPr>
      <t>forageassist2</t>
    </r>
    <r>
      <rPr>
        <rFont val="Arial"/>
        <color theme="1"/>
      </rPr>
      <t>. 30 s lockout, delay 1500-3000 ms, 15 outerreps</t>
    </r>
  </si>
  <si>
    <t>first goals [6,5], found 5 at 12:45, clearly does not favor this arm</t>
  </si>
  <si>
    <r>
      <rPr>
        <rFont val="Arial"/>
        <color theme="1"/>
      </rPr>
      <t xml:space="preserve">goal, </t>
    </r>
    <r>
      <rPr>
        <rFont val="Arial"/>
        <b/>
        <color theme="1"/>
      </rPr>
      <t>forageassist2</t>
    </r>
    <r>
      <rPr>
        <rFont val="Arial"/>
        <color theme="1"/>
      </rPr>
      <t xml:space="preserve">. </t>
    </r>
    <r>
      <rPr>
        <rFont val="Arial"/>
        <b/>
        <color theme="1"/>
      </rPr>
      <t>45 s lockout</t>
    </r>
    <r>
      <rPr>
        <rFont val="Arial"/>
        <color theme="1"/>
      </rPr>
      <t>, delay 1500-3000 ms, 15 outerreps</t>
    </r>
  </si>
  <si>
    <t>first goal [4 6]. Found goal at [6] within 10 min. at 40min has found goal 3 times, but has started getting lots of errors. Fell asleep next to wait well or ~10min. Stopping recording and putting back in sleep box. Forgot to fill out his score! Scores are a guess from later in the day</t>
  </si>
  <si>
    <r>
      <rPr>
        <rFont val="Arial"/>
        <color theme="1"/>
      </rPr>
      <t xml:space="preserve">goal, </t>
    </r>
    <r>
      <rPr>
        <rFont val="Arial"/>
        <b/>
        <color theme="1"/>
      </rPr>
      <t>forageassist2</t>
    </r>
    <r>
      <rPr>
        <rFont val="Arial"/>
        <color theme="1"/>
      </rPr>
      <t xml:space="preserve">. </t>
    </r>
    <r>
      <rPr>
        <rFont val="Arial"/>
        <b/>
        <color theme="1"/>
      </rPr>
      <t>45 s lockout,</t>
    </r>
    <r>
      <rPr>
        <rFont val="Arial"/>
        <color theme="1"/>
      </rPr>
      <t xml:space="preserve"> delay 1500-3000 ms, 15 outerreps</t>
    </r>
  </si>
  <si>
    <t xml:space="preserve">First goals [5 6] found goal at [6]. 12min in has 4 goal visits. First goal block finished 50min in. Second goal [5 11]. Found [11] at 55min in. 61min napping near home well. After nap is just getting lots of errors. Picked up and doing well again at 80min. </t>
  </si>
  <si>
    <r>
      <rPr>
        <rFont val="Arial"/>
        <color theme="1"/>
      </rPr>
      <t xml:space="preserve">goal, </t>
    </r>
    <r>
      <rPr>
        <rFont val="Arial"/>
        <b/>
        <color theme="1"/>
      </rPr>
      <t>forageassist2</t>
    </r>
    <r>
      <rPr>
        <rFont val="Arial"/>
        <color theme="1"/>
      </rPr>
      <t>. 45 s lockout, delay 1500-3000 ms, 15 outerreps</t>
    </r>
  </si>
  <si>
    <t>first goals [9,5], trying hard but hasn't found either goal at 11:04. worked hard but very tragic session for tony</t>
  </si>
  <si>
    <r>
      <rPr>
        <rFont val="Arial"/>
        <color theme="1"/>
      </rPr>
      <t xml:space="preserve">goal, </t>
    </r>
    <r>
      <rPr>
        <rFont val="Arial"/>
        <b/>
        <color theme="1"/>
      </rPr>
      <t>forageassist2</t>
    </r>
    <r>
      <rPr>
        <rFont val="Arial"/>
        <color theme="1"/>
      </rPr>
      <t>. 45 s lockout</t>
    </r>
    <r>
      <rPr>
        <rFont val="Arial"/>
        <b/>
        <color theme="1"/>
      </rPr>
      <t>,</t>
    </r>
    <r>
      <rPr>
        <rFont val="Arial"/>
        <color theme="1"/>
      </rPr>
      <t xml:space="preserve"> delay 1500-3000 ms, 15 outerreps</t>
    </r>
  </si>
  <si>
    <t>first goals [8,6], found 8 at 1:36</t>
  </si>
  <si>
    <t>ptp still calibrating</t>
  </si>
  <si>
    <t>ptp issues</t>
  </si>
  <si>
    <r>
      <rPr>
        <rFont val="Arial"/>
        <color theme="1"/>
      </rPr>
      <t xml:space="preserve">goal, </t>
    </r>
    <r>
      <rPr>
        <rFont val="Arial"/>
        <b/>
        <color theme="1"/>
      </rPr>
      <t>forageassist2</t>
    </r>
    <r>
      <rPr>
        <rFont val="Arial"/>
        <color theme="1"/>
      </rPr>
      <t>. 45 s lockout, delay 1500-3000 ms, 15 outerreps</t>
    </r>
  </si>
  <si>
    <t xml:space="preserve">ptp still calibrating. Goals [7 5]. Goal is [7] found in 15min. 55min in only has 4 goal visits and 20 type2 errors. </t>
  </si>
  <si>
    <r>
      <rPr>
        <rFont val="Arial"/>
        <b/>
        <color theme="1"/>
      </rPr>
      <t>3 goals</t>
    </r>
    <r>
      <rPr>
        <rFont val="Arial"/>
        <color theme="1"/>
      </rPr>
      <t>, forageassistOFF. 45 s lockout, delay 1500-3000 ms, 15 outerreps</t>
    </r>
  </si>
  <si>
    <t>first goals [9,7,8], reverting him back to multi-goal version to see if we can inspire him to have less lock2s, 10/15 repeats were for arm 9! lots of good change-of-mind trials (starting to go down arm 10 and then changing mind) and so far, only 2 lock2 errors. next goals [10,4,7] (12:57) - doing an ok job repeating, mostly arm 7
note: ptp started calibrating with computer again part-way through the session?</t>
  </si>
  <si>
    <t>Ptp still calibrating</t>
  </si>
  <si>
    <t>ptp still calibrating? idk what's going on with it recently, might be worth a restart</t>
  </si>
  <si>
    <r>
      <rPr>
        <rFont val="Arial"/>
        <b/>
        <color theme="1"/>
      </rPr>
      <t>2 goals</t>
    </r>
    <r>
      <rPr>
        <rFont val="Arial"/>
        <color theme="1"/>
      </rPr>
      <t>, forageassistOFF. 45 s lockout, delay 1500-3000 ms, 15 outerreps</t>
    </r>
  </si>
  <si>
    <t>ptp still calibrating, should figure this out before the next recording session 
first goals [5,11]. trying all the ones that were rewarded during his last session, working hard, but got confused by [11] not 'getting rewarded' for some trials that he didn't properly initiate :/ (he's done that so many times), next goals [4,10] (11:51) - ptp synchronized 75 mins in. many home loops and when he does go out, is perseverating at 11. ptp back to calibrating by end of ep</t>
  </si>
  <si>
    <r>
      <rPr>
        <rFont val="Arial"/>
        <b/>
        <color theme="1"/>
      </rPr>
      <t>3 goals</t>
    </r>
    <r>
      <rPr>
        <rFont val="Arial"/>
        <color theme="1"/>
      </rPr>
      <t>, forageassistOFF. 45 s lockout, delay 1500-3000 ms, 15 outerreps</t>
    </r>
  </si>
  <si>
    <t>ptp was synchronized but as soon as I reopened the cameramodule after switching cameras recalibrating, something about switching the cameras results in ptp calibrating again...
first goals [11, 9, 7], next goals [10,8,11], 3:24, stopping him here because don't want him getting in the habit of just going to 11
back to his usual lock2 shenanigans :/</t>
  </si>
  <si>
    <t>ptp not calibrating</t>
  </si>
  <si>
    <t>restarted computer and ptp before this and now ptp synchronized! a lot of really awful high frequency noise today, not sure from what, only on some of the channels --&gt; pressing down on his headstage securely fixed it!</t>
  </si>
  <si>
    <r>
      <rPr>
        <rFont val="Arial"/>
        <b/>
        <color theme="1"/>
      </rPr>
      <t>3 goals</t>
    </r>
    <r>
      <rPr>
        <rFont val="Arial"/>
        <color theme="1"/>
      </rPr>
      <t xml:space="preserve">, forageassistOFF. 45 s lockout, delay 1500-3000 ms, 15 outerreps, </t>
    </r>
    <r>
      <rPr>
        <rFont val="Arial"/>
        <b/>
        <color theme="1"/>
      </rPr>
      <t>excluding arm 11</t>
    </r>
  </si>
  <si>
    <t>first goals [10,6,5], next goals [9,8,10] (12:19) is being really silly with the lock2 after the goal switch (and towards the end of the last block), taking him out a bit early</t>
  </si>
  <si>
    <r>
      <rPr>
        <rFont val="Arial"/>
        <b/>
        <color theme="1"/>
      </rPr>
      <t>2 goals</t>
    </r>
    <r>
      <rPr>
        <rFont val="Arial"/>
        <color theme="1"/>
      </rPr>
      <t xml:space="preserve">, forageassistOFF. 45 s lockout, delay 1500-3000 ms, 15 outerreps, </t>
    </r>
    <r>
      <rPr>
        <rFont val="Arial"/>
        <b/>
        <color theme="1"/>
      </rPr>
      <t>excluding arm 11</t>
    </r>
  </si>
  <si>
    <t>first goals [7,9], really perseverating from earlier goals :/</t>
  </si>
  <si>
    <r>
      <rPr>
        <rFont val="Arial"/>
        <b/>
        <color theme="1"/>
      </rPr>
      <t>2 goals</t>
    </r>
    <r>
      <rPr>
        <rFont val="Arial"/>
        <color theme="1"/>
      </rPr>
      <t xml:space="preserve">, forageassistOFF. 45 s lockout, delay 1500-3000 ms, 15 outerreps, </t>
    </r>
    <r>
      <rPr>
        <rFont val="Arial"/>
        <b/>
        <color theme="1"/>
      </rPr>
      <t>excluding arm 11</t>
    </r>
  </si>
  <si>
    <t xml:space="preserve">first goals [10 4] 40 min in completed first goal block (mostly [10]). Second goal block [8 7], he's doing so well and has had so many cool changes of mind during this session! mostly arm 7 repeats, next goals [9,10] (12:18) - by the end found goal, but kept getting type2 errors. Seems done. Forgot to record score :( He did really well though! </t>
  </si>
  <si>
    <r>
      <rPr>
        <rFont val="Arial"/>
        <b/>
        <color theme="1"/>
      </rPr>
      <t>2 goals</t>
    </r>
    <r>
      <rPr>
        <rFont val="Arial"/>
        <color theme="1"/>
      </rPr>
      <t>, forageassistOFF. 45 s lockout, delay 1500-3000 ms, 15 outerreps</t>
    </r>
  </si>
  <si>
    <t>first goals [4 9]. 45min into recording and only has 6 goal visits, 17lockout2, 23 other visits. Must just be a hard couple goals for him. 74 min in and has 32lo2 and only 7 goal visits. Just doing lockouts pretty much the hwole time. Taking him out for sleep ses.</t>
  </si>
  <si>
    <t>was super noisy at the start, squeezed the foil on the mcu ground and that fixed it, thicker-band noise coming back again partway through session</t>
  </si>
  <si>
    <r>
      <rPr>
        <rFont val="Arial"/>
        <b/>
        <color theme="1"/>
      </rPr>
      <t>2 goals</t>
    </r>
    <r>
      <rPr>
        <rFont val="Arial"/>
        <color theme="1"/>
      </rPr>
      <t>, forageassistOFF. 45 s lockout, delay 1500-3000 ms, 15 outerreps</t>
    </r>
  </si>
  <si>
    <t>positioning the mcu ground just right fixed the noise
first goals [11,9] - mostly 11, next goals [8,5] (10:48) - started having a lot of lock2 errors and perseverated a lot at arm 11</t>
  </si>
  <si>
    <r>
      <rPr>
        <rFont val="Arial"/>
        <b/>
        <color theme="1"/>
      </rPr>
      <t>2 goals</t>
    </r>
    <r>
      <rPr>
        <rFont val="Arial"/>
        <color theme="1"/>
      </rPr>
      <t>, forageassistOFF. 45 s lockout, delay 1500-3000 ms, 15 outerreps</t>
    </r>
  </si>
  <si>
    <t>first goals [5,4], not doing well, so many lock2s. taking him out</t>
  </si>
  <si>
    <t xml:space="preserve">home well luer had cracked and was leaking air; replaced valve .might have contributed to poor behavior yesterday r2? </t>
  </si>
  <si>
    <t xml:space="preserve">cameramodule crashed sometime during this ep, was no longer present at end </t>
  </si>
  <si>
    <r>
      <rPr>
        <rFont val="Arial"/>
        <color theme="1"/>
      </rPr>
      <t xml:space="preserve">goal, </t>
    </r>
    <r>
      <rPr>
        <rFont val="Arial"/>
        <b/>
        <color theme="1"/>
      </rPr>
      <t>forageassist2</t>
    </r>
    <r>
      <rPr>
        <rFont val="Arial"/>
        <color theme="1"/>
      </rPr>
      <t>. 45 s lockout, delay 1500-3000 ms, 15 outerreps</t>
    </r>
  </si>
  <si>
    <t>goals [9 6]. found 9 right away. seems pretty active and eager but keeps going to wrong center well - why!?</t>
  </si>
  <si>
    <r>
      <rPr>
        <rFont val="Arial"/>
        <color theme="1"/>
      </rPr>
      <t xml:space="preserve">goal, </t>
    </r>
    <r>
      <rPr>
        <rFont val="Arial"/>
        <b/>
        <color theme="1"/>
      </rPr>
      <t>forageassist2</t>
    </r>
    <r>
      <rPr>
        <rFont val="Arial"/>
        <color theme="1"/>
      </rPr>
      <t>. 45 s lockout</t>
    </r>
    <r>
      <rPr>
        <rFont val="Arial"/>
        <b/>
        <color theme="1"/>
      </rPr>
      <t>,</t>
    </r>
    <r>
      <rPr>
        <rFont val="Arial"/>
        <color theme="1"/>
      </rPr>
      <t xml:space="preserve"> delay 1500-3000 ms, 15 outerreps</t>
    </r>
  </si>
  <si>
    <t>goals [5, 6]. found 6 right away. is actually doing ok?  is having SO many COM trials today! next goals are [9, 5], he's really perseverating at the old goal. next goal is 5</t>
  </si>
  <si>
    <r>
      <rPr>
        <rFont val="Arial"/>
        <color theme="1"/>
      </rPr>
      <t xml:space="preserve">goal, </t>
    </r>
    <r>
      <rPr>
        <rFont val="Arial"/>
        <b/>
        <color theme="1"/>
      </rPr>
      <t>forageassistOFF</t>
    </r>
    <r>
      <rPr>
        <rFont val="Arial"/>
        <color theme="1"/>
      </rPr>
      <t>. 45 s lockout, delay 1500-3000 ms, 15 outerreps</t>
    </r>
  </si>
  <si>
    <t>first goal [8] - did so well!!, next goal [4] (11:45) - found goal once but is now getting frustrated and doing lock2s (he had almost none from the first block), really perseverated at previous goal and got frustrated</t>
  </si>
  <si>
    <r>
      <rPr>
        <rFont val="Arial"/>
        <color theme="1"/>
      </rPr>
      <t xml:space="preserve">goal, </t>
    </r>
    <r>
      <rPr>
        <rFont val="Arial"/>
        <b/>
        <color theme="1"/>
      </rPr>
      <t>forageassistOFF</t>
    </r>
    <r>
      <rPr>
        <rFont val="Arial"/>
        <color theme="1"/>
      </rPr>
      <t>. 45 s lockout</t>
    </r>
    <r>
      <rPr>
        <rFont val="Arial"/>
        <b/>
        <color theme="1"/>
      </rPr>
      <t>,</t>
    </r>
    <r>
      <rPr>
        <rFont val="Arial"/>
        <color theme="1"/>
      </rPr>
      <t xml:space="preserve"> delay 1500-3000 ms, 15 outerreps</t>
    </r>
  </si>
  <si>
    <t xml:space="preserve">first goal [7], next goal [11] (found at 1:40 but not sure when he completed the first block) - </t>
  </si>
  <si>
    <r>
      <rPr>
        <rFont val="Arial"/>
        <color theme="1"/>
      </rPr>
      <t xml:space="preserve">goal, </t>
    </r>
    <r>
      <rPr>
        <rFont val="Arial"/>
        <b/>
        <color theme="1"/>
      </rPr>
      <t>forageassistOFF</t>
    </r>
    <r>
      <rPr>
        <rFont val="Arial"/>
        <color theme="1"/>
      </rPr>
      <t>. 45 s lockout, delay 1500-3000 ms, 15 outerreps</t>
    </r>
  </si>
  <si>
    <t>first goal [4] 25 min in has 2 goal visits, 7 lockout2, 16 other. 50min has 3 goal, 18 lockout2, 24 other. 70min 6 goal, 27 other, 29 lockout2. 80 min in and no better. Putting him to bed.</t>
  </si>
  <si>
    <r>
      <rPr>
        <rFont val="Arial"/>
        <color theme="1"/>
      </rPr>
      <t xml:space="preserve">goal, </t>
    </r>
    <r>
      <rPr>
        <rFont val="Arial"/>
        <b/>
        <color theme="1"/>
      </rPr>
      <t>forageassistOFF</t>
    </r>
    <r>
      <rPr>
        <rFont val="Arial"/>
        <color theme="1"/>
      </rPr>
      <t>. 45 s lockout</t>
    </r>
    <r>
      <rPr>
        <rFont val="Arial"/>
        <b/>
        <color theme="1"/>
      </rPr>
      <t>,</t>
    </r>
    <r>
      <rPr>
        <rFont val="Arial"/>
        <color theme="1"/>
      </rPr>
      <t xml:space="preserve"> delay 1500-3000 ms, 15 outerreps</t>
    </r>
  </si>
  <si>
    <t>first goal [8]. 37min completed first goal block. Next goal [7]. 1hr 16 lockout2, 17 goal, 30 other.</t>
  </si>
  <si>
    <r>
      <rPr>
        <rFont val="Arial"/>
        <color theme="1"/>
      </rPr>
      <t xml:space="preserve">goal, forageassistOFF. 45 s lockout, delay 1500-3000 ms, </t>
    </r>
    <r>
      <rPr>
        <rFont val="Arial"/>
        <b/>
        <color theme="1"/>
      </rPr>
      <t>4-12 outerreps</t>
    </r>
  </si>
  <si>
    <t>first goal [9] outerreps 8. 45min in has 2 goal visits, 60 min in has gotten 23 lockout2s and most in the last 20min. Going to pull him.</t>
  </si>
  <si>
    <r>
      <rPr>
        <rFont val="Arial"/>
        <color theme="1"/>
      </rPr>
      <t xml:space="preserve">goal, forageassistOFF. 45 s lockout, delay 1500-3000 ms, </t>
    </r>
    <r>
      <rPr>
        <rFont val="Arial"/>
        <b/>
        <color theme="1"/>
      </rPr>
      <t>4-12 outerreps</t>
    </r>
  </si>
  <si>
    <t>First goal [11] outerreps 4. Camera module crashed at 12min. Restarted. Was able to get it going after pausing. Second goal is [8]. Video module crashed again at 91 min. so lcose to getting second goal block! Gonna stop him now since it crashed</t>
  </si>
  <si>
    <r>
      <rPr>
        <rFont val="Arial"/>
        <color theme="1"/>
      </rPr>
      <t xml:space="preserve">goal, forageassistOFF. 45 s lockout, delay 1500-3000 ms, </t>
    </r>
    <r>
      <rPr>
        <rFont val="Arial"/>
        <b/>
        <color theme="1"/>
      </rPr>
      <t>4-12 outerreps</t>
    </r>
  </si>
  <si>
    <t>first goal [5], outerreps 8. working hard on others but this is his worst arm. cameramodule crashed at 10:44, paused briefly and got it up and running again. crashed again at 10:47, paused and restarted again, finally found 5 for the first time at 10:52 (after 4 lock2s and 27 outers :')) was doing pretty well all things considered with 12 lock2s, 6 goals, and 49 outers at 11:28, but starting to get frustrated with more lock2s</t>
  </si>
  <si>
    <r>
      <rPr>
        <rFont val="Arial"/>
        <color theme="1"/>
      </rPr>
      <t xml:space="preserve">goal, forageassistOFF. 45 s lockout, delay 1500-3000 ms, </t>
    </r>
    <r>
      <rPr>
        <rFont val="Arial"/>
        <b/>
        <color theme="1"/>
      </rPr>
      <t>4-12 outerreps</t>
    </r>
  </si>
  <si>
    <t xml:space="preserve">First goal [7] 30min in has 3 goals, 9 lockout2. 60 min 8 goal, 26 other, 22 lockout2. Working hard but not getting it right. Second goal is [8] </t>
  </si>
  <si>
    <r>
      <rPr>
        <rFont val="Arial"/>
        <color theme="1"/>
      </rPr>
      <t xml:space="preserve">goal, forageassistOFF. 45 s lockout, delay 1500-3000 ms, </t>
    </r>
    <r>
      <rPr>
        <rFont val="Arial"/>
        <b/>
        <color theme="1"/>
      </rPr>
      <t>4-12 outerreps</t>
    </r>
  </si>
  <si>
    <t>first goal [8], outerreps 4, next goal [11] (10:59), outerreps 6, next goal [7[ (11:33), outerreps 9, next goal [4] (12:10)</t>
  </si>
  <si>
    <r>
      <rPr>
        <rFont val="Arial"/>
        <color theme="1"/>
      </rPr>
      <t xml:space="preserve">goal, forageassistOFF. 45 s lockout, delay 1500-3000 ms, </t>
    </r>
    <r>
      <rPr>
        <rFont val="Arial"/>
        <b/>
        <color theme="1"/>
      </rPr>
      <t>4-12 outerreps</t>
    </r>
  </si>
  <si>
    <t>first goal [4], outerreps 7, not his greatest work... did a very bad job repeating this arm
note: some of his channels have that fuzzy wide noise on them, futzed with the ground wire foil a bit but didn't help much, might be a headstage thing but odn't want to mess with it during the recording</t>
  </si>
  <si>
    <t>accidentally turned on light right before stopping the session, some fuzzy noise on some channels, replaced the aluminum foil around the mcu ground and that fixed it</t>
  </si>
  <si>
    <r>
      <rPr>
        <rFont val="Arial"/>
        <color theme="1"/>
      </rPr>
      <t xml:space="preserve">goal, forageassistOFF. 45 s lockout, delay 1500-3000 ms, </t>
    </r>
    <r>
      <rPr>
        <rFont val="Arial"/>
        <b/>
        <color theme="1"/>
      </rPr>
      <t>4-12 outerreps</t>
    </r>
  </si>
  <si>
    <t>first goal [5], outerreps 9, really bad at this arm, stopping a little early; keep wondering if maybe there's something wrong with wells 4 and 5 dispensing milk but cio7 had both of those as goals yesterday and had no issues so I think it's just tony being tony</t>
  </si>
  <si>
    <r>
      <rPr>
        <rFont val="Arial"/>
        <color theme="1"/>
      </rPr>
      <t xml:space="preserve">goal, forageassistOFF. 45 s lockout, delay 1500-3000 ms, </t>
    </r>
    <r>
      <rPr>
        <rFont val="Arial"/>
        <b/>
        <color theme="1"/>
      </rPr>
      <t>4-12 outerreps</t>
    </r>
  </si>
  <si>
    <t>first goal [9], outerreps 12, working pretty consistently the whole time but just not doing well, thought he started getting it towards the end but was very sporadic</t>
  </si>
  <si>
    <r>
      <rPr>
        <rFont val="Arial"/>
        <color theme="1"/>
      </rPr>
      <t xml:space="preserve">goal, forageassistOFF. 45 s lockout, delay 1500-3000 ms, </t>
    </r>
    <r>
      <rPr>
        <rFont val="Arial"/>
        <b/>
        <color theme="1"/>
      </rPr>
      <t>4-12 outerreps</t>
    </r>
  </si>
  <si>
    <t>first goal [8], outerreps 9. next goal [10] (10:29), perseverated a bunch at the old goal, got frustrated - did eventually figure it out and get through the goal block! next goal [11] (before 11:30), but is def frustrated again, and is home-looping - is doing trials again, so I don't want to take him out just yet, even though his time should be about up - and he's home looping again</t>
  </si>
  <si>
    <r>
      <rPr>
        <rFont val="Arial"/>
        <color theme="1"/>
      </rPr>
      <t xml:space="preserve">goal, forageassistOFF. 45 s lockout, delay 1500-3000 ms, </t>
    </r>
    <r>
      <rPr>
        <rFont val="Arial"/>
        <b/>
        <color theme="1"/>
      </rPr>
      <t>4-12 outerreps</t>
    </r>
  </si>
  <si>
    <t xml:space="preserve">first goal [7], outerreps 7, found the goal once fairly quickly, but is really struggling to find it again -- found the goal again at 1:08, but didn't start repeating for another few trials (1:12) -- second goal [5] at 1:17, seems to be perseverating a little -- now seems to be frustrated, and is home looping (1:23) -- found the goal at 1:27, next goal is [8] (sometime before 2:04) - </t>
  </si>
  <si>
    <r>
      <rPr>
        <rFont val="Arial"/>
        <color theme="1"/>
      </rPr>
      <t xml:space="preserve">goal, forageassistOFF. 45 s lockout, delay 1500-3000 ms, </t>
    </r>
    <r>
      <rPr>
        <rFont val="Arial"/>
        <b/>
        <color theme="1"/>
      </rPr>
      <t>4-12 outerreps</t>
    </r>
  </si>
  <si>
    <t>first goal [10], outerreps 5, next goal [5] (11:31), cameramodule crashed at 11:34, paused and restarted. cameramodule crashed again at 11:49, paused and restarted. perseverating at the old goal and has only found new goal once (he hates that arm)</t>
  </si>
  <si>
    <r>
      <rPr>
        <rFont val="Arial"/>
        <color theme="1"/>
      </rPr>
      <t xml:space="preserve">goal, forageassistOFF. 45 s lockout, delay 1500-3000 ms, </t>
    </r>
    <r>
      <rPr>
        <rFont val="Arial"/>
        <b/>
        <color theme="1"/>
      </rPr>
      <t>4-12 outerreps</t>
    </r>
  </si>
  <si>
    <t>first goal [4] puterreps 11. 30min in has 1 goal visit and 15 LO2, 13 other. Something weird happened with the signal around 63 min in, lots of high amplitude artifact. It was transient but occured when he rested his head on a wall of the maze. Finished first goal block ~60min. Second goal [11]. Really just getting lockout2s now though. not tony's best day!</t>
  </si>
  <si>
    <t>cameramodule might have crashed at some point without me noticing :/</t>
  </si>
  <si>
    <r>
      <rPr>
        <rFont val="Arial"/>
        <color theme="1"/>
      </rPr>
      <t xml:space="preserve">goal, forageassistOFF. 45 s lockout, delay 1500-3000 ms, </t>
    </r>
    <r>
      <rPr>
        <rFont val="Arial"/>
        <b/>
        <color theme="1"/>
      </rPr>
      <t>4-12 outerreps</t>
    </r>
  </si>
  <si>
    <t>first goal [8], outerreps 12, some good vtes and changes of mind in this session! next goal [4] (11:04), had so many lock2s after this ugh, doesn't seem motivated after the first goal block</t>
  </si>
  <si>
    <t xml:space="preserve">Long sleep session. </t>
  </si>
  <si>
    <r>
      <rPr>
        <rFont val="Arial"/>
        <color theme="1"/>
      </rPr>
      <t xml:space="preserve">goal, forageassistOFF. 45 s lockout, delay 1500-3000 ms, </t>
    </r>
    <r>
      <rPr>
        <rFont val="Arial"/>
        <b/>
        <color theme="1"/>
      </rPr>
      <t>4-12 outerreps</t>
    </r>
  </si>
  <si>
    <t>fisrt goal [6], outerreps 5, goal switched to 4 near the end but he wasn't convincingly repeating, literally has below chance goal arm visits</t>
  </si>
  <si>
    <r>
      <rPr>
        <rFont val="Arial"/>
        <color theme="1"/>
      </rPr>
      <t xml:space="preserve">goal, forageassistOFF. 45 s lockout, delay 1500-3000 ms, </t>
    </r>
    <r>
      <rPr>
        <rFont val="Arial"/>
        <b/>
        <color theme="1"/>
      </rPr>
      <t>4-12 outerreps</t>
    </r>
  </si>
  <si>
    <t>first goal [10] outerreps 6. Got this first goal fairly quickly, then go frustrated. Second goal [9] so hsould be pretty easy for him. 60min has 20 lockout2, 2 goal, 24 other.</t>
  </si>
  <si>
    <t>PTP not yet calibrated</t>
  </si>
  <si>
    <r>
      <rPr>
        <rFont val="Arial"/>
        <color theme="1"/>
      </rPr>
      <t xml:space="preserve">goal, forageassistOFF. 45 s lockout, delay 1500-3000 ms, </t>
    </r>
    <r>
      <rPr>
        <rFont val="Arial"/>
        <b/>
        <color theme="1"/>
      </rPr>
      <t>4-12 outerreps</t>
    </r>
  </si>
  <si>
    <t xml:space="preserve">Had some delays during start for this session - pump issues. first goal [9] outerreps 6. 45 min in has 19 lockout2 4 goal, 19 other. Finished first goal block 74min in. Next goal is [7]. </t>
  </si>
  <si>
    <r>
      <rPr>
        <rFont val="Arial"/>
        <color theme="1"/>
      </rPr>
      <t xml:space="preserve">goal, forageassistOFF. 45 s lockout, delay 1500-3000 ms, </t>
    </r>
    <r>
      <rPr>
        <rFont val="Arial"/>
        <b/>
        <color theme="1"/>
      </rPr>
      <t>4-12 outerreps</t>
    </r>
  </si>
  <si>
    <t xml:space="preserve">First goal [11] outerreps 12. 60min in 17 lockout2, goal 12, other 32. </t>
  </si>
  <si>
    <t>NOTE: if computer restarts and the Data drive is unmounted, an easy way for alder to find it again is by opening the storage settings and clicking on Data. Somehow that seems to mount it and it should be able to find it in both the file explorer and on Trodes after that.</t>
  </si>
  <si>
    <t>Data drive is mounted in /media/gl-alder/Data</t>
  </si>
  <si>
    <t>rat</t>
  </si>
  <si>
    <t>cumulative</t>
  </si>
  <si>
    <t>epoch</t>
  </si>
  <si>
    <t>goal/other</t>
  </si>
  <si>
    <t>cio3</t>
  </si>
  <si>
    <t>forage, 8 arms rewarded. 3 s lockout, delay 100-200ms</t>
  </si>
  <si>
    <t>explored some arms! but napped a lot</t>
  </si>
  <si>
    <t>cio4</t>
  </si>
  <si>
    <t>forage, 8 arms rewarded. 3 s lockout, delay 100-200 ms</t>
  </si>
  <si>
    <t>cio7</t>
  </si>
  <si>
    <t>cio9</t>
  </si>
  <si>
    <t>learned home well, center well loop; was pretty freaked out to get taken out of the maze this first time</t>
  </si>
  <si>
    <t>increase lockout tomorrow</t>
  </si>
  <si>
    <r>
      <rPr>
        <rFont val="Arial"/>
        <color theme="1"/>
      </rPr>
      <t xml:space="preserve">forage, 8 arms rewarded. </t>
    </r>
    <r>
      <rPr>
        <rFont val="Arial"/>
        <b/>
        <color theme="1"/>
      </rPr>
      <t>7 s lockout,</t>
    </r>
    <r>
      <rPr>
        <rFont val="Arial"/>
        <color theme="1"/>
      </rPr>
      <t xml:space="preserve"> delay 100-200 ms</t>
    </r>
  </si>
  <si>
    <r>
      <rPr>
        <rFont val="Arial"/>
        <color theme="1"/>
      </rPr>
      <t xml:space="preserve">forage, 8 arms rewarded. </t>
    </r>
    <r>
      <rPr>
        <rFont val="Arial"/>
        <b/>
        <color theme="1"/>
      </rPr>
      <t>5 s lockout,</t>
    </r>
    <r>
      <rPr>
        <rFont val="Arial"/>
        <color theme="1"/>
      </rPr>
      <t xml:space="preserve"> delay 100-200 ms</t>
    </r>
  </si>
  <si>
    <r>
      <rPr>
        <rFont val="Arial"/>
        <color theme="1"/>
      </rPr>
      <t xml:space="preserve">forage, 8 arms rewarded. </t>
    </r>
    <r>
      <rPr>
        <rFont val="Arial"/>
        <b/>
        <color theme="1"/>
      </rPr>
      <t>10 s lockout,</t>
    </r>
    <r>
      <rPr>
        <rFont val="Arial"/>
        <color theme="1"/>
      </rPr>
      <t xml:space="preserve"> delay 100-200 ms</t>
    </r>
  </si>
  <si>
    <r>
      <rPr>
        <rFont val="Arial"/>
        <color theme="1"/>
      </rPr>
      <t xml:space="preserve">forage, 8 arms rewarded. </t>
    </r>
    <r>
      <rPr>
        <rFont val="Arial"/>
        <b/>
        <color theme="1"/>
      </rPr>
      <t>5 s lockout,</t>
    </r>
    <r>
      <rPr>
        <rFont val="Arial"/>
        <color theme="1"/>
      </rPr>
      <t xml:space="preserve"> delay 100-200 ms</t>
    </r>
  </si>
  <si>
    <t>mostly just napping. started at end of arm 1 for first 10 mins, then moving around better - at least visit and licked at arms 8 and 3</t>
  </si>
  <si>
    <t>bug trial 6 mins in where home and l well stayed on when he went out, then both centers lit up on next trial. doing well, good motivation</t>
  </si>
  <si>
    <r>
      <rPr>
        <rFont val="Arial"/>
        <color theme="1"/>
      </rPr>
      <t xml:space="preserve">forage, 8 arms rewarded. </t>
    </r>
    <r>
      <rPr>
        <rFont val="Arial"/>
        <b/>
        <color theme="1"/>
      </rPr>
      <t>12 s lockout,</t>
    </r>
    <r>
      <rPr>
        <rFont val="Arial"/>
        <color theme="1"/>
      </rPr>
      <t xml:space="preserve"> delay 100-200 ms</t>
    </r>
  </si>
  <si>
    <t>now super biased against one of the center wells</t>
  </si>
  <si>
    <t xml:space="preserve">Got an error on startup about the recording freq. Timing seems off too. I'm concerned that the timing issue is throwing off how long the pumps are turned on for. </t>
  </si>
  <si>
    <r>
      <rPr>
        <rFont val="Arial"/>
        <color theme="1"/>
      </rPr>
      <t xml:space="preserve">forage, 8 arms rewarded. </t>
    </r>
    <r>
      <rPr>
        <rFont val="Arial"/>
        <b/>
        <color theme="1"/>
      </rPr>
      <t>7 s lockout,</t>
    </r>
    <r>
      <rPr>
        <rFont val="Arial"/>
        <color theme="1"/>
      </rPr>
      <t xml:space="preserve"> delay 100-200 ms</t>
    </r>
  </si>
  <si>
    <t>ay</t>
  </si>
  <si>
    <t>After setting him in the maze he just ran to arm 1 and sat there.</t>
  </si>
  <si>
    <t>Not going out to reward arms, just staying near home well. Tons of type2 errors, will need to increase lockout</t>
  </si>
  <si>
    <r>
      <rPr>
        <rFont val="Arial"/>
        <color theme="1"/>
      </rPr>
      <t xml:space="preserve">forage, 8 arms rewarded. </t>
    </r>
    <r>
      <rPr>
        <rFont val="Arial"/>
        <b/>
        <color theme="1"/>
      </rPr>
      <t>12 s lockout,</t>
    </r>
    <r>
      <rPr>
        <rFont val="Arial"/>
        <color theme="1"/>
      </rPr>
      <t xml:space="preserve"> delay 100-200 ms</t>
    </r>
  </si>
  <si>
    <t>I left for a bit and he was doing really well. Once I returned he froze up for a while. Started up again eventually.</t>
  </si>
  <si>
    <r>
      <rPr>
        <rFont val="Arial"/>
        <color theme="1"/>
      </rPr>
      <t xml:space="preserve">forage, 8 arms rewarded. </t>
    </r>
    <r>
      <rPr>
        <rFont val="Arial"/>
        <color theme="1"/>
      </rPr>
      <t>7 s lockout,</t>
    </r>
    <r>
      <rPr>
        <rFont val="Arial"/>
        <color theme="1"/>
      </rPr>
      <t xml:space="preserve"> delay 100-200 ms</t>
    </r>
  </si>
  <si>
    <t>Did 2 trials then sat around. Literally just napped in arm 1 the rest of the time.</t>
  </si>
  <si>
    <r>
      <rPr>
        <rFont val="Arial"/>
        <color theme="1"/>
      </rPr>
      <t xml:space="preserve">forage, 8 arms rewarded. </t>
    </r>
    <r>
      <rPr>
        <rFont val="Arial"/>
        <b/>
        <color theme="1"/>
      </rPr>
      <t>7 s lockout</t>
    </r>
    <r>
      <rPr>
        <rFont val="Arial"/>
        <color theme="1"/>
      </rPr>
      <t>, delay 100-200 ms</t>
    </r>
  </si>
  <si>
    <t>Did pretty good</t>
  </si>
  <si>
    <r>
      <rPr>
        <rFont val="Arial"/>
        <color theme="1"/>
      </rPr>
      <t xml:space="preserve">forage, 8 arms rewarded. </t>
    </r>
    <r>
      <rPr>
        <rFont val="Arial"/>
        <color theme="1"/>
      </rPr>
      <t>12 s lockout,</t>
    </r>
    <r>
      <rPr>
        <rFont val="Arial"/>
        <color theme="1"/>
      </rPr>
      <t xml:space="preserve"> delay 100-200 ms</t>
    </r>
  </si>
  <si>
    <t>Seems to get it. A bit lopsided in the wait/rip department though</t>
  </si>
  <si>
    <r>
      <rPr>
        <rFont val="Arial"/>
        <color theme="1"/>
      </rPr>
      <t xml:space="preserve">forage, 8 arms rewarded. </t>
    </r>
    <r>
      <rPr>
        <rFont val="Arial"/>
        <b/>
        <color theme="1"/>
      </rPr>
      <t>10 s lockout,</t>
    </r>
    <r>
      <rPr>
        <rFont val="Arial"/>
        <color theme="1"/>
      </rPr>
      <t xml:space="preserve"> delay 100-200 ms</t>
    </r>
  </si>
  <si>
    <t xml:space="preserve">had a weird error where the home and center well stayed on but he still got reward at an outer well? (I think it was the correct sequence of pokes at the beginning) I think same as bug trial for cio07 on 2/5
gave him some nudges at 11:25 but didn't do anything, just went to sit in a different arm :/ </t>
  </si>
  <si>
    <r>
      <rPr>
        <rFont val="Arial"/>
        <color theme="1"/>
      </rPr>
      <t xml:space="preserve">forage, 8 arms rewarded. </t>
    </r>
    <r>
      <rPr>
        <rFont val="Arial"/>
        <b/>
        <color theme="1"/>
      </rPr>
      <t>10 s lockout</t>
    </r>
    <r>
      <rPr>
        <rFont val="Arial"/>
        <color theme="1"/>
      </rPr>
      <t>, delay 100-200 ms</t>
    </r>
  </si>
  <si>
    <t>he's a pro!!</t>
  </si>
  <si>
    <r>
      <rPr>
        <rFont val="Arial"/>
        <color theme="1"/>
      </rPr>
      <t xml:space="preserve">forage, 8 arms rewarded. </t>
    </r>
    <r>
      <rPr>
        <rFont val="Arial"/>
        <b/>
        <color theme="1"/>
      </rPr>
      <t>15 s lockout,</t>
    </r>
    <r>
      <rPr>
        <rFont val="Arial"/>
        <color theme="1"/>
      </rPr>
      <t xml:space="preserve"> delay 100-200 ms</t>
    </r>
  </si>
  <si>
    <t>also a pro!</t>
  </si>
  <si>
    <r>
      <rPr>
        <rFont val="Arial"/>
        <color theme="1"/>
      </rPr>
      <t xml:space="preserve">forage, 8 arms rewarded. </t>
    </r>
    <r>
      <rPr>
        <rFont val="Arial"/>
        <color theme="1"/>
      </rPr>
      <t>10 s lockout,</t>
    </r>
    <r>
      <rPr>
        <rFont val="Arial"/>
        <color theme="1"/>
      </rPr>
      <t xml:space="preserve"> delay 100-200 ms</t>
    </r>
  </si>
  <si>
    <t>Did some work early on, but has been sitting in arm1 for a while just napping. Started working again at about 25min. Forgot to record score, based of what I remembered was there</t>
  </si>
  <si>
    <t>excl arms 2,7</t>
  </si>
  <si>
    <r>
      <rPr>
        <rFont val="Arial"/>
        <color theme="1"/>
      </rPr>
      <t xml:space="preserve">forage, 8 arms rewarded. </t>
    </r>
    <r>
      <rPr>
        <rFont val="Arial"/>
        <color theme="1"/>
      </rPr>
      <t>10 s lockout,</t>
    </r>
    <r>
      <rPr>
        <rFont val="Arial"/>
        <color theme="1"/>
      </rPr>
      <t xml:space="preserve"> delay 100-200 ms</t>
    </r>
  </si>
  <si>
    <t>Doing pretty good!  Lots of issues but at least he's working</t>
  </si>
  <si>
    <t>Wow! He did some things!</t>
  </si>
  <si>
    <r>
      <rPr>
        <rFont val="Arial"/>
        <color theme="1"/>
      </rPr>
      <t xml:space="preserve">forage, 8 arms rewarded. </t>
    </r>
    <r>
      <rPr>
        <rFont val="Arial"/>
        <color theme="1"/>
      </rPr>
      <t>10 s lockout,</t>
    </r>
    <r>
      <rPr>
        <rFont val="Arial"/>
        <color theme="1"/>
      </rPr>
      <t xml:space="preserve"> delay 100-200 ms</t>
    </r>
  </si>
  <si>
    <t>Wow, look at that. He did some things!</t>
  </si>
  <si>
    <t>Wow, him too! Awesome</t>
  </si>
  <si>
    <r>
      <rPr>
        <rFont val="Arial"/>
        <color theme="1"/>
      </rPr>
      <t xml:space="preserve">forage, 8 arms rewarded. </t>
    </r>
    <r>
      <rPr>
        <rFont val="Arial"/>
        <b/>
        <color theme="1"/>
      </rPr>
      <t>15 s lockout</t>
    </r>
    <r>
      <rPr>
        <rFont val="Arial"/>
        <color theme="1"/>
      </rPr>
      <t>, delay 100-200 ms</t>
    </r>
  </si>
  <si>
    <t>Holy heck</t>
  </si>
  <si>
    <r>
      <rPr>
        <rFont val="Arial"/>
        <color theme="1"/>
      </rPr>
      <t xml:space="preserve">forage, 8 arms rewarded. </t>
    </r>
    <r>
      <rPr>
        <rFont val="Arial"/>
        <b/>
        <color theme="1"/>
      </rPr>
      <t>20 s lockout,</t>
    </r>
    <r>
      <rPr>
        <rFont val="Arial"/>
        <color theme="1"/>
      </rPr>
      <t xml:space="preserve"> delay 100-200 ms</t>
    </r>
  </si>
  <si>
    <t>WOW</t>
  </si>
  <si>
    <r>
      <rPr>
        <rFont val="Arial"/>
        <color theme="1"/>
      </rPr>
      <t xml:space="preserve">forage, 8 arms rewarded. </t>
    </r>
    <r>
      <rPr>
        <rFont val="Arial"/>
        <color theme="1"/>
      </rPr>
      <t>10 s lockout,</t>
    </r>
    <r>
      <rPr>
        <rFont val="Arial"/>
        <color theme="1"/>
      </rPr>
      <t xml:space="preserve"> delay 100-200 ms</t>
    </r>
  </si>
  <si>
    <t xml:space="preserve">Doing well. </t>
  </si>
  <si>
    <t>Needs to bump up lockout time</t>
  </si>
  <si>
    <r>
      <rPr>
        <rFont val="Arial"/>
        <color theme="1"/>
      </rPr>
      <t xml:space="preserve">forage, 8 arms rewarded. </t>
    </r>
    <r>
      <rPr>
        <rFont val="Arial"/>
        <b/>
        <color theme="1"/>
      </rPr>
      <t>12</t>
    </r>
    <r>
      <rPr>
        <rFont val="Arial"/>
        <color theme="1"/>
      </rPr>
      <t xml:space="preserve"> s lockout, delay 100-200 ms</t>
    </r>
  </si>
  <si>
    <r>
      <rPr>
        <rFont val="Arial"/>
        <color theme="1"/>
      </rPr>
      <t xml:space="preserve">forage, 8 arms rewarded. </t>
    </r>
    <r>
      <rPr>
        <rFont val="Arial"/>
        <b/>
        <color theme="1"/>
      </rPr>
      <t>5</t>
    </r>
    <r>
      <rPr>
        <rFont val="Arial"/>
        <color theme="1"/>
      </rPr>
      <t xml:space="preserve"> s lockout, delay 100-200 ms</t>
    </r>
  </si>
  <si>
    <t xml:space="preserve">Increase lockout to 10 seconds </t>
  </si>
  <si>
    <r>
      <rPr>
        <rFont val="Arial"/>
        <color theme="1"/>
      </rPr>
      <t xml:space="preserve">forage, 8 arms rewarded. </t>
    </r>
    <r>
      <rPr>
        <rFont val="Arial"/>
        <b/>
        <color theme="1"/>
      </rPr>
      <t>15</t>
    </r>
    <r>
      <rPr>
        <rFont val="Arial"/>
        <color theme="1"/>
      </rPr>
      <t xml:space="preserve"> s lockout, delay 100-200 ms</t>
    </r>
  </si>
  <si>
    <t>Maybe needs to be even longer lockout</t>
  </si>
  <si>
    <r>
      <rPr>
        <rFont val="Arial"/>
        <color theme="1"/>
      </rPr>
      <t xml:space="preserve">forage, 8 arms rewarded.  </t>
    </r>
    <r>
      <rPr>
        <rFont val="Arial"/>
        <b/>
        <color theme="1"/>
      </rPr>
      <t>10</t>
    </r>
    <r>
      <rPr>
        <rFont val="Arial"/>
        <color theme="1"/>
      </rPr>
      <t>s lockout, delay 100-200 ms</t>
    </r>
  </si>
  <si>
    <t>Immediately went to arm1 to nap. I guess he needs a higher lockout</t>
  </si>
  <si>
    <r>
      <rPr>
        <rFont val="Arial"/>
        <color theme="1"/>
      </rPr>
      <t xml:space="preserve">forage, </t>
    </r>
    <r>
      <rPr>
        <rFont val="Arial"/>
        <b/>
        <color theme="1"/>
      </rPr>
      <t>7</t>
    </r>
    <r>
      <rPr>
        <rFont val="Arial"/>
        <color theme="1"/>
      </rPr>
      <t xml:space="preserve"> arms rewarded. </t>
    </r>
    <r>
      <rPr>
        <rFont val="Arial"/>
        <b/>
        <color theme="1"/>
      </rPr>
      <t>20 s lockout</t>
    </r>
    <r>
      <rPr>
        <rFont val="Arial"/>
        <color theme="1"/>
      </rPr>
      <t xml:space="preserve">, </t>
    </r>
    <r>
      <rPr>
        <rFont val="Arial"/>
        <b/>
        <color theme="1"/>
      </rPr>
      <t>delay 500-1000 ms</t>
    </r>
  </si>
  <si>
    <t>Crushing it! Reduce reward arm options for tomorrow</t>
  </si>
  <si>
    <r>
      <rPr>
        <rFont val="Arial"/>
        <color theme="1"/>
      </rPr>
      <t xml:space="preserve">forage, </t>
    </r>
    <r>
      <rPr>
        <rFont val="Arial"/>
        <b/>
        <color theme="1"/>
      </rPr>
      <t>7</t>
    </r>
    <r>
      <rPr>
        <rFont val="Arial"/>
        <color theme="1"/>
      </rPr>
      <t xml:space="preserve"> arms rewarded. </t>
    </r>
    <r>
      <rPr>
        <rFont val="Arial"/>
        <b/>
        <color theme="1"/>
      </rPr>
      <t>20 s lockout</t>
    </r>
    <r>
      <rPr>
        <rFont val="Arial"/>
        <color theme="1"/>
      </rPr>
      <t xml:space="preserve">, </t>
    </r>
    <r>
      <rPr>
        <rFont val="Arial"/>
        <b/>
        <color theme="1"/>
      </rPr>
      <t>delay 500-1000 ms</t>
    </r>
  </si>
  <si>
    <t>Did great! Advance as well</t>
  </si>
  <si>
    <r>
      <rPr>
        <rFont val="Arial"/>
        <color theme="1"/>
      </rPr>
      <t xml:space="preserve">forage, 8 arms rewarded. </t>
    </r>
    <r>
      <rPr>
        <rFont val="Arial"/>
        <b/>
        <color theme="1"/>
      </rPr>
      <t>20</t>
    </r>
    <r>
      <rPr>
        <rFont val="Arial"/>
        <color theme="1"/>
      </rPr>
      <t xml:space="preserve"> s lockout, delay 100-200 ms</t>
    </r>
  </si>
  <si>
    <r>
      <rPr>
        <rFont val="Arial"/>
        <color theme="1"/>
      </rPr>
      <t xml:space="preserve">forage, 8 arms rewarded.  </t>
    </r>
    <r>
      <rPr>
        <rFont val="Arial"/>
        <b/>
        <color theme="1"/>
      </rPr>
      <t>15</t>
    </r>
    <r>
      <rPr>
        <rFont val="Arial"/>
        <color theme="1"/>
      </rPr>
      <t>s lockout, delay 100-200 ms</t>
    </r>
  </si>
  <si>
    <t>Keep setting</t>
  </si>
  <si>
    <r>
      <rPr>
        <rFont val="Arial"/>
        <color theme="1"/>
      </rPr>
      <t xml:space="preserve">forage, 8 arms rewarded. </t>
    </r>
    <r>
      <rPr>
        <rFont val="Arial"/>
        <b/>
        <color theme="1"/>
      </rPr>
      <t>20 s lockout</t>
    </r>
    <r>
      <rPr>
        <rFont val="Arial"/>
        <color theme="1"/>
      </rPr>
      <t xml:space="preserve">, </t>
    </r>
    <r>
      <rPr>
        <rFont val="Arial"/>
        <b/>
        <color theme="1"/>
      </rPr>
      <t>delay 500-1000 ms</t>
    </r>
  </si>
  <si>
    <r>
      <rPr>
        <rFont val="Arial"/>
        <color theme="1"/>
      </rPr>
      <t xml:space="preserve">forage, 8 arms rewarded.  </t>
    </r>
    <r>
      <rPr>
        <rFont val="Arial"/>
        <b/>
        <color theme="1"/>
      </rPr>
      <t>15</t>
    </r>
    <r>
      <rPr>
        <rFont val="Arial"/>
        <color theme="1"/>
      </rPr>
      <t>s lockout, delay 100-200 ms</t>
    </r>
  </si>
  <si>
    <t>Did pretty good! Seems to have a bias on the rip/wait wells. Kept working after I came in to get him</t>
  </si>
  <si>
    <r>
      <rPr>
        <rFont val="Arial"/>
        <color theme="1"/>
      </rPr>
      <t>forage,</t>
    </r>
    <r>
      <rPr>
        <rFont val="Arial"/>
        <b/>
        <color theme="1"/>
      </rPr>
      <t xml:space="preserve"> 6 arms</t>
    </r>
    <r>
      <rPr>
        <rFont val="Arial"/>
        <color theme="1"/>
      </rPr>
      <t xml:space="preserve"> rewarded. </t>
    </r>
    <r>
      <rPr>
        <rFont val="Arial"/>
        <b/>
        <color theme="1"/>
      </rPr>
      <t>20 s lockout</t>
    </r>
    <r>
      <rPr>
        <rFont val="Arial"/>
        <color theme="1"/>
      </rPr>
      <t xml:space="preserve">, </t>
    </r>
    <r>
      <rPr>
        <rFont val="Arial"/>
        <b/>
        <color theme="1"/>
      </rPr>
      <t>delay 500-1500 ms</t>
    </r>
  </si>
  <si>
    <t>Did pretty good!</t>
  </si>
  <si>
    <r>
      <rPr>
        <rFont val="Arial"/>
        <color theme="1"/>
      </rPr>
      <t xml:space="preserve">forage, 8 arms rewarded.  </t>
    </r>
    <r>
      <rPr>
        <rFont val="Arial"/>
        <b/>
        <color theme="1"/>
      </rPr>
      <t>20</t>
    </r>
    <r>
      <rPr>
        <rFont val="Arial"/>
        <color theme="1"/>
      </rPr>
      <t>s lockout, delay 100-200 ms</t>
    </r>
  </si>
  <si>
    <t>Ready for 6 arms</t>
  </si>
  <si>
    <r>
      <rPr>
        <rFont val="Arial"/>
        <color theme="1"/>
      </rPr>
      <t xml:space="preserve">forage, </t>
    </r>
    <r>
      <rPr>
        <rFont val="Arial"/>
        <b/>
        <color theme="1"/>
      </rPr>
      <t>6</t>
    </r>
    <r>
      <rPr>
        <rFont val="Arial"/>
        <color theme="1"/>
      </rPr>
      <t xml:space="preserve"> </t>
    </r>
    <r>
      <rPr>
        <rFont val="Arial"/>
        <b/>
        <color theme="1"/>
      </rPr>
      <t>arms</t>
    </r>
    <r>
      <rPr>
        <rFont val="Arial"/>
        <color theme="1"/>
      </rPr>
      <t xml:space="preserve"> rewarded. </t>
    </r>
    <r>
      <rPr>
        <rFont val="Arial"/>
        <b/>
        <color theme="1"/>
      </rPr>
      <t>20 s lockout</t>
    </r>
    <r>
      <rPr>
        <rFont val="Arial"/>
        <color theme="1"/>
      </rPr>
      <t xml:space="preserve">, </t>
    </r>
    <r>
      <rPr>
        <rFont val="Arial"/>
        <b/>
        <color theme="1"/>
      </rPr>
      <t>delay 500-1500 ms</t>
    </r>
  </si>
  <si>
    <t>Good to move ahead!</t>
  </si>
  <si>
    <r>
      <rPr>
        <rFont val="Arial"/>
        <color theme="1"/>
      </rPr>
      <t xml:space="preserve">forage, </t>
    </r>
    <r>
      <rPr>
        <rFont val="Arial"/>
        <b/>
        <color theme="1"/>
      </rPr>
      <t>6 arms</t>
    </r>
    <r>
      <rPr>
        <rFont val="Arial"/>
        <color theme="1"/>
      </rPr>
      <t xml:space="preserve"> rewarded. </t>
    </r>
    <r>
      <rPr>
        <rFont val="Arial"/>
        <b/>
        <color theme="1"/>
      </rPr>
      <t>20 s lockout</t>
    </r>
    <r>
      <rPr>
        <rFont val="Arial"/>
        <color theme="1"/>
      </rPr>
      <t xml:space="preserve">, </t>
    </r>
    <r>
      <rPr>
        <rFont val="Arial"/>
        <b/>
        <color theme="1"/>
      </rPr>
      <t>delay 500-1500 ms</t>
    </r>
  </si>
  <si>
    <t xml:space="preserve">good! hasnt learned to avoid unrewarded outers </t>
  </si>
  <si>
    <r>
      <rPr>
        <rFont val="Arial"/>
        <color theme="1"/>
      </rPr>
      <t>forage,</t>
    </r>
    <r>
      <rPr>
        <rFont val="Arial"/>
        <b/>
        <color theme="1"/>
      </rPr>
      <t xml:space="preserve"> 6 arms</t>
    </r>
    <r>
      <rPr>
        <rFont val="Arial"/>
        <color theme="1"/>
      </rPr>
      <t xml:space="preserve"> rewarded. </t>
    </r>
    <r>
      <rPr>
        <rFont val="Arial"/>
        <b/>
        <color theme="1"/>
      </rPr>
      <t>20 s lockout</t>
    </r>
    <r>
      <rPr>
        <rFont val="Arial"/>
        <color theme="1"/>
      </rPr>
      <t xml:space="preserve">, </t>
    </r>
    <r>
      <rPr>
        <rFont val="Arial"/>
        <b/>
        <color theme="1"/>
      </rPr>
      <t>delay 500-1500 ms</t>
    </r>
  </si>
  <si>
    <t>loves arms 2 and 7 and becasue these are both rewarded, he hasn't noticed the reduction of arm nums. exclude these arms next time</t>
  </si>
  <si>
    <r>
      <rPr>
        <rFont val="Arial"/>
        <color theme="1"/>
      </rPr>
      <t xml:space="preserve">forage, 8 arms rewarded.  </t>
    </r>
    <r>
      <rPr>
        <rFont val="Arial"/>
        <b/>
        <color theme="1"/>
      </rPr>
      <t>20</t>
    </r>
    <r>
      <rPr>
        <rFont val="Arial"/>
        <color theme="1"/>
      </rPr>
      <t xml:space="preserve">s lockout, </t>
    </r>
    <r>
      <rPr>
        <rFont val="Arial"/>
        <b/>
        <color theme="1"/>
      </rPr>
      <t>delay 500-1500 ms</t>
    </r>
  </si>
  <si>
    <t>was on a roll at end so let him keep going. still sometimes does the home loop</t>
  </si>
  <si>
    <r>
      <rPr>
        <rFont val="Arial"/>
        <color theme="1"/>
      </rPr>
      <t xml:space="preserve">forage, </t>
    </r>
    <r>
      <rPr>
        <rFont val="Arial"/>
        <b/>
        <color theme="1"/>
      </rPr>
      <t>6</t>
    </r>
    <r>
      <rPr>
        <rFont val="Arial"/>
        <color theme="1"/>
      </rPr>
      <t xml:space="preserve"> </t>
    </r>
    <r>
      <rPr>
        <rFont val="Arial"/>
        <b/>
        <color theme="1"/>
      </rPr>
      <t>arms</t>
    </r>
    <r>
      <rPr>
        <rFont val="Arial"/>
        <color theme="1"/>
      </rPr>
      <t xml:space="preserve"> rewarded. </t>
    </r>
    <r>
      <rPr>
        <rFont val="Arial"/>
        <b/>
        <color theme="1"/>
      </rPr>
      <t>20 s lockout</t>
    </r>
    <r>
      <rPr>
        <rFont val="Arial"/>
        <color theme="1"/>
      </rPr>
      <t xml:space="preserve">, </t>
    </r>
    <r>
      <rPr>
        <rFont val="Arial"/>
        <b/>
        <color theme="1"/>
      </rPr>
      <t>delay 500-1500 ms excl arms 2,7</t>
    </r>
  </si>
  <si>
    <t>definitely still trying for his favs but got some other ones too!</t>
  </si>
  <si>
    <r>
      <rPr>
        <rFont val="Arial"/>
        <color theme="1"/>
      </rPr>
      <t xml:space="preserve">forage, 8 arms rewarded.  </t>
    </r>
    <r>
      <rPr>
        <rFont val="Arial"/>
        <b/>
        <color theme="1"/>
      </rPr>
      <t>20</t>
    </r>
    <r>
      <rPr>
        <rFont val="Arial"/>
        <color theme="1"/>
      </rPr>
      <t xml:space="preserve">s lockout, </t>
    </r>
    <r>
      <rPr>
        <rFont val="Arial"/>
        <b/>
        <color theme="1"/>
      </rPr>
      <t>delay 500-1500 ms</t>
    </r>
  </si>
  <si>
    <t>bug trial where both the home well and the center well stayed on but he still got reward at an arm? so weird that this keeps happening
I think this guy just needs a warm up sometimes! definitely doesn't do much at the beginning, but still ready for 6 arms tomorrow (he also likes 2 and 7 so excluding tomorrow)</t>
  </si>
  <si>
    <t>forage, 6 arms rewarded. 20 s lockout, delay 500-1500 ms excl arms 2,7</t>
  </si>
  <si>
    <t>still sometimes doing the home loop, might increase lockout next time, from what I saw now likes 3 and 6</t>
  </si>
  <si>
    <r>
      <rPr>
        <rFont val="Arial"/>
        <color theme="1"/>
      </rPr>
      <t xml:space="preserve">forage, </t>
    </r>
    <r>
      <rPr>
        <rFont val="Arial"/>
        <b/>
        <color theme="1"/>
      </rPr>
      <t>6</t>
    </r>
    <r>
      <rPr>
        <rFont val="Arial"/>
        <color theme="1"/>
      </rPr>
      <t xml:space="preserve"> </t>
    </r>
    <r>
      <rPr>
        <rFont val="Arial"/>
        <b/>
        <color theme="1"/>
      </rPr>
      <t>arms</t>
    </r>
    <r>
      <rPr>
        <rFont val="Arial"/>
        <color theme="1"/>
      </rPr>
      <t xml:space="preserve"> rewarded. 20 s lockout, delay 500-1500 ms</t>
    </r>
    <r>
      <rPr>
        <rFont val="Arial"/>
        <b/>
        <color theme="1"/>
      </rPr>
      <t xml:space="preserve"> excl arms 2,7</t>
    </r>
  </si>
  <si>
    <t>motivated from the start! jk, very dedicated to cleaning himself... did not like his fav arms being excluded, doing a lot of home loop - increase lockout</t>
  </si>
  <si>
    <r>
      <rPr>
        <rFont val="Arial"/>
        <color theme="1"/>
      </rPr>
      <t xml:space="preserve">forage, </t>
    </r>
    <r>
      <rPr>
        <rFont val="Arial"/>
        <b/>
        <color theme="1"/>
      </rPr>
      <t>4 arms</t>
    </r>
    <r>
      <rPr>
        <rFont val="Arial"/>
        <color theme="1"/>
      </rPr>
      <t xml:space="preserve"> rewarded. 20 s lockout, delay 500-1500 ms</t>
    </r>
  </si>
  <si>
    <t>loves arm 7, should probably exclude 2 and 7 for him next time too, was popping in and out a lot for this session which might have been disruptive</t>
  </si>
  <si>
    <t>forage, 6 arms rewarded. 20 s lockout, delay 500-1500 ms</t>
  </si>
  <si>
    <t>5 and 10 just happened to be excluded for his first block but he was not totally affected because he also likes arms 1 and 8</t>
  </si>
  <si>
    <r>
      <rPr>
        <rFont val="Arial"/>
        <color theme="1"/>
      </rPr>
      <t xml:space="preserve">forage, 6 arms rewarded. </t>
    </r>
    <r>
      <rPr>
        <rFont val="Arial"/>
        <b/>
        <color theme="1"/>
      </rPr>
      <t>25 s lockout,</t>
    </r>
    <r>
      <rPr>
        <rFont val="Arial"/>
        <color theme="1"/>
      </rPr>
      <t xml:space="preserve"> delay 500-1500 ms excl arms 2,7</t>
    </r>
  </si>
  <si>
    <t>did so well!! ready to move onto 4 tomorrow (and maybe unexclude 2 and 7)</t>
  </si>
  <si>
    <r>
      <rPr>
        <rFont val="Arial"/>
        <color theme="1"/>
      </rPr>
      <t xml:space="preserve">forage, 6 arms rewarded. </t>
    </r>
    <r>
      <rPr>
        <rFont val="Arial"/>
        <b/>
        <color theme="1"/>
      </rPr>
      <t>25 s lockout,</t>
    </r>
    <r>
      <rPr>
        <rFont val="Arial"/>
        <color theme="1"/>
      </rPr>
      <t xml:space="preserve"> delay 500-1500 ms excl arms 2,7</t>
    </r>
  </si>
  <si>
    <t>working hard but not doing the best, needs a couple more sessions to learn how the excluded arms work and explore other arms</t>
  </si>
  <si>
    <r>
      <rPr>
        <rFont val="Arial"/>
        <color theme="1"/>
      </rPr>
      <t xml:space="preserve">forage, 4 arms rewarded. 20 s lockout, delay 500-1500 ms </t>
    </r>
    <r>
      <rPr>
        <rFont val="Arial"/>
        <b/>
        <color theme="1"/>
      </rPr>
      <t>excl arms 2,7</t>
    </r>
  </si>
  <si>
    <t>struggling without his fav arms, needs more of this tomorrow</t>
  </si>
  <si>
    <t>good to move ahead tomorrow, all of his sessions did include arm 7 as a goal, can try 4 arm tomorrow first and then exclude 2 and 7 if it goes poorly</t>
  </si>
  <si>
    <r>
      <rPr>
        <rFont val="Arial"/>
        <color theme="1"/>
      </rPr>
      <t>forage,</t>
    </r>
    <r>
      <rPr>
        <rFont val="Arial"/>
        <b/>
        <color theme="1"/>
      </rPr>
      <t xml:space="preserve"> 4 arms rewarded.</t>
    </r>
    <r>
      <rPr>
        <rFont val="Arial"/>
        <color theme="1"/>
      </rPr>
      <t xml:space="preserve"> 25 s lockout</t>
    </r>
    <r>
      <rPr>
        <rFont val="Arial"/>
        <b/>
        <color theme="1"/>
      </rPr>
      <t>,</t>
    </r>
    <r>
      <rPr>
        <rFont val="Arial"/>
        <color theme="1"/>
      </rPr>
      <t xml:space="preserve"> delay 500-1500 ms</t>
    </r>
  </si>
  <si>
    <t>motivated but got frustrated and start home-looping</t>
  </si>
  <si>
    <r>
      <rPr>
        <rFont val="Arial"/>
        <color theme="1"/>
      </rPr>
      <t xml:space="preserve">forage, 6 arms rewarded. </t>
    </r>
    <r>
      <rPr>
        <rFont val="Arial"/>
        <b/>
        <color theme="1"/>
      </rPr>
      <t>30 s lockout,</t>
    </r>
    <r>
      <rPr>
        <rFont val="Arial"/>
        <color theme="1"/>
      </rPr>
      <t xml:space="preserve"> delay 500-1500 ms excl arms 2,7</t>
    </r>
  </si>
  <si>
    <t>took him a bit but I think figured out to avoid the excluded arms at the end!</t>
  </si>
  <si>
    <t>forage, 4 arms rewarded. 20 s lockout, delay 500-1500 ms excl arms 2,7</t>
  </si>
  <si>
    <t>figured it out! a couple more sessions with 4 arms with all arms included and then will be ready for 2 arms</t>
  </si>
  <si>
    <r>
      <rPr>
        <rFont val="Arial"/>
        <color theme="1"/>
      </rPr>
      <t>forage,</t>
    </r>
    <r>
      <rPr>
        <rFont val="Arial"/>
        <b/>
        <color theme="1"/>
      </rPr>
      <t xml:space="preserve"> 4 arms rewarded.</t>
    </r>
    <r>
      <rPr>
        <rFont val="Arial"/>
        <color theme="1"/>
      </rPr>
      <t xml:space="preserve"> 25 s lockout</t>
    </r>
    <r>
      <rPr>
        <rFont val="Arial"/>
        <b/>
        <color theme="1"/>
      </rPr>
      <t>,</t>
    </r>
    <r>
      <rPr>
        <rFont val="Arial"/>
        <color theme="1"/>
      </rPr>
      <t xml:space="preserve"> delay 500-1500 ms</t>
    </r>
  </si>
  <si>
    <t>first block does not have arms 2 or 7 as goals so we'll see how he does; did ok, but does seem pretty reliant on arm 7 so going to exclude 2 and 7 moving forward</t>
  </si>
  <si>
    <r>
      <rPr>
        <rFont val="Arial"/>
        <color theme="1"/>
      </rPr>
      <t>forage,</t>
    </r>
    <r>
      <rPr>
        <rFont val="Arial"/>
        <b/>
        <color theme="1"/>
      </rPr>
      <t xml:space="preserve"> </t>
    </r>
    <r>
      <rPr>
        <rFont val="Arial"/>
        <color theme="1"/>
      </rPr>
      <t>4 arms rewarded.</t>
    </r>
    <r>
      <rPr>
        <rFont val="Arial"/>
        <b/>
        <color theme="1"/>
      </rPr>
      <t xml:space="preserve"> 30 s lockout,</t>
    </r>
    <r>
      <rPr>
        <rFont val="Arial"/>
        <color theme="1"/>
      </rPr>
      <t xml:space="preserve"> delay 500-1500 ms</t>
    </r>
  </si>
  <si>
    <t>better than the first session today!</t>
  </si>
  <si>
    <t>forage, 6 arms rewarded. 30 s lockout, delay 500-1500 ms excl arms 2,7</t>
  </si>
  <si>
    <t>also better than the first session today! going to give him a long session rather than a third one at the end of the day since it just takes him a little while to get into gear</t>
  </si>
  <si>
    <r>
      <rPr>
        <rFont val="Arial"/>
        <color theme="1"/>
      </rPr>
      <t>forage,</t>
    </r>
    <r>
      <rPr>
        <rFont val="Arial"/>
        <b/>
        <color theme="1"/>
      </rPr>
      <t xml:space="preserve"> </t>
    </r>
    <r>
      <rPr>
        <rFont val="Arial"/>
        <color theme="1"/>
      </rPr>
      <t>4 arms rewarded.</t>
    </r>
    <r>
      <rPr>
        <rFont val="Arial"/>
        <b/>
        <color theme="1"/>
      </rPr>
      <t xml:space="preserve"> </t>
    </r>
    <r>
      <rPr>
        <rFont val="Arial"/>
        <color theme="1"/>
      </rPr>
      <t>30 s lockout</t>
    </r>
    <r>
      <rPr>
        <rFont val="Arial"/>
        <b/>
        <color theme="1"/>
      </rPr>
      <t>,</t>
    </r>
    <r>
      <rPr>
        <rFont val="Arial"/>
        <color theme="1"/>
      </rPr>
      <t xml:space="preserve"> delay 500-1500 ms</t>
    </r>
  </si>
  <si>
    <t>he got it!! 1-2 more  4-arm sessions and then will be ready for 2-arm</t>
  </si>
  <si>
    <r>
      <rPr>
        <rFont val="Arial"/>
        <color theme="1"/>
      </rPr>
      <t>forage,</t>
    </r>
    <r>
      <rPr>
        <rFont val="Arial"/>
        <b/>
        <color theme="1"/>
      </rPr>
      <t xml:space="preserve"> </t>
    </r>
    <r>
      <rPr>
        <rFont val="Arial"/>
        <color theme="1"/>
      </rPr>
      <t>4 arms rewarded.</t>
    </r>
    <r>
      <rPr>
        <rFont val="Arial"/>
        <b/>
        <color theme="1"/>
      </rPr>
      <t xml:space="preserve"> </t>
    </r>
    <r>
      <rPr>
        <rFont val="Arial"/>
        <color theme="1"/>
      </rPr>
      <t>30 s lockout</t>
    </r>
    <r>
      <rPr>
        <rFont val="Arial"/>
        <b/>
        <color theme="1"/>
      </rPr>
      <t>,</t>
    </r>
    <r>
      <rPr>
        <rFont val="Arial"/>
        <color theme="1"/>
      </rPr>
      <t xml:space="preserve"> delay 500-1500 ms</t>
    </r>
  </si>
  <si>
    <t>Did great!</t>
  </si>
  <si>
    <t>Seems to get it, he's just a lot slower than the other old guy. Gavve him a little extra time</t>
  </si>
  <si>
    <r>
      <rPr>
        <rFont val="Arial"/>
        <color theme="1"/>
      </rPr>
      <t>forage,</t>
    </r>
    <r>
      <rPr>
        <rFont val="Arial"/>
        <b/>
        <color theme="1"/>
      </rPr>
      <t xml:space="preserve"> </t>
    </r>
    <r>
      <rPr>
        <rFont val="Arial"/>
        <color theme="1"/>
      </rPr>
      <t>4 arms rewarded</t>
    </r>
    <r>
      <rPr>
        <rFont val="Arial"/>
        <b/>
        <color theme="1"/>
      </rPr>
      <t>.</t>
    </r>
    <r>
      <rPr>
        <rFont val="Arial"/>
        <color theme="1"/>
      </rPr>
      <t xml:space="preserve"> 25 s lockout</t>
    </r>
    <r>
      <rPr>
        <rFont val="Arial"/>
        <b/>
        <color theme="1"/>
      </rPr>
      <t>,</t>
    </r>
    <r>
      <rPr>
        <rFont val="Arial"/>
        <color theme="1"/>
      </rPr>
      <t xml:space="preserve"> delay 500-1500 ms </t>
    </r>
    <r>
      <rPr>
        <rFont val="Arial"/>
        <b/>
        <color theme="1"/>
      </rPr>
      <t>excl arms 2,7</t>
    </r>
  </si>
  <si>
    <r>
      <rPr>
        <rFont val="Arial"/>
        <color theme="1"/>
      </rPr>
      <t>forage,</t>
    </r>
    <r>
      <rPr>
        <rFont val="Arial"/>
        <b/>
        <color theme="1"/>
      </rPr>
      <t xml:space="preserve"> </t>
    </r>
    <r>
      <rPr>
        <rFont val="Arial"/>
        <color theme="1"/>
      </rPr>
      <t>4 arms rewarded.</t>
    </r>
    <r>
      <rPr>
        <rFont val="Arial"/>
        <b/>
        <color theme="1"/>
      </rPr>
      <t xml:space="preserve"> </t>
    </r>
    <r>
      <rPr>
        <rFont val="Arial"/>
        <color theme="1"/>
      </rPr>
      <t>30 s lockout</t>
    </r>
    <r>
      <rPr>
        <rFont val="Arial"/>
        <b/>
        <color theme="1"/>
      </rPr>
      <t>,</t>
    </r>
    <r>
      <rPr>
        <rFont val="Arial"/>
        <color theme="1"/>
      </rPr>
      <t xml:space="preserve"> delay 500-1500 ms, excl arms 2,7</t>
    </r>
  </si>
  <si>
    <r>
      <rPr>
        <rFont val="Arial"/>
        <color theme="1"/>
      </rPr>
      <t xml:space="preserve">forage, </t>
    </r>
    <r>
      <rPr>
        <rFont val="Arial"/>
        <b/>
        <color theme="1"/>
      </rPr>
      <t>4 arms rewarded</t>
    </r>
    <r>
      <rPr>
        <rFont val="Arial"/>
        <color theme="1"/>
      </rPr>
      <t>. 30 s lockout, delay 500-1500 ms, excl arms 2,7</t>
    </r>
  </si>
  <si>
    <t>Had a hard time</t>
  </si>
  <si>
    <r>
      <rPr>
        <rFont val="Arial"/>
        <color theme="1"/>
      </rPr>
      <t>forage,</t>
    </r>
    <r>
      <rPr>
        <rFont val="Arial"/>
        <b/>
        <color theme="1"/>
      </rPr>
      <t xml:space="preserve"> </t>
    </r>
    <r>
      <rPr>
        <rFont val="Arial"/>
        <color theme="1"/>
      </rPr>
      <t>4 arms rewarded.</t>
    </r>
    <r>
      <rPr>
        <rFont val="Arial"/>
        <b/>
        <color theme="1"/>
      </rPr>
      <t xml:space="preserve"> 30 s</t>
    </r>
    <r>
      <rPr>
        <rFont val="Arial"/>
        <color theme="1"/>
      </rPr>
      <t xml:space="preserve"> lockout</t>
    </r>
    <r>
      <rPr>
        <rFont val="Arial"/>
        <b/>
        <color theme="1"/>
      </rPr>
      <t>,</t>
    </r>
    <r>
      <rPr>
        <rFont val="Arial"/>
        <color theme="1"/>
      </rPr>
      <t xml:space="preserve"> delay 500-1500 ms, excl arms 2,7</t>
    </r>
  </si>
  <si>
    <t>tentatively give the young guys a second session (I think they could use it)</t>
  </si>
  <si>
    <r>
      <rPr>
        <rFont val="Arial"/>
        <color theme="1"/>
      </rPr>
      <t>forage,</t>
    </r>
    <r>
      <rPr>
        <rFont val="Arial"/>
        <b/>
        <color theme="1"/>
      </rPr>
      <t xml:space="preserve"> </t>
    </r>
    <r>
      <rPr>
        <rFont val="Arial"/>
        <color theme="1"/>
      </rPr>
      <t>4 arms rewarded</t>
    </r>
    <r>
      <rPr>
        <rFont val="Arial"/>
        <b/>
        <color theme="1"/>
      </rPr>
      <t>.</t>
    </r>
    <r>
      <rPr>
        <rFont val="Arial"/>
        <color theme="1"/>
      </rPr>
      <t xml:space="preserve"> </t>
    </r>
    <r>
      <rPr>
        <rFont val="Arial"/>
        <b/>
        <color theme="1"/>
      </rPr>
      <t>30</t>
    </r>
    <r>
      <rPr>
        <rFont val="Arial"/>
        <color theme="1"/>
      </rPr>
      <t>s lockout</t>
    </r>
    <r>
      <rPr>
        <rFont val="Arial"/>
        <b/>
        <color theme="1"/>
      </rPr>
      <t>,</t>
    </r>
    <r>
      <rPr>
        <rFont val="Arial"/>
        <color theme="1"/>
      </rPr>
      <t xml:space="preserve"> delay 500-1500 ms</t>
    </r>
    <r>
      <rPr>
        <rFont val="Arial"/>
        <b/>
        <color theme="1"/>
      </rPr>
      <t xml:space="preserve"> </t>
    </r>
    <r>
      <rPr>
        <rFont val="Arial"/>
        <color theme="1"/>
      </rPr>
      <t>excl arms 2,7</t>
    </r>
  </si>
  <si>
    <r>
      <rPr>
        <rFont val="Arial"/>
        <color theme="1"/>
      </rPr>
      <t xml:space="preserve">forage, 4 arms rewarded. 30 s lockout, </t>
    </r>
    <r>
      <rPr>
        <rFont val="Arial"/>
        <b/>
        <color theme="1"/>
      </rPr>
      <t>delay 750-1750 ms</t>
    </r>
    <r>
      <rPr>
        <rFont val="Arial"/>
        <color theme="1"/>
      </rPr>
      <t>, excl arms 2,7</t>
    </r>
  </si>
  <si>
    <t xml:space="preserve">good! </t>
  </si>
  <si>
    <r>
      <rPr>
        <rFont val="Arial"/>
        <color theme="1"/>
      </rPr>
      <t xml:space="preserve">forage, 4 arms rewarded. 30 s lockout, </t>
    </r>
    <r>
      <rPr>
        <rFont val="Arial"/>
        <b/>
        <color theme="1"/>
      </rPr>
      <t>delay 750-1750 ms</t>
    </r>
    <r>
      <rPr>
        <rFont val="Arial"/>
        <color theme="1"/>
      </rPr>
      <t>, excl arms 2,7</t>
    </r>
  </si>
  <si>
    <t xml:space="preserve">got a few extra minutes. moving slowly but steadily! </t>
  </si>
  <si>
    <r>
      <rPr>
        <rFont val="Arial"/>
        <color theme="1"/>
      </rPr>
      <t xml:space="preserve">forage, </t>
    </r>
    <r>
      <rPr>
        <rFont val="Arial"/>
        <b/>
        <color theme="1"/>
      </rPr>
      <t>2 arms rewarded.</t>
    </r>
    <r>
      <rPr>
        <rFont val="Arial"/>
        <color theme="1"/>
      </rPr>
      <t xml:space="preserve"> 30 s lockout, </t>
    </r>
    <r>
      <rPr>
        <rFont val="Arial"/>
        <b/>
        <color theme="1"/>
      </rPr>
      <t>delay 750-1750 ms</t>
    </r>
    <r>
      <rPr>
        <rFont val="Arial"/>
        <color theme="1"/>
      </rPr>
      <t>, excl arms 2,7</t>
    </r>
  </si>
  <si>
    <t>definitely struggled with only 2 arms! didn't see which ones he was biased to</t>
  </si>
  <si>
    <r>
      <rPr>
        <rFont val="Arial"/>
        <color theme="1"/>
      </rPr>
      <t xml:space="preserve">forage, 4 arms rewarded. 30s lockout, </t>
    </r>
    <r>
      <rPr>
        <rFont val="Arial"/>
        <b/>
        <color theme="1"/>
      </rPr>
      <t>delay 750-1750 ms</t>
    </r>
    <r>
      <rPr>
        <rFont val="Arial"/>
        <color theme="1"/>
      </rPr>
      <t xml:space="preserve"> excl arms 2,7</t>
    </r>
  </si>
  <si>
    <t>Well 6 milk suspiciously low.</t>
  </si>
  <si>
    <r>
      <rPr>
        <rFont val="Arial"/>
        <color theme="1"/>
      </rPr>
      <t xml:space="preserve">forage, 4 arms rewarded. 30 s lockout, </t>
    </r>
    <r>
      <rPr>
        <rFont val="Arial"/>
        <b/>
        <color theme="1"/>
      </rPr>
      <t>delay 750-1750 ms</t>
    </r>
    <r>
      <rPr>
        <rFont val="Arial"/>
        <color theme="1"/>
      </rPr>
      <t>, excl arms 2,7</t>
    </r>
  </si>
  <si>
    <t>so much diahrea</t>
  </si>
  <si>
    <r>
      <rPr>
        <rFont val="Arial"/>
        <color theme="1"/>
      </rPr>
      <t xml:space="preserve">forage, 4 arms rewarded. 30 s lockout, </t>
    </r>
    <r>
      <rPr>
        <rFont val="Arial"/>
        <b/>
        <color theme="1"/>
      </rPr>
      <t>delay 750-1750 ms</t>
    </r>
    <r>
      <rPr>
        <rFont val="Arial"/>
        <color theme="1"/>
      </rPr>
      <t>, excl arms 2,7</t>
    </r>
  </si>
  <si>
    <t>went way over time but he did a normal amount and then just napped. seems to love arm 6, shound exclude</t>
  </si>
  <si>
    <r>
      <rPr>
        <rFont val="Arial"/>
        <color theme="1"/>
      </rPr>
      <t xml:space="preserve">forage, </t>
    </r>
    <r>
      <rPr>
        <rFont val="Arial"/>
        <b/>
        <color theme="1"/>
      </rPr>
      <t>2 arms rewarded.</t>
    </r>
    <r>
      <rPr>
        <rFont val="Arial"/>
        <color theme="1"/>
      </rPr>
      <t xml:space="preserve"> 30 s lockout, </t>
    </r>
    <r>
      <rPr>
        <rFont val="Arial"/>
        <b/>
        <color theme="1"/>
      </rPr>
      <t>delay 750-1750 ms</t>
    </r>
    <r>
      <rPr>
        <rFont val="Arial"/>
        <color theme="1"/>
      </rPr>
      <t>, excl arms 2,7</t>
    </r>
  </si>
  <si>
    <t>so bad and frustrated!  goals were [6 7]</t>
  </si>
  <si>
    <r>
      <rPr>
        <rFont val="Arial"/>
        <color theme="1"/>
      </rPr>
      <t xml:space="preserve">forage, 4 arms rewarded. 30s lockout, </t>
    </r>
    <r>
      <rPr>
        <rFont val="Arial"/>
        <b/>
        <color theme="1"/>
      </rPr>
      <t>delay 750-1750 ms</t>
    </r>
    <r>
      <rPr>
        <rFont val="Arial"/>
        <color theme="1"/>
      </rPr>
      <t xml:space="preserve"> excl arms 2,7</t>
    </r>
  </si>
  <si>
    <t xml:space="preserve">awesome! ready to move on to 2 goals tomorrow. also, no one seems to have noticed the increased delay! </t>
  </si>
  <si>
    <t>forage, 4 arms rewarded. 30 s lockout, delay 750-1750 ms</t>
  </si>
  <si>
    <t>pretty good! must've gotten tripped up by the goal arms in one of the blocks but still pretty good. working consisently the whole hour!</t>
  </si>
  <si>
    <r>
      <rPr>
        <rFont val="Arial"/>
        <color theme="1"/>
      </rPr>
      <t xml:space="preserve">forage, 4 arms rewarded. 30 s lockout, delay 750-1750 ms, </t>
    </r>
    <r>
      <rPr>
        <rFont val="Arial"/>
        <b/>
        <color theme="1"/>
      </rPr>
      <t>excl arm 6</t>
    </r>
  </si>
  <si>
    <t>arm 2 was rewarded in both goal blocks so primarily went there (but also occasionally explored some other arms too!)</t>
  </si>
  <si>
    <t>forage, 2 arms rewarded. 30 s lockout, delay 750-1750 ms</t>
  </si>
  <si>
    <t>goals were [6,7] again, finally found one 30 min in, pretty frustrated, lots of lock2 errors, pooped a bunch in goal 7 (arm 4)</t>
  </si>
  <si>
    <r>
      <rPr>
        <rFont val="Arial"/>
        <color theme="1"/>
      </rPr>
      <t xml:space="preserve">forage, </t>
    </r>
    <r>
      <rPr>
        <rFont val="Arial"/>
        <b/>
        <color theme="1"/>
      </rPr>
      <t>2 arms rewarded</t>
    </r>
    <r>
      <rPr>
        <rFont val="Arial"/>
        <color theme="1"/>
      </rPr>
      <t>. 30s lockout, delay 750-1750 ms</t>
    </r>
  </si>
  <si>
    <t>forage, 4 arms rewarded. 30 s lockout, delay 750-1750 ms, excl arm 6</t>
  </si>
  <si>
    <r>
      <rPr>
        <rFont val="Arial"/>
        <color theme="1"/>
      </rPr>
      <t xml:space="preserve">forage, </t>
    </r>
    <r>
      <rPr>
        <rFont val="Arial"/>
        <b/>
        <color theme="1"/>
      </rPr>
      <t>2 arms rewarded</t>
    </r>
    <r>
      <rPr>
        <rFont val="Arial"/>
        <color theme="1"/>
      </rPr>
      <t xml:space="preserve">. 30 s lockout, </t>
    </r>
    <r>
      <rPr>
        <rFont val="Arial"/>
        <b/>
        <color theme="1"/>
      </rPr>
      <t>delay 1000-2500 ms</t>
    </r>
  </si>
  <si>
    <t>first goals [4,8]; decided to only push up to 2250 (changed the distribution for the next guys)</t>
  </si>
  <si>
    <r>
      <rPr>
        <rFont val="Arial"/>
        <color theme="1"/>
      </rPr>
      <t>forage, 4 arms rewarded. 30 s lockout,</t>
    </r>
    <r>
      <rPr>
        <rFont val="Arial"/>
        <b/>
        <color theme="1"/>
      </rPr>
      <t xml:space="preserve"> delay 1000-2250 ms</t>
    </r>
  </si>
  <si>
    <t>note: had arm 6 but doesn't seem like he depended on it?</t>
  </si>
  <si>
    <r>
      <rPr>
        <rFont val="Arial"/>
        <color theme="1"/>
      </rPr>
      <t xml:space="preserve">forage, 2 arms rewarded. 30 s lockout, </t>
    </r>
    <r>
      <rPr>
        <rFont val="Arial"/>
        <b/>
        <color theme="1"/>
      </rPr>
      <t>delay 1000-2250 ms</t>
    </r>
  </si>
  <si>
    <t>first goals [4,10], is less frustrated today! I think is getting the hang of it slowly</t>
  </si>
  <si>
    <r>
      <rPr>
        <rFont val="Arial"/>
        <color theme="1"/>
      </rPr>
      <t xml:space="preserve">forage, 2 arms rewarded. 30 s lockout, </t>
    </r>
    <r>
      <rPr>
        <rFont val="Arial"/>
        <b/>
        <color theme="1"/>
      </rPr>
      <t>delay 1000-2250 ms</t>
    </r>
  </si>
  <si>
    <r>
      <rPr>
        <rFont val="Arial"/>
        <color theme="1"/>
      </rPr>
      <t xml:space="preserve">forage, 2 arms rewarded. 30 s lockout, </t>
    </r>
    <r>
      <rPr>
        <rFont val="Arial"/>
        <color theme="1"/>
      </rPr>
      <t>delay 1000-2250 ms</t>
    </r>
  </si>
  <si>
    <t>doing a little better than this morning!</t>
  </si>
  <si>
    <r>
      <rPr>
        <rFont val="Arial"/>
        <color theme="1"/>
      </rPr>
      <t>forage, 4 arms rewarded. 30 s lockout,</t>
    </r>
    <r>
      <rPr>
        <rFont val="Arial"/>
        <b/>
        <color theme="1"/>
      </rPr>
      <t xml:space="preserve"> delay 1000-2250 ms, excl arm 6</t>
    </r>
  </si>
  <si>
    <t>so motivated! can have arm 6 back too</t>
  </si>
  <si>
    <r>
      <rPr>
        <rFont val="Arial"/>
        <color theme="1"/>
      </rPr>
      <t xml:space="preserve">forage, 2 arms rewarded. 30 s lockout, </t>
    </r>
    <r>
      <rPr>
        <rFont val="Arial"/>
        <color theme="1"/>
      </rPr>
      <t>delay 1000-2250 ms</t>
    </r>
  </si>
  <si>
    <t>first goals [6,9]; took a long cleaning break / nap in the middle</t>
  </si>
  <si>
    <r>
      <rPr>
        <rFont val="Arial"/>
        <color theme="1"/>
      </rPr>
      <t xml:space="preserve">forage, 2 arms rewarded. 30 s lockout, </t>
    </r>
    <r>
      <rPr>
        <rFont val="Arial"/>
        <color theme="1"/>
      </rPr>
      <t>delay 1000-2250 ms</t>
    </r>
  </si>
  <si>
    <t>first goals [9,10] (super easy for him), next goals [6,7]; shorter second session, gotta run to lab meeting!</t>
  </si>
  <si>
    <r>
      <rPr>
        <rFont val="Arial"/>
        <color theme="1"/>
      </rPr>
      <t xml:space="preserve">forage, 2 arms rewarded. 30 s lockout, </t>
    </r>
    <r>
      <rPr>
        <rFont val="Arial"/>
        <b/>
        <color theme="1"/>
      </rPr>
      <t>delay 1250-2750 ms</t>
    </r>
  </si>
  <si>
    <t>[8,5] Did pretty good!</t>
  </si>
  <si>
    <r>
      <rPr>
        <rFont val="Arial"/>
        <color theme="1"/>
      </rPr>
      <t xml:space="preserve">forage, </t>
    </r>
    <r>
      <rPr>
        <rFont val="Arial"/>
        <b/>
        <color theme="1"/>
      </rPr>
      <t>2 arms rewarded</t>
    </r>
    <r>
      <rPr>
        <rFont val="Arial"/>
        <color theme="1"/>
      </rPr>
      <t>. 30 s lockout,</t>
    </r>
    <r>
      <rPr>
        <rFont val="Arial"/>
        <b/>
        <color theme="1"/>
      </rPr>
      <t xml:space="preserve"> delay 1250-2750 ms</t>
    </r>
  </si>
  <si>
    <t>[10,5] First day on 2 arms. Let him have some easy ones so he doesn't struggle too bad. Did ok!</t>
  </si>
  <si>
    <r>
      <rPr>
        <rFont val="Arial"/>
        <color theme="1"/>
      </rPr>
      <t xml:space="preserve">forage, 2 arms rewarded. 30 s lockout, </t>
    </r>
    <r>
      <rPr>
        <rFont val="Arial"/>
        <b/>
        <color theme="1"/>
      </rPr>
      <t>delay 1250-2750 ms</t>
    </r>
  </si>
  <si>
    <t>[6,11]. Doing pretty good! Got 2 very early, then explored for a bit. At 15min seems to have figured it out. Still not super accurate but doing well. Also doesn't seem phased by my presence.</t>
  </si>
  <si>
    <r>
      <rPr>
        <rFont val="Arial"/>
        <color theme="1"/>
      </rPr>
      <t xml:space="preserve">forage, 2 arms rewarded. 30 s lockout, </t>
    </r>
    <r>
      <rPr>
        <rFont val="Arial"/>
        <b/>
        <color theme="1"/>
      </rPr>
      <t>delay 1250-2750 ms</t>
    </r>
  </si>
  <si>
    <t>[9,7] struggled but kept working the whole time</t>
  </si>
  <si>
    <r>
      <rPr>
        <rFont val="Arial"/>
        <color theme="1"/>
      </rPr>
      <t xml:space="preserve">forage, 2 arms rewarded. 30 s lockout, </t>
    </r>
    <r>
      <rPr>
        <rFont val="Arial"/>
        <b/>
        <color theme="1"/>
      </rPr>
      <t>delay 1500-3000 ms</t>
    </r>
  </si>
  <si>
    <t>[6,7] Did ok, but clearly struggled</t>
  </si>
  <si>
    <r>
      <rPr>
        <rFont val="Arial"/>
        <color theme="1"/>
      </rPr>
      <t xml:space="preserve">forage, 2 arms rewarded. 30 s lockout, </t>
    </r>
    <r>
      <rPr>
        <rFont val="Arial"/>
        <b/>
        <color theme="1"/>
      </rPr>
      <t>delay 1500-3000 ms</t>
    </r>
  </si>
  <si>
    <t xml:space="preserve">[11,9] Did ok but really tried to get a well on the lower number side. </t>
  </si>
  <si>
    <r>
      <rPr>
        <rFont val="Arial"/>
        <color theme="1"/>
      </rPr>
      <t xml:space="preserve">forage, 2 arms rewarded. 30 s lockout, </t>
    </r>
    <r>
      <rPr>
        <rFont val="Arial"/>
        <b/>
        <color theme="1"/>
      </rPr>
      <t>delay 1500-3000 ms</t>
    </r>
  </si>
  <si>
    <t>[4,9] Really struggled in first 20min, but kept working. 4 18 spread. Figured it out and did great in the last 10min</t>
  </si>
  <si>
    <r>
      <rPr>
        <rFont val="Arial"/>
        <color theme="1"/>
      </rPr>
      <t xml:space="preserve">forage, 2 arms rewarded. 30 s lockout, </t>
    </r>
    <r>
      <rPr>
        <rFont val="Arial"/>
        <b/>
        <color theme="1"/>
      </rPr>
      <t>delay 1500-3000 ms</t>
    </r>
  </si>
  <si>
    <t>[7,8] Really struggled. Gave him some extra time but didn't really help</t>
  </si>
  <si>
    <t>(below) Old 2x session today for 30min, young 1hr session</t>
  </si>
  <si>
    <r>
      <rPr>
        <rFont val="Arial"/>
        <color theme="1"/>
      </rPr>
      <t xml:space="preserve">forage, 2 arms rewarded. 30 s lockout, </t>
    </r>
    <r>
      <rPr>
        <rFont val="Arial"/>
        <color theme="1"/>
      </rPr>
      <t>delay 1500-3000 ms</t>
    </r>
  </si>
  <si>
    <r>
      <rPr>
        <rFont val="Arial"/>
        <color theme="1"/>
      </rPr>
      <t xml:space="preserve">forage, 2 arms rewarded. 30 s lockout, </t>
    </r>
    <r>
      <rPr>
        <rFont val="Arial"/>
        <color theme="1"/>
      </rPr>
      <t>delay 1500-3000 ms</t>
    </r>
  </si>
  <si>
    <t>Also did great!</t>
  </si>
  <si>
    <r>
      <rPr>
        <rFont val="Arial"/>
        <b/>
        <color theme="1"/>
      </rPr>
      <t>goal, forageassist3</t>
    </r>
    <r>
      <rPr>
        <rFont val="Arial"/>
        <color theme="1"/>
      </rPr>
      <t>. 30 s lockout, delay 1500-3000 ms, 15 outerreps</t>
    </r>
  </si>
  <si>
    <t>[7,8,11] Did so good!</t>
  </si>
  <si>
    <r>
      <rPr>
        <rFont val="Arial"/>
        <b/>
        <color theme="1"/>
      </rPr>
      <t>goal, forageassist3</t>
    </r>
    <r>
      <rPr>
        <rFont val="Arial"/>
        <color theme="1"/>
      </rPr>
      <t>. 30 s lockout, delay 1500-3000 ms, 15 outerreps</t>
    </r>
  </si>
  <si>
    <t>Checked on him 45min in and he was really struggling. Goal is [11]. Didn't do anything for the last 5min</t>
  </si>
  <si>
    <r>
      <rPr>
        <rFont val="Arial"/>
        <b/>
        <color theme="1"/>
      </rPr>
      <t>goal, forageassist3</t>
    </r>
    <r>
      <rPr>
        <rFont val="Arial"/>
        <color theme="1"/>
      </rPr>
      <t>. 30 s lockout, delay 1500-3000 ms, 15 outerreps</t>
    </r>
  </si>
  <si>
    <t>[11,5,6]. Did pretty good!</t>
  </si>
  <si>
    <r>
      <rPr>
        <rFont val="Arial"/>
        <b/>
        <color theme="1"/>
      </rPr>
      <t>goal, forageassist3</t>
    </r>
    <r>
      <rPr>
        <rFont val="Arial"/>
        <color theme="1"/>
      </rPr>
      <t>. 30 s lockout, delay 1500-3000 ms, 15 outerreps</t>
    </r>
  </si>
  <si>
    <t>[4,8,11] Had a rough time :(</t>
  </si>
  <si>
    <r>
      <rPr>
        <rFont val="Arial"/>
        <b/>
        <color theme="1"/>
      </rPr>
      <t>goal, forageassist3</t>
    </r>
    <r>
      <rPr>
        <rFont val="Arial"/>
        <color theme="1"/>
      </rPr>
      <t>. 30 s lockout, delay 1500-3000 ms, 15 outerreps</t>
    </r>
  </si>
  <si>
    <t>goals [7 4 5] got lucky and found 7 right away. definitely not repeating and started to notice the delay today</t>
  </si>
  <si>
    <r>
      <rPr>
        <rFont val="Arial"/>
        <b/>
        <color theme="1"/>
      </rPr>
      <t>goal, forageassist3</t>
    </r>
    <r>
      <rPr>
        <rFont val="Arial"/>
        <color theme="1"/>
      </rPr>
      <t>. 30 s lockout, delay 1500-3000 ms, 15 outerreps</t>
    </r>
  </si>
  <si>
    <t>goals [7 6 10]. spent first 10 min fussing around in arm 5. "waslock" index out of range error coming up but not affecting behavior. found goal 10. next goal 8. [error was likely due to running the wrong statescript, had no consequences tho]</t>
  </si>
  <si>
    <r>
      <rPr>
        <rFont val="Arial"/>
        <b/>
        <color theme="1"/>
      </rPr>
      <t>goal, forageassist3</t>
    </r>
    <r>
      <rPr>
        <rFont val="Arial"/>
        <color theme="1"/>
      </rPr>
      <t>. 30 s lockout, delay 1500-3000 ms, 15 outerreps</t>
    </r>
  </si>
  <si>
    <t>goals [6 7 10]. found goal 6, next options [7 8 5] but didn't find any, frustrated and had just given up at end. keep an eye on center bias, def noticing delay now</t>
  </si>
  <si>
    <r>
      <rPr>
        <rFont val="Arial"/>
        <b/>
        <color theme="1"/>
      </rPr>
      <t>goal, forageassist3</t>
    </r>
    <r>
      <rPr>
        <rFont val="Arial"/>
        <color theme="1"/>
      </rPr>
      <t>. 30 s lockout, delay 1500-3000 ms, 15 outerreps</t>
    </r>
  </si>
  <si>
    <t>goals [6 8 5], goal is 5, should have been an easy one! trying hard but just doesn't get it</t>
  </si>
  <si>
    <r>
      <rPr>
        <rFont val="Arial"/>
        <b/>
        <color theme="1"/>
      </rPr>
      <t>goal, forageassist3</t>
    </r>
    <r>
      <rPr>
        <rFont val="Arial"/>
        <color theme="1"/>
      </rPr>
      <t>. 30 s lockout, delay 1500-3000 ms, 15 outerreps</t>
    </r>
  </si>
  <si>
    <t xml:space="preserve">goasl [6 5 11], goal is 5 but repeating terribly! </t>
  </si>
  <si>
    <r>
      <rPr>
        <rFont val="Arial"/>
        <b/>
        <color theme="1"/>
      </rPr>
      <t>goal, forageassist3</t>
    </r>
    <r>
      <rPr>
        <rFont val="Arial"/>
        <color theme="1"/>
      </rPr>
      <t>. 30 s lockout, delay 1500-3000 ms, 15 outerreps</t>
    </r>
  </si>
  <si>
    <t>goals [5 9 4], goal is 4. trying hard (still chugging along at 45 min mark) but doesn't know to repeat</t>
  </si>
  <si>
    <r>
      <rPr>
        <rFont val="Arial"/>
        <b/>
        <color theme="1"/>
      </rPr>
      <t>goal, forageassist3</t>
    </r>
    <r>
      <rPr>
        <rFont val="Arial"/>
        <color theme="1"/>
      </rPr>
      <t>. 30 s lockout, delay 1500-3000 ms, 15 outerreps</t>
    </r>
  </si>
  <si>
    <t>goals [11 8 10] found 10. really biased against right well but pretty good otherwise</t>
  </si>
  <si>
    <r>
      <rPr>
        <rFont val="Arial"/>
        <b/>
        <color theme="1"/>
      </rPr>
      <t>goal, forageassist3</t>
    </r>
    <r>
      <rPr>
        <rFont val="Arial"/>
        <color theme="1"/>
      </rPr>
      <t>. 30 s lockout, delay 1500-3000 ms, 15 outerreps</t>
    </r>
  </si>
  <si>
    <t>goals [8 9 10], goal was 8. strong bias against right well. probably stopped because home well ran out of milk, but unclear why both he and 07 have a bias against the right well - should def check it tomorrow</t>
  </si>
  <si>
    <t>tested center wells before starting, they seem fine? I wonder if the tube was clogged yesterday and causing some weird pressure?</t>
  </si>
  <si>
    <r>
      <rPr>
        <rFont val="Arial"/>
        <b/>
        <color theme="1"/>
      </rPr>
      <t>goal, forageassist3</t>
    </r>
    <r>
      <rPr>
        <rFont val="Arial"/>
        <color theme="1"/>
      </rPr>
      <t>. 30 s lockout, delay 1500-3000 ms, 15 outerreps</t>
    </r>
  </si>
  <si>
    <t>goals [11,7,8], found 8 at 8:51, sooo many one-off errors (but also random other arms too) but this is a hard center arm to remember so gotta give him some grace... seems to have figured it out close to the end of the hour! 9:48 goals [6,4,7], 3 repeats to 8 and then started exploring other arms</t>
  </si>
  <si>
    <r>
      <rPr>
        <rFont val="Arial"/>
        <b/>
        <color theme="1"/>
      </rPr>
      <t>goal, forageassist3</t>
    </r>
    <r>
      <rPr>
        <rFont val="Arial"/>
        <color theme="1"/>
      </rPr>
      <t>. 30 s lockout, delay 1500-3000 ms, 15 outerreps</t>
    </r>
  </si>
  <si>
    <t>gaols [4,8,11], found 4 at 10:13 (made a loud sound as syringe clicked into place, might've scared him); missed the next goals but he found 11 at 10:55 (very soon after goal switch) keeps going back to 4</t>
  </si>
  <si>
    <r>
      <rPr>
        <rFont val="Arial"/>
        <b/>
        <color theme="1"/>
      </rPr>
      <t>goal, forageassist3</t>
    </r>
    <r>
      <rPr>
        <rFont val="Arial"/>
        <color theme="1"/>
      </rPr>
      <t>. 30 s lockout, delay 1500-3000 ms, 15 outerreps</t>
    </r>
  </si>
  <si>
    <t>really hates the right well?? always choosing left well from the start; goals [10,6,11], found 10 at 11:13, repeating well up to 10 and then got sidetracked, found next goal 8 at 12:00, repeating decently but session is running long so ending it before he finishes the block</t>
  </si>
  <si>
    <r>
      <rPr>
        <rFont val="Arial"/>
        <b/>
        <color theme="1"/>
      </rPr>
      <t>goal, forageassist3</t>
    </r>
    <r>
      <rPr>
        <rFont val="Arial"/>
        <color theme="1"/>
      </rPr>
      <t>. 30 s lockout, delay 1500-3000 ms, 15 outerreps</t>
    </r>
  </si>
  <si>
    <t>goals [11,5,6], on right center well trials is going to right well, but then immediately going to left well after (resulting in lock2 error), found 11 at 12:24, not sure when he finished first block, next goals [9,7,4]</t>
  </si>
  <si>
    <r>
      <rPr>
        <rFont val="Arial"/>
        <b/>
        <color theme="1"/>
      </rPr>
      <t>goal, forageassist3</t>
    </r>
    <r>
      <rPr>
        <rFont val="Arial"/>
        <color theme="1"/>
      </rPr>
      <t>. 30 s lockout, delay 1500-3000 ms, 15 outerreps</t>
    </r>
  </si>
  <si>
    <t>goals [6,11,10], found 6 at 1:34ish, starting to repeat at 1:45ish, doing well!</t>
  </si>
  <si>
    <r>
      <rPr>
        <rFont val="Arial"/>
        <b/>
        <color theme="1"/>
      </rPr>
      <t>goal, forageassist3</t>
    </r>
    <r>
      <rPr>
        <rFont val="Arial"/>
        <color theme="1"/>
      </rPr>
      <t>. 30 s lockout, delay 1500-3000 ms, 15 outerreps</t>
    </r>
  </si>
  <si>
    <t>did so well!</t>
  </si>
  <si>
    <r>
      <rPr>
        <rFont val="Arial"/>
        <b/>
        <color theme="1"/>
      </rPr>
      <t>goal, forageassist3</t>
    </r>
    <r>
      <rPr>
        <rFont val="Arial"/>
        <color theme="1"/>
      </rPr>
      <t>. 30 s lockout, delay 1500-3000 ms, 15 outerreps</t>
    </r>
  </si>
  <si>
    <t>goals [10,7,5], found 10 at 2:45, really struggling when I came to check on him at 3:10 :( but at least his center well bias is gone!</t>
  </si>
  <si>
    <r>
      <rPr>
        <rFont val="Arial"/>
        <b/>
        <color theme="1"/>
      </rPr>
      <t>goal, forageassist3</t>
    </r>
    <r>
      <rPr>
        <rFont val="Arial"/>
        <color theme="1"/>
      </rPr>
      <t>. 30 s lockout, delay 1500-3000 ms, 15 outerreps</t>
    </r>
  </si>
  <si>
    <t xml:space="preserve">ran out of space on the device during recording so probably missed a good chunk of the recording; didn't do very well :/ </t>
  </si>
  <si>
    <r>
      <rPr>
        <rFont val="Arial"/>
        <b/>
        <color theme="1"/>
      </rPr>
      <t>goal, forageassist2</t>
    </r>
    <r>
      <rPr>
        <rFont val="Arial"/>
        <color theme="1"/>
      </rPr>
      <t>. 30 s lockout, delay 1500-3000 ms, 15 outerreps</t>
    </r>
  </si>
  <si>
    <t>goals [6,10] Checked in at 11, goal is [10]. Goal to other is 2-15. 25 trials. Doing not great. Next goal [4 7] . Basically stopped working at the end</t>
  </si>
  <si>
    <r>
      <rPr>
        <rFont val="Arial"/>
        <b/>
        <color theme="1"/>
      </rPr>
      <t>goal, forageassist2</t>
    </r>
    <r>
      <rPr>
        <rFont val="Arial"/>
        <color theme="1"/>
      </rPr>
      <t>. 30 s lockout, delay 1500-3000 ms, 15 outerreps</t>
    </r>
  </si>
  <si>
    <t xml:space="preserve">goal [11]. halfway: 40 home. 3 goal. 29other. </t>
  </si>
  <si>
    <r>
      <rPr>
        <rFont val="Arial"/>
        <b/>
        <color theme="1"/>
      </rPr>
      <t>goal, forageassist2</t>
    </r>
    <r>
      <rPr>
        <rFont val="Arial"/>
        <color theme="1"/>
      </rPr>
      <t>. 30 s lockout, delay 1500-3000 ms, 15 outerreps</t>
    </r>
  </si>
  <si>
    <t>goals [4 6], next set [9 11]. 36min in has 57 home, 15goal, 28other</t>
  </si>
  <si>
    <r>
      <rPr>
        <rFont val="Arial"/>
        <b/>
        <color theme="1"/>
      </rPr>
      <t>goal, forageassist2</t>
    </r>
    <r>
      <rPr>
        <rFont val="Arial"/>
        <color theme="1"/>
      </rPr>
      <t>. 30 s lockout, delay 1500-3000 ms, 15 outerreps</t>
    </r>
  </si>
  <si>
    <t xml:space="preserve">goals [5 11], second batch goal [8]. </t>
  </si>
  <si>
    <r>
      <rPr>
        <rFont val="Arial"/>
        <color theme="1"/>
      </rPr>
      <t>goal, forageassist2</t>
    </r>
    <r>
      <rPr>
        <rFont val="Arial"/>
        <color theme="1"/>
      </rPr>
      <t>. 30 s lockout, delay 1500-3000 ms, 15 outerreps</t>
    </r>
  </si>
  <si>
    <t xml:space="preserve">[11 9], goal was 11, next block [9 8] goal was 8. </t>
  </si>
  <si>
    <r>
      <rPr>
        <rFont val="Arial"/>
        <color theme="1"/>
      </rPr>
      <t>goal, forageassist2</t>
    </r>
    <r>
      <rPr>
        <rFont val="Arial"/>
        <color theme="1"/>
      </rPr>
      <t>. 30 s lockout, delay 1500-3000 ms, 15 outerreps</t>
    </r>
  </si>
  <si>
    <t>goal [4 10] second goal was [5]</t>
  </si>
  <si>
    <r>
      <rPr>
        <rFont val="Arial"/>
        <color theme="1"/>
      </rPr>
      <t>goal, forageassist2</t>
    </r>
    <r>
      <rPr>
        <rFont val="Arial"/>
        <color theme="1"/>
      </rPr>
      <t>. 30 s lockout, delay 1500-3000 ms, 15 outerreps</t>
    </r>
  </si>
  <si>
    <t>[9 4], goal is 9. 1hr in and he's at 9/43 so not great. 66home visits. By end, trid hard but didn't do great. Most of the lockout errors happened in the last 30min</t>
  </si>
  <si>
    <r>
      <rPr>
        <rFont val="Arial"/>
        <color theme="1"/>
      </rPr>
      <t>goal, forageassist2</t>
    </r>
    <r>
      <rPr>
        <rFont val="Arial"/>
        <color theme="1"/>
      </rPr>
      <t>. 30 s lockout, delay 1500-3000 ms, 15 outerreps</t>
    </r>
  </si>
  <si>
    <t xml:space="preserve">[7 9] goal is 9. 1hr in has 60home, 5 goal. 45 other. </t>
  </si>
  <si>
    <r>
      <rPr>
        <rFont val="Arial"/>
        <color theme="1"/>
      </rPr>
      <t>goal, forageassist2</t>
    </r>
    <r>
      <rPr>
        <rFont val="Arial"/>
        <color theme="1"/>
      </rPr>
      <t>. 30 s lockout, delay 1500-3000 ms, 15 outerreps</t>
    </r>
  </si>
  <si>
    <t>[6 10] goal was [6]</t>
  </si>
  <si>
    <r>
      <rPr>
        <rFont val="Arial"/>
        <color theme="1"/>
      </rPr>
      <t>goal, forageassist2</t>
    </r>
    <r>
      <rPr>
        <rFont val="Arial"/>
        <color theme="1"/>
      </rPr>
      <t>. 30 s lockout, delay 1500-3000 ms, 15 outerreps</t>
    </r>
  </si>
  <si>
    <t>[8 9]  goal is [9] 40min in at 19/42 goal to other. second goal [10]</t>
  </si>
  <si>
    <r>
      <rPr>
        <rFont val="Arial"/>
        <color theme="1"/>
      </rPr>
      <t>goal, forageassist2</t>
    </r>
    <r>
      <rPr>
        <rFont val="Arial"/>
        <color theme="1"/>
      </rPr>
      <t>. 30 s lockout, delay 1500-3000 ms, 15 outerreps</t>
    </r>
  </si>
  <si>
    <t>goals [7 4]. found 4 but didnt repeat well, got frustrated. got 15 mins extra</t>
  </si>
  <si>
    <r>
      <rPr>
        <rFont val="Arial"/>
        <color theme="1"/>
      </rPr>
      <t>goal, forageassist2</t>
    </r>
    <r>
      <rPr>
        <rFont val="Arial"/>
        <color theme="1"/>
      </rPr>
      <t>. 30 s lockout, delay 1500-3000 ms, 15 outerreps</t>
    </r>
  </si>
  <si>
    <t>goals [8 10]. first found 10, next goal 11</t>
  </si>
  <si>
    <r>
      <rPr>
        <rFont val="Arial"/>
        <color theme="1"/>
      </rPr>
      <t>goal, forageassist2</t>
    </r>
    <r>
      <rPr>
        <rFont val="Arial"/>
        <color theme="1"/>
      </rPr>
      <t>. 30 s lockout, delay 1500-3000 ms, 15 outerreps</t>
    </r>
  </si>
  <si>
    <t>goals [9 7]; found 9. next goal 6</t>
  </si>
  <si>
    <r>
      <rPr>
        <rFont val="Arial"/>
        <color theme="1"/>
      </rPr>
      <t>goal, forageassist2</t>
    </r>
    <r>
      <rPr>
        <rFont val="Arial"/>
        <color theme="1"/>
      </rPr>
      <t>. 30 s lockout, delay 1500-3000 ms, 15 outerreps</t>
    </r>
  </si>
  <si>
    <t xml:space="preserve">goals [6 4], found 6 but such bad repeating! geez. </t>
  </si>
  <si>
    <r>
      <rPr>
        <rFont val="Arial"/>
        <color theme="1"/>
      </rPr>
      <t>goal, forageassist2</t>
    </r>
    <r>
      <rPr>
        <rFont val="Arial"/>
        <color theme="1"/>
      </rPr>
      <t>. 30 s lockout, delay 1500-3000 ms, 15 outerreps</t>
    </r>
  </si>
  <si>
    <t>goals 5 7, found 7. pretty ok for 50 mins!</t>
  </si>
  <si>
    <r>
      <rPr>
        <rFont val="Arial"/>
        <color theme="1"/>
      </rPr>
      <t>goal, forageassist2</t>
    </r>
    <r>
      <rPr>
        <rFont val="Arial"/>
        <color theme="1"/>
      </rPr>
      <t>. 30 s lockout, delay 1500-3000 ms, 15 outerreps</t>
    </r>
  </si>
  <si>
    <t>goasl [5 8] found 8 , decent motivation but no repeating :(</t>
  </si>
  <si>
    <r>
      <rPr>
        <rFont val="Arial"/>
        <color theme="1"/>
      </rPr>
      <t>goal, forageassist2</t>
    </r>
    <r>
      <rPr>
        <rFont val="Arial"/>
        <color theme="1"/>
      </rPr>
      <t>. 30 s lockout, delay 1500-3000 ms, 15 outerreps</t>
    </r>
  </si>
  <si>
    <t>goals [4 8], found 4. better ratio! 4 is an easy arm tho</t>
  </si>
  <si>
    <r>
      <rPr>
        <rFont val="Arial"/>
        <color theme="1"/>
      </rPr>
      <t>goal, forageassist2</t>
    </r>
    <r>
      <rPr>
        <rFont val="Arial"/>
        <color theme="1"/>
      </rPr>
      <t>. 30 s lockout, delay 1500-3000 ms, 15 outerreps</t>
    </r>
  </si>
  <si>
    <t>goals 4,8, found 4. next goal 5. trying hard but not repeating well</t>
  </si>
  <si>
    <r>
      <rPr>
        <rFont val="Arial"/>
        <color theme="1"/>
      </rPr>
      <t>goal, forageassist2</t>
    </r>
    <r>
      <rPr>
        <rFont val="Arial"/>
        <color theme="1"/>
      </rPr>
      <t>. 30 s lockout, delay 1500-3000 ms, 15 outerreps</t>
    </r>
  </si>
  <si>
    <t>goals [5,10], not a super motivated session but does seem like pretty good repeat accuracy!</t>
  </si>
  <si>
    <r>
      <rPr>
        <rFont val="Arial"/>
        <color theme="1"/>
      </rPr>
      <t>goal, forageassist2</t>
    </r>
    <r>
      <rPr>
        <rFont val="Arial"/>
        <color theme="1"/>
      </rPr>
      <t>. 30 s lockout, delay 1500-3000 ms, 15 outerreps</t>
    </r>
  </si>
  <si>
    <t>goals [5,11], found 11, next goal 4, ratio's pretty good but doesn't know to repeat it (8 of the others were in the last 10 minutes)</t>
  </si>
  <si>
    <r>
      <rPr>
        <rFont val="Arial"/>
        <color theme="1"/>
      </rPr>
      <t>goal, forageassist2</t>
    </r>
    <r>
      <rPr>
        <rFont val="Arial"/>
        <color theme="1"/>
      </rPr>
      <t>. 30 s lockout, delay 1500-3000 ms, 15 outerreps</t>
    </r>
  </si>
  <si>
    <t>goals [4,10], found 10 at 11:49, did pretty well!!</t>
  </si>
  <si>
    <r>
      <rPr>
        <rFont val="Arial"/>
        <color theme="1"/>
      </rPr>
      <t>goal, forageassist2</t>
    </r>
    <r>
      <rPr>
        <rFont val="Arial"/>
        <color theme="1"/>
      </rPr>
      <t>. 30 s lockout, delay 1500-3000 ms, 15 outerreps</t>
    </r>
  </si>
  <si>
    <t>goals [8,10], found 10, repeating pretty well! next goal 5, not amazing but did better than yesterday!</t>
  </si>
  <si>
    <r>
      <rPr>
        <rFont val="Arial"/>
        <color theme="1"/>
      </rPr>
      <t>goal, forageassist2</t>
    </r>
    <r>
      <rPr>
        <rFont val="Arial"/>
        <color theme="1"/>
      </rPr>
      <t>. 30 s lockout, delay 1500-3000 ms, 15 outerreps</t>
    </r>
  </si>
  <si>
    <t>goals [9,10], more active but ending up with lots of others</t>
  </si>
  <si>
    <r>
      <rPr>
        <rFont val="Arial"/>
        <color theme="1"/>
      </rPr>
      <t>goal, forageassist2</t>
    </r>
    <r>
      <rPr>
        <rFont val="Arial"/>
        <color theme="1"/>
      </rPr>
      <t>. 30 s lockout, delay 1500-3000 ms, 15 outerreps</t>
    </r>
  </si>
  <si>
    <t>goals [5,10], is there something in the code biasing it to 10? feel like it's been an option for most sessions today, don't know if that's just a coincidence... found 10 at 3:15</t>
  </si>
  <si>
    <r>
      <rPr>
        <rFont val="Arial"/>
        <color theme="1"/>
      </rPr>
      <t>goal, forageassist2</t>
    </r>
    <r>
      <rPr>
        <rFont val="Arial"/>
        <color theme="1"/>
      </rPr>
      <t>. 30 s lockout, delay 1500-3000 ms, 15 outerreps</t>
    </r>
  </si>
  <si>
    <t>[7 5], found goal [7] checked on him 30min, 34home, 2goal, 25other</t>
  </si>
  <si>
    <r>
      <rPr>
        <rFont val="Arial"/>
        <color theme="1"/>
      </rPr>
      <t>goal, forageassist2</t>
    </r>
    <r>
      <rPr>
        <rFont val="Arial"/>
        <color theme="1"/>
      </rPr>
      <t>. 30 s lockout, delay 1500-3000 ms, 15 outerreps</t>
    </r>
  </si>
  <si>
    <t xml:space="preserve">[7 4] found goal [4] 30min in 26hom, 9goal, 13other. Second goal [5] </t>
  </si>
  <si>
    <r>
      <rPr>
        <rFont val="Arial"/>
        <color theme="1"/>
      </rPr>
      <t>goal, forageassist2</t>
    </r>
    <r>
      <rPr>
        <rFont val="Arial"/>
        <color theme="1"/>
      </rPr>
      <t>. 30 s lockout, delay 1500-3000 ms, 15 outerreps</t>
    </r>
  </si>
  <si>
    <t>[5 8], missed what his first goal was. Second goal was [9]. Halfway in has 71home, 16goal, 44other.</t>
  </si>
  <si>
    <r>
      <rPr>
        <rFont val="Arial"/>
        <color theme="1"/>
      </rPr>
      <t>goal, forageassist2</t>
    </r>
    <r>
      <rPr>
        <rFont val="Arial"/>
        <color theme="1"/>
      </rPr>
      <t>. 30 s lockout, delay 1500-3000 ms, 15 outerreps</t>
    </r>
  </si>
  <si>
    <t>[4 8] Did so good!</t>
  </si>
  <si>
    <r>
      <rPr>
        <rFont val="Arial"/>
        <color theme="1"/>
      </rPr>
      <t>goal, forageassist2</t>
    </r>
    <r>
      <rPr>
        <rFont val="Arial"/>
        <color theme="1"/>
      </rPr>
      <t>. 30 s lockout, delay 1500-3000 ms, 15 outerreps</t>
    </r>
  </si>
  <si>
    <t xml:space="preserve">[10 8] First goal was 8 and second goal was 10 </t>
  </si>
  <si>
    <r>
      <rPr>
        <rFont val="Arial"/>
        <color theme="1"/>
      </rPr>
      <t>goal, forageassist2</t>
    </r>
    <r>
      <rPr>
        <rFont val="Arial"/>
        <color theme="1"/>
      </rPr>
      <t>. 30 s lockout, delay 1500-3000 ms, 15 outerreps</t>
    </r>
  </si>
  <si>
    <t>[8,11] First goal was 11 and second goal was 10</t>
  </si>
  <si>
    <r>
      <rPr>
        <rFont val="Arial"/>
        <color theme="1"/>
      </rPr>
      <t>goal, forageassist2</t>
    </r>
    <r>
      <rPr>
        <rFont val="Arial"/>
        <color theme="1"/>
      </rPr>
      <t>. 30 s lockout, delay 1500-3000 ms, 15 outerreps</t>
    </r>
  </si>
  <si>
    <t>[6 4] found [4] checked in 35min in, 49hom. 15goal. 26other. second goal was [8]</t>
  </si>
  <si>
    <r>
      <rPr>
        <rFont val="Arial"/>
        <color theme="1"/>
      </rPr>
      <t>goal, forageassist2</t>
    </r>
    <r>
      <rPr>
        <rFont val="Arial"/>
        <color theme="1"/>
      </rPr>
      <t>. 30 s lockout, delay 1500-3000 ms, 15 outerreps</t>
    </r>
  </si>
  <si>
    <t>[4 7] first goal [4] second goal [9]</t>
  </si>
  <si>
    <r>
      <rPr>
        <rFont val="Arial"/>
        <color theme="1"/>
      </rPr>
      <t>goal, forageassist2</t>
    </r>
    <r>
      <rPr>
        <rFont val="Arial"/>
        <color theme="1"/>
      </rPr>
      <t>. 30 s lockout, delay 1500-3000 ms, 15 outerreps</t>
    </r>
  </si>
  <si>
    <t>[11 7] first goal [7] second goal [9].</t>
  </si>
  <si>
    <r>
      <rPr>
        <rFont val="Arial"/>
        <color theme="1"/>
      </rPr>
      <t>goal, forageassist2</t>
    </r>
    <r>
      <rPr>
        <rFont val="Arial"/>
        <color theme="1"/>
      </rPr>
      <t>. 30 s lockout, delay 1500-3000 ms, 15 outerreps</t>
    </r>
  </si>
  <si>
    <t xml:space="preserve">[9 4] first goal [9] second goal [11]. For some reason lots of lock 2s. </t>
  </si>
  <si>
    <r>
      <rPr>
        <rFont val="Arial"/>
        <color theme="1"/>
      </rPr>
      <t>goal, forageassist2</t>
    </r>
    <r>
      <rPr>
        <rFont val="Arial"/>
        <color theme="1"/>
      </rPr>
      <t>. 30 s lockout, delay 1500-3000 ms, 15 outerreps</t>
    </r>
  </si>
  <si>
    <t>[7 9] first goal 7, [5 10] second goal [10] third goal [4 9] found [9]</t>
  </si>
  <si>
    <r>
      <rPr>
        <rFont val="Arial"/>
        <color theme="1"/>
      </rPr>
      <t>goal, forageassist2</t>
    </r>
    <r>
      <rPr>
        <rFont val="Arial"/>
        <color theme="1"/>
      </rPr>
      <t>. 30 s lockout, delay 1500-3000 ms, 15 outerreps</t>
    </r>
  </si>
  <si>
    <t xml:space="preserve">[8 11] goal is [8]. 30min check 38home. 4goal, 25other. Gave a little extra time. second goal [5] </t>
  </si>
  <si>
    <r>
      <rPr>
        <rFont val="Arial"/>
        <color theme="1"/>
      </rPr>
      <t xml:space="preserve">goal, </t>
    </r>
    <r>
      <rPr>
        <rFont val="Arial"/>
        <b/>
        <color theme="1"/>
      </rPr>
      <t>forageassistOFF</t>
    </r>
    <r>
      <rPr>
        <rFont val="Arial"/>
        <color theme="1"/>
      </rPr>
      <t>. 30 s lockout, delay 1500-3000 ms, 15 outerreps</t>
    </r>
  </si>
  <si>
    <t>goal 8, then 11</t>
  </si>
  <si>
    <r>
      <rPr>
        <rFont val="Arial"/>
        <color theme="1"/>
      </rPr>
      <t xml:space="preserve">goal, </t>
    </r>
    <r>
      <rPr>
        <rFont val="Arial"/>
        <b/>
        <color theme="1"/>
      </rPr>
      <t>forageassistOFF</t>
    </r>
    <r>
      <rPr>
        <rFont val="Arial"/>
        <color theme="1"/>
      </rPr>
      <t>. 30 s lockout, delay 1500-3000 ms, 15 outerreps</t>
    </r>
  </si>
  <si>
    <t>goal 10</t>
  </si>
  <si>
    <r>
      <rPr>
        <rFont val="Arial"/>
        <color theme="1"/>
      </rPr>
      <t xml:space="preserve">goal, </t>
    </r>
    <r>
      <rPr>
        <rFont val="Arial"/>
        <b/>
        <color theme="1"/>
      </rPr>
      <t>forageassistOFF</t>
    </r>
    <r>
      <rPr>
        <rFont val="Arial"/>
        <color theme="1"/>
      </rPr>
      <t>. 30 s lockout, delay 1500-3000 ms, 15 outerreps</t>
    </r>
  </si>
  <si>
    <t>goal 6, then 5</t>
  </si>
  <si>
    <r>
      <rPr>
        <rFont val="Arial"/>
        <color theme="1"/>
      </rPr>
      <t xml:space="preserve">goal, </t>
    </r>
    <r>
      <rPr>
        <rFont val="Arial"/>
        <b/>
        <color theme="1"/>
      </rPr>
      <t>forageassistOFF</t>
    </r>
    <r>
      <rPr>
        <rFont val="Arial"/>
        <color theme="1"/>
      </rPr>
      <t>. 30 s lockout, delay 1500-3000 ms, 15 outerreps</t>
    </r>
  </si>
  <si>
    <t>goal 7</t>
  </si>
  <si>
    <r>
      <rPr>
        <rFont val="Arial"/>
        <color theme="1"/>
      </rPr>
      <t xml:space="preserve">goal, </t>
    </r>
    <r>
      <rPr>
        <rFont val="Arial"/>
        <b/>
        <color theme="1"/>
      </rPr>
      <t>forageassistOFF</t>
    </r>
    <r>
      <rPr>
        <rFont val="Arial"/>
        <color theme="1"/>
      </rPr>
      <t>. 30 s lockout, delay 1500-3000 ms, 15 outerreps</t>
    </r>
  </si>
  <si>
    <t>goal 6</t>
  </si>
  <si>
    <r>
      <rPr>
        <rFont val="Arial"/>
        <color theme="1"/>
      </rPr>
      <t xml:space="preserve">goal, </t>
    </r>
    <r>
      <rPr>
        <rFont val="Arial"/>
        <b/>
        <color theme="1"/>
      </rPr>
      <t>forageassistOFF</t>
    </r>
    <r>
      <rPr>
        <rFont val="Arial"/>
        <color theme="1"/>
      </rPr>
      <t>. 30 s lockout, delay 1500-3000 ms, 15 outerreps</t>
    </r>
  </si>
  <si>
    <t>goal 6. not impressive :(</t>
  </si>
  <si>
    <r>
      <rPr>
        <rFont val="Arial"/>
        <color theme="1"/>
      </rPr>
      <t xml:space="preserve">goal, </t>
    </r>
    <r>
      <rPr>
        <rFont val="Arial"/>
        <b/>
        <color theme="1"/>
      </rPr>
      <t>forageassistOFF</t>
    </r>
    <r>
      <rPr>
        <rFont val="Arial"/>
        <color theme="1"/>
      </rPr>
      <t>. 30 s lockout, delay 1500-3000 ms, 15 outerreps</t>
    </r>
  </si>
  <si>
    <t>goal 11, then 10  - so good!</t>
  </si>
  <si>
    <r>
      <rPr>
        <rFont val="Arial"/>
        <color theme="1"/>
      </rPr>
      <t xml:space="preserve">goal, </t>
    </r>
    <r>
      <rPr>
        <rFont val="Arial"/>
        <b/>
        <color theme="1"/>
      </rPr>
      <t>forageassistOFF</t>
    </r>
    <r>
      <rPr>
        <rFont val="Arial"/>
        <color theme="1"/>
      </rPr>
      <t>. 30 s lockout, delay 1500-3000 ms, 15 outerreps</t>
    </r>
  </si>
  <si>
    <t>goal 5. meh</t>
  </si>
  <si>
    <r>
      <rPr>
        <rFont val="Arial"/>
        <color theme="1"/>
      </rPr>
      <t xml:space="preserve">goal, </t>
    </r>
    <r>
      <rPr>
        <rFont val="Arial"/>
        <color theme="1"/>
      </rPr>
      <t>forageassistOFF</t>
    </r>
    <r>
      <rPr>
        <rFont val="Arial"/>
        <color theme="1"/>
      </rPr>
      <t>. 30 s lockout, delay 1500-3000 ms, 15 outerreps</t>
    </r>
  </si>
  <si>
    <t>goal [6], trying hard, doing well, lots of one-off errors, halfway through just took a nap and stopped working, spurt of energy at the end so giving some extra time. goal [11]</t>
  </si>
  <si>
    <r>
      <rPr>
        <rFont val="Arial"/>
        <color theme="1"/>
      </rPr>
      <t xml:space="preserve">goal, </t>
    </r>
    <r>
      <rPr>
        <rFont val="Arial"/>
        <color theme="1"/>
      </rPr>
      <t>forageassistOFF</t>
    </r>
    <r>
      <rPr>
        <rFont val="Arial"/>
        <color theme="1"/>
      </rPr>
      <t>. 30 s lockout, delay 1500-3000 ms, 15 outerreps</t>
    </r>
  </si>
  <si>
    <t>goal [11], really struggling to repeat but slowly but surely got it. similar score as 3 but 3 generally works faster but then takes naps? so maybe 3 is a better candidate but just isn't motivated enough right now?</t>
  </si>
  <si>
    <r>
      <rPr>
        <rFont val="Arial"/>
        <color theme="1"/>
      </rPr>
      <t xml:space="preserve">goal, </t>
    </r>
    <r>
      <rPr>
        <rFont val="Arial"/>
        <color theme="1"/>
      </rPr>
      <t>forageassistOFF</t>
    </r>
    <r>
      <rPr>
        <rFont val="Arial"/>
        <color theme="1"/>
      </rPr>
      <t>. 30 s lockout, delay 1500-3000 ms, 15 outerreps</t>
    </r>
  </si>
  <si>
    <r>
      <rPr>
        <rFont val="Arial"/>
        <color theme="1"/>
      </rPr>
      <t xml:space="preserve">goal, </t>
    </r>
    <r>
      <rPr>
        <rFont val="Arial"/>
        <color theme="1"/>
      </rPr>
      <t>forageassistOFF</t>
    </r>
    <r>
      <rPr>
        <rFont val="Arial"/>
        <color theme="1"/>
      </rPr>
      <t>. 30 s lockout, delay 1500-3000 ms, 15 outerreps</t>
    </r>
  </si>
  <si>
    <t>goal [8], didn't do much :/</t>
  </si>
  <si>
    <r>
      <rPr>
        <rFont val="Arial"/>
        <color theme="1"/>
      </rPr>
      <t xml:space="preserve">goal, </t>
    </r>
    <r>
      <rPr>
        <rFont val="Arial"/>
        <color theme="1"/>
      </rPr>
      <t>forageassistOFF</t>
    </r>
    <r>
      <rPr>
        <rFont val="Arial"/>
        <color theme="1"/>
      </rPr>
      <t>. 30 s lockout, delay 1500-3000 ms, 15 outerreps</t>
    </r>
  </si>
  <si>
    <t>goal [7]... oh no, doing tragically even though it looks like he's been working really hard :(</t>
  </si>
  <si>
    <r>
      <rPr>
        <rFont val="Arial"/>
        <color theme="1"/>
      </rPr>
      <t xml:space="preserve">goal, </t>
    </r>
    <r>
      <rPr>
        <rFont val="Arial"/>
        <color theme="1"/>
      </rPr>
      <t>forageassistOFF</t>
    </r>
    <r>
      <rPr>
        <rFont val="Arial"/>
        <color theme="1"/>
      </rPr>
      <t>. 30 s lockout, delay 1500-3000 ms, 15 outerreps</t>
    </r>
  </si>
  <si>
    <t>goal [5], goal [8], pretty good</t>
  </si>
  <si>
    <r>
      <rPr>
        <rFont val="Arial"/>
        <color theme="1"/>
      </rPr>
      <t xml:space="preserve">goal, </t>
    </r>
    <r>
      <rPr>
        <rFont val="Arial"/>
        <color theme="1"/>
      </rPr>
      <t>forageassistOFF</t>
    </r>
    <r>
      <rPr>
        <rFont val="Arial"/>
        <color theme="1"/>
      </rPr>
      <t>. 30 s lockout, delay 1500-3000 ms, 15 outerreps</t>
    </r>
  </si>
  <si>
    <t>extra epoch, goal [6]</t>
  </si>
  <si>
    <r>
      <rPr>
        <rFont val="Arial"/>
        <color theme="1"/>
      </rPr>
      <t xml:space="preserve">goal, </t>
    </r>
    <r>
      <rPr>
        <rFont val="Arial"/>
        <color theme="1"/>
      </rPr>
      <t>forageassistOFF</t>
    </r>
    <r>
      <rPr>
        <rFont val="Arial"/>
        <color theme="1"/>
      </rPr>
      <t>. 30 s lockout, delay 1500-3000 ms, 15 outerreps</t>
    </r>
  </si>
  <si>
    <t>extra epoch, goal [10]</t>
  </si>
  <si>
    <r>
      <rPr>
        <rFont val="Arial"/>
        <color theme="1"/>
      </rPr>
      <t xml:space="preserve">goal, </t>
    </r>
    <r>
      <rPr>
        <rFont val="Arial"/>
        <color theme="1"/>
      </rPr>
      <t>forageassistOFF</t>
    </r>
    <r>
      <rPr>
        <rFont val="Arial"/>
        <color theme="1"/>
      </rPr>
      <t>. 30 s lockout, delay 1500-3000 ms, 15 outerreps</t>
    </r>
  </si>
  <si>
    <t>first goal [5]. Started working right away, having trouble navigating with LED ring. Did some good behavior initially, then just stayed in the home well area, then just sat for a while. Pulled him out early to prevent poor behavior</t>
  </si>
  <si>
    <r>
      <rPr>
        <rFont val="Arial"/>
        <color theme="1"/>
      </rPr>
      <t xml:space="preserve">goal, </t>
    </r>
    <r>
      <rPr>
        <rFont val="Arial"/>
        <color theme="1"/>
      </rPr>
      <t>forageassistOFF</t>
    </r>
    <r>
      <rPr>
        <rFont val="Arial"/>
        <color theme="1"/>
      </rPr>
      <t>. 30 s lockout, delay 1500-3000 ms, 15 outerreps</t>
    </r>
  </si>
  <si>
    <r>
      <rPr>
        <rFont val="Arial"/>
        <color theme="1"/>
      </rPr>
      <t xml:space="preserve">goal, </t>
    </r>
    <r>
      <rPr>
        <rFont val="Arial"/>
        <b/>
        <color theme="1"/>
      </rPr>
      <t>forageassist2</t>
    </r>
    <r>
      <rPr>
        <rFont val="Arial"/>
        <color theme="1"/>
      </rPr>
      <t>. 30 s lockout, delay 1500-3000 ms, 15 outerreps</t>
    </r>
  </si>
  <si>
    <t>first goals [4 7]</t>
  </si>
  <si>
    <r>
      <rPr>
        <rFont val="Arial"/>
        <color theme="1"/>
      </rPr>
      <t xml:space="preserve">goal, </t>
    </r>
    <r>
      <rPr>
        <rFont val="Arial"/>
        <b/>
        <color theme="1"/>
      </rPr>
      <t>forageassist2</t>
    </r>
    <r>
      <rPr>
        <rFont val="Arial"/>
        <color theme="1"/>
      </rPr>
      <t>. 30 s lockout, delay 1500-3000 ms, 15 outerreps</t>
    </r>
  </si>
  <si>
    <t xml:space="preserve">goals [10 6] found goal [6]. Checked in at 25min completed first goal. New goals [10 5] . </t>
  </si>
  <si>
    <r>
      <rPr>
        <rFont val="Arial"/>
        <color theme="1"/>
      </rPr>
      <t xml:space="preserve">goal, </t>
    </r>
    <r>
      <rPr>
        <rFont val="Arial"/>
        <b/>
        <color theme="1"/>
      </rPr>
      <t>forageassist2</t>
    </r>
    <r>
      <rPr>
        <rFont val="Arial"/>
        <color theme="1"/>
      </rPr>
      <t>. 30 s lockout, delay 1500-3000 ms, 15 outerreps</t>
    </r>
  </si>
  <si>
    <t>first goals [4,5] found 4 at 4:27, checked in at 30 min, 21 goals, new goal is 5</t>
  </si>
  <si>
    <r>
      <rPr>
        <rFont val="Arial"/>
        <color theme="1"/>
      </rPr>
      <t xml:space="preserve">goal, </t>
    </r>
    <r>
      <rPr>
        <rFont val="Arial"/>
        <b/>
        <color theme="1"/>
      </rPr>
      <t>forageassist2</t>
    </r>
    <r>
      <rPr>
        <rFont val="Arial"/>
        <color theme="1"/>
      </rPr>
      <t>. 30 s lockout, delay 1500-3000 ms, 15 outerreps</t>
    </r>
  </si>
  <si>
    <t>first goals [6 8] found goal at [6] stopped early</t>
  </si>
  <si>
    <r>
      <rPr>
        <rFont val="Arial"/>
        <color theme="1"/>
      </rPr>
      <t xml:space="preserve">goal, </t>
    </r>
    <r>
      <rPr>
        <rFont val="Arial"/>
        <b/>
        <color theme="1"/>
      </rPr>
      <t>forageassist2</t>
    </r>
    <r>
      <rPr>
        <rFont val="Arial"/>
        <color theme="1"/>
      </rPr>
      <t>. 30 s lockout, delay 1500-3000 ms, 15 outerreps</t>
    </r>
  </si>
  <si>
    <t>first goals [10 7]. Awesome job!</t>
  </si>
  <si>
    <r>
      <rPr>
        <rFont val="Arial"/>
        <color theme="1"/>
      </rPr>
      <t xml:space="preserve">goal, </t>
    </r>
    <r>
      <rPr>
        <rFont val="Arial"/>
        <b/>
        <color theme="1"/>
      </rPr>
      <t>forageassist2</t>
    </r>
    <r>
      <rPr>
        <rFont val="Arial"/>
        <color theme="1"/>
      </rPr>
      <t>. 30 s lockout, delay 1500-3000 ms, 4-12 outerreps</t>
    </r>
  </si>
  <si>
    <t>First goals [7 5] - this one was actually on variable_outer_reps by accident! (4 full goal blocks!)</t>
  </si>
  <si>
    <r>
      <rPr>
        <rFont val="Arial"/>
        <color theme="1"/>
      </rPr>
      <t xml:space="preserve">goal, </t>
    </r>
    <r>
      <rPr>
        <rFont val="Arial"/>
        <b/>
        <color theme="1"/>
      </rPr>
      <t>forageassist2</t>
    </r>
    <r>
      <rPr>
        <rFont val="Arial"/>
        <color theme="1"/>
      </rPr>
      <t>. 30 s lockout, delay 1500-3000 ms, 15 outerreps</t>
    </r>
  </si>
  <si>
    <r>
      <rPr>
        <rFont val="Arial"/>
        <color theme="1"/>
      </rPr>
      <t xml:space="preserve">goal, </t>
    </r>
    <r>
      <rPr>
        <rFont val="Arial"/>
        <b/>
        <color theme="1"/>
      </rPr>
      <t>forageassistOFF</t>
    </r>
    <r>
      <rPr>
        <rFont val="Arial"/>
        <color theme="1"/>
      </rPr>
      <t>. 30 s lockout, delay 1500-3000 ms, 15 outerreps</t>
    </r>
  </si>
  <si>
    <t>gave him a little extra to finish the third goal block - so good!! unaffected by forage assist being off!</t>
  </si>
  <si>
    <t>\</t>
  </si>
  <si>
    <t>gs3</t>
  </si>
  <si>
    <t>click sound not working so both sides are beep currently</t>
  </si>
  <si>
    <t>gs4</t>
  </si>
  <si>
    <t>gs5</t>
  </si>
  <si>
    <t>gs6</t>
  </si>
  <si>
    <r>
      <rPr>
        <rFont val="Arial"/>
        <color theme="1"/>
      </rPr>
      <t xml:space="preserve">forage, 8 arms rewarded. </t>
    </r>
    <r>
      <rPr>
        <rFont val="Arial"/>
        <b/>
        <color theme="1"/>
      </rPr>
      <t>5 s lockout</t>
    </r>
    <r>
      <rPr>
        <rFont val="Arial"/>
        <color theme="1"/>
      </rPr>
      <t>, delay 100-200 ms</t>
    </r>
  </si>
  <si>
    <r>
      <rPr>
        <rFont val="Arial"/>
        <color theme="1"/>
      </rPr>
      <t xml:space="preserve">forage, 8 arms rewarded. </t>
    </r>
    <r>
      <rPr>
        <rFont val="Arial"/>
        <b/>
        <color theme="1"/>
      </rPr>
      <t>5 s lockout</t>
    </r>
    <r>
      <rPr>
        <rFont val="Arial"/>
        <color theme="1"/>
      </rPr>
      <t>, delay 100-200 ms</t>
    </r>
  </si>
  <si>
    <r>
      <rPr>
        <rFont val="Arial"/>
        <color theme="1"/>
      </rPr>
      <t xml:space="preserve">forage, 8 arms rewarded. </t>
    </r>
    <r>
      <rPr>
        <rFont val="Arial"/>
        <b/>
        <color theme="1"/>
      </rPr>
      <t>5 s lockout</t>
    </r>
    <r>
      <rPr>
        <rFont val="Arial"/>
        <color theme="1"/>
      </rPr>
      <t>, delay 100-200 ms</t>
    </r>
  </si>
  <si>
    <r>
      <rPr>
        <rFont val="Arial"/>
        <color theme="1"/>
      </rPr>
      <t xml:space="preserve">forage, 8 arms rewarded. </t>
    </r>
    <r>
      <rPr>
        <rFont val="Arial"/>
        <b/>
        <color theme="1"/>
      </rPr>
      <t>7 s lockout</t>
    </r>
    <r>
      <rPr>
        <rFont val="Arial"/>
        <color theme="1"/>
      </rPr>
      <t>, delay 100-200 ms</t>
    </r>
  </si>
  <si>
    <r>
      <rPr>
        <rFont val="Arial"/>
        <color theme="1"/>
      </rPr>
      <t xml:space="preserve">forage, 8 arms rewarded. </t>
    </r>
    <r>
      <rPr>
        <rFont val="Arial"/>
        <b/>
        <color theme="1"/>
      </rPr>
      <t>7 s lockout</t>
    </r>
    <r>
      <rPr>
        <rFont val="Arial"/>
        <color theme="1"/>
      </rPr>
      <t>, delay 100-200 ms</t>
    </r>
  </si>
  <si>
    <t xml:space="preserve">woohoo looks like it clicked for this guy! </t>
  </si>
  <si>
    <r>
      <rPr>
        <rFont val="Arial"/>
        <color theme="1"/>
      </rPr>
      <t xml:space="preserve">forage, 8 arms rewarded. </t>
    </r>
    <r>
      <rPr>
        <rFont val="Arial"/>
        <b/>
        <color theme="1"/>
      </rPr>
      <t>7 s lockout</t>
    </r>
    <r>
      <rPr>
        <rFont val="Arial"/>
        <color theme="1"/>
      </rPr>
      <t>, delay 100-200 ms</t>
    </r>
  </si>
  <si>
    <r>
      <rPr>
        <rFont val="Arial"/>
        <color theme="1"/>
      </rPr>
      <t xml:space="preserve">forage, 8 arms rewarded. </t>
    </r>
    <r>
      <rPr>
        <rFont val="Arial"/>
        <b/>
        <color theme="1"/>
      </rPr>
      <t>10 s lockout</t>
    </r>
    <r>
      <rPr>
        <rFont val="Arial"/>
        <color theme="1"/>
      </rPr>
      <t>, delay 100-200 ms</t>
    </r>
  </si>
  <si>
    <t>favors arm 1, looks like there's a config issue (using headless_ptp) that's making the lockout 2/3 the intended length; used clapping intervention</t>
  </si>
  <si>
    <r>
      <rPr>
        <rFont val="Arial"/>
        <color theme="1"/>
      </rPr>
      <t xml:space="preserve">forage, 8 arms rewarded. </t>
    </r>
    <r>
      <rPr>
        <rFont val="Arial"/>
        <b/>
        <color theme="1"/>
      </rPr>
      <t>10 s lockout</t>
    </r>
    <r>
      <rPr>
        <rFont val="Arial"/>
        <color theme="1"/>
      </rPr>
      <t>, delay 100-200 ms</t>
    </r>
  </si>
  <si>
    <t>switched to buttercup acquire config (which does not seem to have timing issue). prob also favors arm 1 bc syringe is low</t>
  </si>
  <si>
    <r>
      <rPr>
        <rFont val="Arial"/>
        <color theme="1"/>
      </rPr>
      <t xml:space="preserve">forage, 8 arms rewarded. </t>
    </r>
    <r>
      <rPr>
        <rFont val="Arial"/>
        <b/>
        <color theme="1"/>
      </rPr>
      <t>10 s lockout</t>
    </r>
    <r>
      <rPr>
        <rFont val="Arial"/>
        <color theme="1"/>
      </rPr>
      <t>, delay 100-200 ms</t>
    </r>
  </si>
  <si>
    <t>only 3 home visits 18 mins in so intervened with some milk drops and nudges. seems just unmotivated, not scared (but does lick milk up)</t>
  </si>
  <si>
    <r>
      <rPr>
        <rFont val="Arial"/>
        <color theme="1"/>
      </rPr>
      <t xml:space="preserve">forage, 8 arms rewarded. </t>
    </r>
    <r>
      <rPr>
        <rFont val="Arial"/>
        <b/>
        <color theme="1"/>
      </rPr>
      <t>12 s lockout</t>
    </r>
    <r>
      <rPr>
        <rFont val="Arial"/>
        <color theme="1"/>
      </rPr>
      <t>, delay 100-200 ms</t>
    </r>
  </si>
  <si>
    <r>
      <rPr>
        <rFont val="Arial"/>
        <color theme="1"/>
      </rPr>
      <t xml:space="preserve">forage, 8 arms rewarded. </t>
    </r>
    <r>
      <rPr>
        <rFont val="Arial"/>
        <b/>
        <color theme="1"/>
      </rPr>
      <t>12 s lockout</t>
    </r>
    <r>
      <rPr>
        <rFont val="Arial"/>
        <color theme="1"/>
      </rPr>
      <t>, delay 100-200 ms</t>
    </r>
  </si>
  <si>
    <r>
      <rPr>
        <rFont val="Arial"/>
        <color theme="1"/>
      </rPr>
      <t xml:space="preserve">forage, 8 arms rewarded. </t>
    </r>
    <r>
      <rPr>
        <rFont val="Arial"/>
        <b/>
        <color theme="1"/>
      </rPr>
      <t>12 s lockout</t>
    </r>
    <r>
      <rPr>
        <rFont val="Arial"/>
        <color theme="1"/>
      </rPr>
      <t>, delay 100-200 ms</t>
    </r>
  </si>
  <si>
    <r>
      <rPr>
        <rFont val="Arial"/>
        <color theme="1"/>
      </rPr>
      <t xml:space="preserve">forage, 8 arms rewarded. </t>
    </r>
    <r>
      <rPr>
        <rFont val="Arial"/>
        <b/>
        <color theme="1"/>
      </rPr>
      <t>12 s lockout</t>
    </r>
    <r>
      <rPr>
        <rFont val="Arial"/>
        <color theme="1"/>
      </rPr>
      <t>, delay 100-200 ms</t>
    </r>
  </si>
  <si>
    <t>Ready to move on to next step</t>
  </si>
  <si>
    <r>
      <rPr>
        <rFont val="Arial"/>
        <color theme="1"/>
      </rPr>
      <t xml:space="preserve">forage, 8 arms rewarded. </t>
    </r>
    <r>
      <rPr>
        <rFont val="Arial"/>
        <b/>
        <color theme="1"/>
      </rPr>
      <t>12 s lockout</t>
    </r>
    <r>
      <rPr>
        <rFont val="Arial"/>
        <color theme="1"/>
      </rPr>
      <t>, delay 100-200 ms</t>
    </r>
  </si>
  <si>
    <t>Also probably ready for next step</t>
  </si>
  <si>
    <r>
      <rPr>
        <rFont val="Arial"/>
        <color theme="1"/>
      </rPr>
      <t xml:space="preserve">forage, 8 arms rewarded. </t>
    </r>
    <r>
      <rPr>
        <rFont val="Arial"/>
        <b/>
        <color theme="1"/>
      </rPr>
      <t>12 s lockout</t>
    </r>
    <r>
      <rPr>
        <rFont val="Arial"/>
        <color theme="1"/>
      </rPr>
      <t>, delay 100-200 ms</t>
    </r>
  </si>
  <si>
    <t>maybe ready, heavily favored arm 2</t>
  </si>
  <si>
    <r>
      <rPr>
        <rFont val="Arial"/>
        <color theme="1"/>
      </rPr>
      <t xml:space="preserve">forage, 8 arms rewarded. </t>
    </r>
    <r>
      <rPr>
        <rFont val="Arial"/>
        <b/>
        <color theme="1"/>
      </rPr>
      <t>15 s lockout</t>
    </r>
    <r>
      <rPr>
        <rFont val="Arial"/>
        <color theme="1"/>
      </rPr>
      <t xml:space="preserve">, </t>
    </r>
    <r>
      <rPr>
        <rFont val="Arial"/>
        <b/>
        <color theme="1"/>
      </rPr>
      <t>delay 500-1000 ms</t>
    </r>
  </si>
  <si>
    <t xml:space="preserve">usually goes to arm2or 3 from left, arm 8 from right. did great! </t>
  </si>
  <si>
    <r>
      <rPr>
        <rFont val="Arial"/>
        <color theme="1"/>
      </rPr>
      <t xml:space="preserve">forage, 8 arms rewarded. </t>
    </r>
    <r>
      <rPr>
        <rFont val="Arial"/>
        <b/>
        <color theme="1"/>
      </rPr>
      <t>15 s lockout</t>
    </r>
    <r>
      <rPr>
        <rFont val="Arial"/>
        <color theme="1"/>
      </rPr>
      <t xml:space="preserve">, </t>
    </r>
    <r>
      <rPr>
        <rFont val="Arial"/>
        <b/>
        <color theme="1"/>
      </rPr>
      <t>delay 500-1000 ms</t>
    </r>
  </si>
  <si>
    <t>arm6 milk almost empty so maybe preferred it? unsure how full beforehand</t>
  </si>
  <si>
    <r>
      <rPr>
        <rFont val="Arial"/>
        <color theme="1"/>
      </rPr>
      <t xml:space="preserve">forage, 8 arms rewarded. </t>
    </r>
    <r>
      <rPr>
        <rFont val="Arial"/>
        <b/>
        <color theme="1"/>
      </rPr>
      <t>15 s lockout</t>
    </r>
    <r>
      <rPr>
        <rFont val="Arial"/>
        <color theme="1"/>
      </rPr>
      <t xml:space="preserve">, </t>
    </r>
    <r>
      <rPr>
        <rFont val="Arial"/>
        <b/>
        <color theme="1"/>
      </rPr>
      <t>delay 500-1000 ms</t>
    </r>
  </si>
  <si>
    <t>seems less active than the others but knows what he's doing</t>
  </si>
  <si>
    <t>sad :(</t>
  </si>
  <si>
    <t>gs7</t>
  </si>
  <si>
    <r>
      <rPr>
        <rFont val="Arial"/>
        <color theme="1"/>
      </rPr>
      <t xml:space="preserve">forage, 8 arms rewarded. </t>
    </r>
    <r>
      <rPr>
        <rFont val="Arial"/>
        <b/>
        <color theme="1"/>
      </rPr>
      <t>15 s lockout</t>
    </r>
    <r>
      <rPr>
        <rFont val="Arial"/>
        <color theme="1"/>
      </rPr>
      <t xml:space="preserve">, </t>
    </r>
    <r>
      <rPr>
        <rFont val="Arial"/>
        <b/>
        <color theme="1"/>
      </rPr>
      <t>delay 500-1000 ms</t>
    </r>
  </si>
  <si>
    <r>
      <rPr>
        <rFont val="Arial"/>
        <color theme="1"/>
      </rPr>
      <t xml:space="preserve">forage, 8 arms rewarded. </t>
    </r>
    <r>
      <rPr>
        <rFont val="Arial"/>
        <b/>
        <color theme="1"/>
      </rPr>
      <t>15 s lockout</t>
    </r>
    <r>
      <rPr>
        <rFont val="Arial"/>
        <color theme="1"/>
      </rPr>
      <t xml:space="preserve">, </t>
    </r>
    <r>
      <rPr>
        <rFont val="Arial"/>
        <b/>
        <color theme="1"/>
      </rPr>
      <t>delay 500-1000 ms</t>
    </r>
  </si>
  <si>
    <r>
      <rPr>
        <rFont val="Arial"/>
        <color theme="1"/>
      </rPr>
      <t xml:space="preserve">forage, 8 arms rewarded. </t>
    </r>
    <r>
      <rPr>
        <rFont val="Arial"/>
        <b/>
        <color theme="1"/>
      </rPr>
      <t>15 s lockout</t>
    </r>
    <r>
      <rPr>
        <rFont val="Arial"/>
        <color theme="1"/>
      </rPr>
      <t xml:space="preserve">, </t>
    </r>
    <r>
      <rPr>
        <rFont val="Arial"/>
        <b/>
        <color theme="1"/>
      </rPr>
      <t>delay 500-1000 ms</t>
    </r>
  </si>
  <si>
    <t>working smarter not harder</t>
  </si>
  <si>
    <r>
      <rPr>
        <rFont val="Arial"/>
        <color theme="1"/>
      </rPr>
      <t xml:space="preserve">forage, 8 arms rewarded. </t>
    </r>
    <r>
      <rPr>
        <rFont val="Arial"/>
        <b/>
        <color theme="1"/>
      </rPr>
      <t>5 s lockout</t>
    </r>
    <r>
      <rPr>
        <rFont val="Arial"/>
        <color theme="1"/>
      </rPr>
      <t>, delay 100-200 ms</t>
    </r>
  </si>
  <si>
    <t>almost outperformed 6</t>
  </si>
  <si>
    <r>
      <rPr>
        <rFont val="Arial"/>
        <color theme="1"/>
      </rPr>
      <t xml:space="preserve">forage, 8 arms rewarded. </t>
    </r>
    <r>
      <rPr>
        <rFont val="Arial"/>
        <b/>
        <color theme="1"/>
      </rPr>
      <t>15 s lockout</t>
    </r>
    <r>
      <rPr>
        <rFont val="Arial"/>
        <color theme="1"/>
      </rPr>
      <t xml:space="preserve">, </t>
    </r>
    <r>
      <rPr>
        <rFont val="Arial"/>
        <b/>
        <color theme="1"/>
      </rPr>
      <t>delay 500-1250 ms</t>
    </r>
  </si>
  <si>
    <t>likes arm 3</t>
  </si>
  <si>
    <r>
      <rPr>
        <rFont val="Arial"/>
        <color theme="1"/>
      </rPr>
      <t xml:space="preserve">forage, 8 arms rewarded. </t>
    </r>
    <r>
      <rPr>
        <rFont val="Arial"/>
        <b/>
        <color theme="1"/>
      </rPr>
      <t>15 s lockout</t>
    </r>
    <r>
      <rPr>
        <rFont val="Arial"/>
        <color theme="1"/>
      </rPr>
      <t xml:space="preserve">, </t>
    </r>
    <r>
      <rPr>
        <rFont val="Arial"/>
        <b/>
        <color theme="1"/>
      </rPr>
      <t>delay 500-1250 ms</t>
    </r>
  </si>
  <si>
    <r>
      <rPr>
        <rFont val="Arial"/>
        <color theme="1"/>
      </rPr>
      <t xml:space="preserve">forage, 8 arms rewarded. </t>
    </r>
    <r>
      <rPr>
        <rFont val="Arial"/>
        <b/>
        <color theme="1"/>
      </rPr>
      <t>15 s lockout</t>
    </r>
    <r>
      <rPr>
        <rFont val="Arial"/>
        <color theme="1"/>
      </rPr>
      <t xml:space="preserve">, </t>
    </r>
    <r>
      <rPr>
        <rFont val="Arial"/>
        <b/>
        <color theme="1"/>
      </rPr>
      <t>delay 500-1250 ms</t>
    </r>
  </si>
  <si>
    <r>
      <rPr>
        <rFont val="Arial"/>
        <color theme="1"/>
      </rPr>
      <t xml:space="preserve">forage, 8 arms rewarded. </t>
    </r>
    <r>
      <rPr>
        <rFont val="Arial"/>
        <b/>
        <color theme="1"/>
      </rPr>
      <t>5 s lockout</t>
    </r>
    <r>
      <rPr>
        <rFont val="Arial"/>
        <color theme="1"/>
      </rPr>
      <t>, delay 100-200 ms</t>
    </r>
  </si>
  <si>
    <r>
      <rPr>
        <rFont val="Arial"/>
        <color theme="1"/>
      </rPr>
      <t xml:space="preserve">forage, 8 arms rewarded. </t>
    </r>
    <r>
      <rPr>
        <rFont val="Arial"/>
        <b/>
        <color theme="1"/>
      </rPr>
      <t>5 s lockout</t>
    </r>
    <r>
      <rPr>
        <rFont val="Arial"/>
        <color theme="1"/>
      </rPr>
      <t>, delay 100-200 ms</t>
    </r>
  </si>
  <si>
    <r>
      <rPr>
        <rFont val="Arial"/>
        <color theme="1"/>
      </rPr>
      <t xml:space="preserve">forage, 8 arms rewarded. </t>
    </r>
    <r>
      <rPr>
        <rFont val="Arial"/>
        <b/>
        <color theme="1"/>
      </rPr>
      <t>15 s lockout</t>
    </r>
    <r>
      <rPr>
        <rFont val="Arial"/>
        <color theme="1"/>
      </rPr>
      <t xml:space="preserve">, </t>
    </r>
    <r>
      <rPr>
        <rFont val="Arial"/>
        <b/>
        <color theme="1"/>
      </rPr>
      <t>delay 500-1250 ms</t>
    </r>
  </si>
  <si>
    <t>loves arm 3 and 6, crushed it!</t>
  </si>
  <si>
    <r>
      <rPr>
        <rFont val="Arial"/>
        <color theme="1"/>
      </rPr>
      <t xml:space="preserve">forage, 8 arms rewarded. </t>
    </r>
    <r>
      <rPr>
        <rFont val="Arial"/>
        <b/>
        <color theme="1"/>
      </rPr>
      <t>15 s lockout</t>
    </r>
    <r>
      <rPr>
        <rFont val="Arial"/>
        <color theme="1"/>
      </rPr>
      <t xml:space="preserve">, </t>
    </r>
    <r>
      <rPr>
        <rFont val="Arial"/>
        <b/>
        <color theme="1"/>
      </rPr>
      <t>delay 500-1250 ms</t>
    </r>
  </si>
  <si>
    <t>ran a bit long</t>
  </si>
  <si>
    <r>
      <rPr>
        <rFont val="Arial"/>
        <color theme="1"/>
      </rPr>
      <t xml:space="preserve">forage, 8 arms rewarded. </t>
    </r>
    <r>
      <rPr>
        <rFont val="Arial"/>
        <b/>
        <color theme="1"/>
      </rPr>
      <t>15 s lockout</t>
    </r>
    <r>
      <rPr>
        <rFont val="Arial"/>
        <color theme="1"/>
      </rPr>
      <t xml:space="preserve">, </t>
    </r>
    <r>
      <rPr>
        <rFont val="Arial"/>
        <b/>
        <color theme="1"/>
      </rPr>
      <t>delay 500-1250 ms</t>
    </r>
  </si>
  <si>
    <r>
      <rPr>
        <rFont val="Arial"/>
        <color theme="1"/>
      </rPr>
      <t xml:space="preserve">forage, 8 arms rewarded. </t>
    </r>
    <r>
      <rPr>
        <rFont val="Arial"/>
        <b/>
        <color theme="1"/>
      </rPr>
      <t>5 s lockout</t>
    </r>
    <r>
      <rPr>
        <rFont val="Arial"/>
        <color theme="1"/>
      </rPr>
      <t>, delay 100-200 ms</t>
    </r>
  </si>
  <si>
    <r>
      <rPr>
        <rFont val="Arial"/>
        <color theme="1"/>
      </rPr>
      <t xml:space="preserve">forage, 8 arms rewarded. </t>
    </r>
    <r>
      <rPr>
        <rFont val="Arial"/>
        <b/>
        <color theme="1"/>
      </rPr>
      <t>18 s lockout</t>
    </r>
    <r>
      <rPr>
        <rFont val="Arial"/>
        <color theme="1"/>
      </rPr>
      <t xml:space="preserve">, </t>
    </r>
    <r>
      <rPr>
        <rFont val="Arial"/>
        <b/>
        <color theme="1"/>
      </rPr>
      <t>delay 500-1250 ms</t>
    </r>
  </si>
  <si>
    <r>
      <rPr>
        <rFont val="Arial"/>
        <color theme="1"/>
      </rPr>
      <t xml:space="preserve">forage, 8 arms rewarded. </t>
    </r>
    <r>
      <rPr>
        <rFont val="Arial"/>
        <b/>
        <color theme="1"/>
      </rPr>
      <t>18 s lockout</t>
    </r>
    <r>
      <rPr>
        <rFont val="Arial"/>
        <color theme="1"/>
      </rPr>
      <t xml:space="preserve">, </t>
    </r>
    <r>
      <rPr>
        <rFont val="Arial"/>
        <b/>
        <color theme="1"/>
      </rPr>
      <t>delay 500-1250 ms</t>
    </r>
  </si>
  <si>
    <r>
      <rPr>
        <rFont val="Arial"/>
        <color theme="1"/>
      </rPr>
      <t xml:space="preserve">forage, 8 arms rewarded. </t>
    </r>
    <r>
      <rPr>
        <rFont val="Arial"/>
        <b/>
        <color theme="1"/>
      </rPr>
      <t>18 s lockout</t>
    </r>
    <r>
      <rPr>
        <rFont val="Arial"/>
        <color theme="1"/>
      </rPr>
      <t xml:space="preserve">, </t>
    </r>
    <r>
      <rPr>
        <rFont val="Arial"/>
        <b/>
        <color theme="1"/>
      </rPr>
      <t>delay 500-1250 ms</t>
    </r>
  </si>
  <si>
    <t>r (center/up), +1/16 x2</t>
  </si>
  <si>
    <t>forage, 8 arms rewarded. 7 s lockout, delay 100-200 ms</t>
  </si>
  <si>
    <t>wow so amazing!! (was accidentally doing the easier task :( ) (prefers 3 and 6!)</t>
  </si>
  <si>
    <r>
      <rPr>
        <rFont val="Arial"/>
        <color theme="1"/>
      </rPr>
      <t xml:space="preserve">forage, 8 arms rewarded. </t>
    </r>
    <r>
      <rPr>
        <rFont val="Arial"/>
        <b/>
        <color theme="1"/>
      </rPr>
      <t>18 s lockout</t>
    </r>
    <r>
      <rPr>
        <rFont val="Arial"/>
        <color theme="1"/>
      </rPr>
      <t xml:space="preserve">, </t>
    </r>
    <r>
      <rPr>
        <rFont val="Arial"/>
        <b/>
        <color theme="1"/>
      </rPr>
      <t>delay 500-1250 ms</t>
    </r>
  </si>
  <si>
    <t>stopped a tad early</t>
  </si>
  <si>
    <r>
      <rPr>
        <rFont val="Arial"/>
        <color theme="1"/>
      </rPr>
      <t xml:space="preserve">forage, 8 arms rewarded. </t>
    </r>
    <r>
      <rPr>
        <rFont val="Arial"/>
        <b/>
        <color theme="1"/>
      </rPr>
      <t>18 s lockout</t>
    </r>
    <r>
      <rPr>
        <rFont val="Arial"/>
        <color theme="1"/>
      </rPr>
      <t xml:space="preserve">, </t>
    </r>
    <r>
      <rPr>
        <rFont val="Arial"/>
        <b/>
        <color theme="1"/>
      </rPr>
      <t>delay 500-1250 ms</t>
    </r>
  </si>
  <si>
    <r>
      <rPr>
        <rFont val="Arial"/>
        <color theme="1"/>
      </rPr>
      <t xml:space="preserve">forage, 8 arms rewarded. </t>
    </r>
    <r>
      <rPr>
        <rFont val="Arial"/>
        <b/>
        <color theme="1"/>
      </rPr>
      <t>10 s lockout</t>
    </r>
    <r>
      <rPr>
        <rFont val="Arial"/>
        <color theme="1"/>
      </rPr>
      <t>, delay 100-200 ms</t>
    </r>
  </si>
  <si>
    <t>crushed it!!</t>
  </si>
  <si>
    <r>
      <rPr>
        <rFont val="Arial"/>
        <color theme="1"/>
      </rPr>
      <t xml:space="preserve">forage, 8 arms rewarded. </t>
    </r>
    <r>
      <rPr>
        <rFont val="Arial"/>
        <b/>
        <color theme="1"/>
      </rPr>
      <t>18 s lockout</t>
    </r>
    <r>
      <rPr>
        <rFont val="Arial"/>
        <color theme="1"/>
      </rPr>
      <t xml:space="preserve">, </t>
    </r>
    <r>
      <rPr>
        <rFont val="Arial"/>
        <b/>
        <color theme="1"/>
      </rPr>
      <t>delay 500-1250 ms</t>
    </r>
  </si>
  <si>
    <t>redoing a hard session</t>
  </si>
  <si>
    <r>
      <rPr>
        <rFont val="Arial"/>
        <color theme="1"/>
      </rPr>
      <t xml:space="preserve">forage, </t>
    </r>
    <r>
      <rPr>
        <rFont val="Arial"/>
        <b/>
        <color theme="1"/>
      </rPr>
      <t>6 arms rewarded</t>
    </r>
    <r>
      <rPr>
        <rFont val="Arial"/>
        <color theme="1"/>
      </rPr>
      <t xml:space="preserve">. 20 s lockout, delay 500-1250 ms, </t>
    </r>
    <r>
      <rPr>
        <rFont val="Arial"/>
        <b/>
        <color theme="1"/>
      </rPr>
      <t>turn off arms 3 and 6</t>
    </r>
  </si>
  <si>
    <t>definitely struggled a bit</t>
  </si>
  <si>
    <r>
      <rPr>
        <rFont val="Arial"/>
        <color theme="1"/>
      </rPr>
      <t xml:space="preserve">forage, </t>
    </r>
    <r>
      <rPr>
        <rFont val="Arial"/>
        <b/>
        <color theme="1"/>
      </rPr>
      <t>6 arms rewarded</t>
    </r>
    <r>
      <rPr>
        <rFont val="Arial"/>
        <color theme="1"/>
      </rPr>
      <t xml:space="preserve">. 20 s lockout, delay 500-1250 ms, </t>
    </r>
    <r>
      <rPr>
        <rFont val="Arial"/>
        <b/>
        <color theme="1"/>
      </rPr>
      <t>turn off arms 3 and 6</t>
    </r>
  </si>
  <si>
    <t>also struggled without arms 3 and 6,  maybe pivoted to 2 and 7</t>
  </si>
  <si>
    <r>
      <rPr>
        <rFont val="Arial"/>
        <color theme="1"/>
      </rPr>
      <t xml:space="preserve">forage, </t>
    </r>
    <r>
      <rPr>
        <rFont val="Arial"/>
        <b/>
        <color theme="1"/>
      </rPr>
      <t>6 arms rewarded</t>
    </r>
    <r>
      <rPr>
        <rFont val="Arial"/>
        <color theme="1"/>
      </rPr>
      <t xml:space="preserve">. 20 s lockout, </t>
    </r>
    <r>
      <rPr>
        <rFont val="Arial"/>
        <b/>
        <color theme="1"/>
      </rPr>
      <t>delay 1000-1500 ms,</t>
    </r>
    <r>
      <rPr>
        <rFont val="Arial"/>
        <color theme="1"/>
      </rPr>
      <t xml:space="preserve"> </t>
    </r>
    <r>
      <rPr>
        <rFont val="Arial"/>
        <b/>
        <color theme="1"/>
      </rPr>
      <t>turn off arms 3 and 6</t>
    </r>
  </si>
  <si>
    <t>pretty unphased --&gt; prefers arm 2, should exclude next time</t>
  </si>
  <si>
    <r>
      <rPr>
        <rFont val="Arial"/>
        <color theme="1"/>
      </rPr>
      <t xml:space="preserve">forage, 8 arms rewarded. </t>
    </r>
    <r>
      <rPr>
        <rFont val="Arial"/>
        <b/>
        <color theme="1"/>
      </rPr>
      <t>15 s lockout</t>
    </r>
    <r>
      <rPr>
        <rFont val="Arial"/>
        <color theme="1"/>
      </rPr>
      <t xml:space="preserve">, </t>
    </r>
    <r>
      <rPr>
        <rFont val="Arial"/>
        <b/>
        <color theme="1"/>
      </rPr>
      <t>delay 200-750 ms</t>
    </r>
  </si>
  <si>
    <t>crushed it!</t>
  </si>
  <si>
    <r>
      <rPr>
        <rFont val="Arial"/>
        <color theme="1"/>
      </rPr>
      <t xml:space="preserve">forage, </t>
    </r>
    <r>
      <rPr>
        <rFont val="Arial"/>
        <b/>
        <color theme="1"/>
      </rPr>
      <t>6 arms rewarded</t>
    </r>
    <r>
      <rPr>
        <rFont val="Arial"/>
        <color theme="1"/>
      </rPr>
      <t xml:space="preserve">. 20 s lockout, delay 500-1250 ms, </t>
    </r>
    <r>
      <rPr>
        <rFont val="Arial"/>
        <b/>
        <color theme="1"/>
      </rPr>
      <t>turn off arms 2 and 7</t>
    </r>
  </si>
  <si>
    <r>
      <rPr>
        <rFont val="Arial"/>
        <color theme="1"/>
      </rPr>
      <t xml:space="preserve">forage, </t>
    </r>
    <r>
      <rPr>
        <rFont val="Arial"/>
        <b/>
        <color theme="1"/>
      </rPr>
      <t>6 arms rewarded</t>
    </r>
    <r>
      <rPr>
        <rFont val="Arial"/>
        <color theme="1"/>
      </rPr>
      <t xml:space="preserve">. 20 s lockout, delay 500-1250 ms, </t>
    </r>
    <r>
      <rPr>
        <rFont val="Arial"/>
        <b/>
        <color theme="1"/>
      </rPr>
      <t>turn off arms 2 and 7</t>
    </r>
  </si>
  <si>
    <t>loves 6 again (and maybe 3)</t>
  </si>
  <si>
    <r>
      <rPr>
        <rFont val="Arial"/>
        <color theme="1"/>
      </rPr>
      <t xml:space="preserve">forage, </t>
    </r>
    <r>
      <rPr>
        <rFont val="Arial"/>
        <b/>
        <color theme="1"/>
      </rPr>
      <t>6 arms rewarded</t>
    </r>
    <r>
      <rPr>
        <rFont val="Arial"/>
        <color theme="1"/>
      </rPr>
      <t xml:space="preserve">. 20 s lockout, </t>
    </r>
    <r>
      <rPr>
        <rFont val="Arial"/>
        <b/>
        <color theme="1"/>
      </rPr>
      <t>delay 1000-2000 ms,</t>
    </r>
    <r>
      <rPr>
        <rFont val="Arial"/>
        <color theme="1"/>
      </rPr>
      <t xml:space="preserve"> </t>
    </r>
    <r>
      <rPr>
        <rFont val="Arial"/>
        <b/>
        <color theme="1"/>
      </rPr>
      <t>turn off arms 2 and 7</t>
    </r>
  </si>
  <si>
    <t>not great, I guess this guy really liked arm 2 and/or 7 before?</t>
  </si>
  <si>
    <r>
      <rPr>
        <rFont val="Arial"/>
        <color theme="1"/>
      </rPr>
      <t xml:space="preserve">forage, 8 arms rewarded. </t>
    </r>
    <r>
      <rPr>
        <rFont val="Arial"/>
        <b/>
        <color theme="1"/>
      </rPr>
      <t>15 s lockout</t>
    </r>
    <r>
      <rPr>
        <rFont val="Arial"/>
        <color theme="1"/>
      </rPr>
      <t xml:space="preserve">, </t>
    </r>
    <r>
      <rPr>
        <rFont val="Arial"/>
        <b/>
        <color theme="1"/>
      </rPr>
      <t>delay 500-1250 ms</t>
    </r>
  </si>
  <si>
    <t>doing great!</t>
  </si>
  <si>
    <r>
      <rPr>
        <rFont val="Arial"/>
        <color theme="1"/>
      </rPr>
      <t xml:space="preserve">forage, </t>
    </r>
    <r>
      <rPr>
        <rFont val="Arial"/>
        <b/>
        <color theme="1"/>
      </rPr>
      <t>4 arms rewarded</t>
    </r>
    <r>
      <rPr>
        <rFont val="Arial"/>
        <color theme="1"/>
      </rPr>
      <t>. 20 s lockout,</t>
    </r>
    <r>
      <rPr>
        <rFont val="Arial"/>
        <b/>
        <color theme="1"/>
      </rPr>
      <t xml:space="preserve"> delay 500-1000 ms,</t>
    </r>
    <r>
      <rPr>
        <rFont val="Arial"/>
        <color theme="1"/>
      </rPr>
      <t xml:space="preserve"> </t>
    </r>
    <r>
      <rPr>
        <rFont val="Arial"/>
        <b/>
        <color theme="1"/>
      </rPr>
      <t>turn off arms 2,3 6,7</t>
    </r>
  </si>
  <si>
    <t>"ERROR: No data being received" on trodes at end of recording (I think streaming from source didnt get reset). he's active but not understanding that his fav arms are gone</t>
  </si>
  <si>
    <r>
      <rPr>
        <rFont val="Arial"/>
        <color theme="1"/>
      </rPr>
      <t xml:space="preserve">forage, </t>
    </r>
    <r>
      <rPr>
        <rFont val="Arial"/>
        <b/>
        <color theme="1"/>
      </rPr>
      <t>4 arms rewarded</t>
    </r>
    <r>
      <rPr>
        <rFont val="Arial"/>
        <color theme="1"/>
      </rPr>
      <t>. 20 s lockout,</t>
    </r>
    <r>
      <rPr>
        <rFont val="Arial"/>
        <b/>
        <color theme="1"/>
      </rPr>
      <t xml:space="preserve"> delay 500-1000 ms,</t>
    </r>
    <r>
      <rPr>
        <rFont val="Arial"/>
        <color theme="1"/>
      </rPr>
      <t xml:space="preserve"> </t>
    </r>
    <r>
      <rPr>
        <rFont val="Arial"/>
        <b/>
        <color theme="1"/>
      </rPr>
      <t>turn off arms 2,3 6,7</t>
    </r>
  </si>
  <si>
    <t>also active but doesn't understand</t>
  </si>
  <si>
    <r>
      <rPr>
        <rFont val="Arial"/>
        <color theme="1"/>
      </rPr>
      <t xml:space="preserve">forage, </t>
    </r>
    <r>
      <rPr>
        <rFont val="Arial"/>
        <b/>
        <color theme="1"/>
      </rPr>
      <t>4 arms rewarded</t>
    </r>
    <r>
      <rPr>
        <rFont val="Arial"/>
        <color theme="1"/>
      </rPr>
      <t>. 20 s lockout,</t>
    </r>
    <r>
      <rPr>
        <rFont val="Arial"/>
        <b/>
        <color theme="1"/>
      </rPr>
      <t xml:space="preserve"> delay 500-1000 ms,</t>
    </r>
    <r>
      <rPr>
        <rFont val="Arial"/>
        <color theme="1"/>
      </rPr>
      <t xml:space="preserve"> </t>
    </r>
    <r>
      <rPr>
        <rFont val="Arial"/>
        <b/>
        <color theme="1"/>
      </rPr>
      <t>turn off arms 2,3 6,7</t>
    </r>
  </si>
  <si>
    <t>forgot to increase his delay parameters</t>
  </si>
  <si>
    <r>
      <rPr>
        <rFont val="Arial"/>
        <color theme="1"/>
      </rPr>
      <t xml:space="preserve">forage, 8 arms rewarded. </t>
    </r>
    <r>
      <rPr>
        <rFont val="Arial"/>
        <b/>
        <color theme="1"/>
      </rPr>
      <t>20 s lockout</t>
    </r>
    <r>
      <rPr>
        <rFont val="Arial"/>
        <color theme="1"/>
      </rPr>
      <t xml:space="preserve">, </t>
    </r>
    <r>
      <rPr>
        <rFont val="Arial"/>
        <b/>
        <color theme="1"/>
      </rPr>
      <t>delay 1000-1500 ms</t>
    </r>
  </si>
  <si>
    <t>crushed it! (likes arm 6)</t>
  </si>
  <si>
    <r>
      <rPr>
        <rFont val="Arial"/>
        <color theme="1"/>
      </rPr>
      <t xml:space="preserve">forage, </t>
    </r>
    <r>
      <rPr>
        <rFont val="Arial"/>
        <b/>
        <color theme="1"/>
      </rPr>
      <t>4 arms rewarded</t>
    </r>
    <r>
      <rPr>
        <rFont val="Arial"/>
        <color theme="1"/>
      </rPr>
      <t>. 20 s lockout,</t>
    </r>
    <r>
      <rPr>
        <rFont val="Arial"/>
        <b/>
        <color theme="1"/>
      </rPr>
      <t xml:space="preserve"> delay 500-1000 ms,</t>
    </r>
    <r>
      <rPr>
        <rFont val="Arial"/>
        <color theme="1"/>
      </rPr>
      <t xml:space="preserve"> </t>
    </r>
    <r>
      <rPr>
        <rFont val="Arial"/>
        <b/>
        <color theme="1"/>
      </rPr>
      <t>turn off arms 2,3 6,7</t>
    </r>
  </si>
  <si>
    <r>
      <rPr>
        <rFont val="Arial"/>
        <color theme="1"/>
      </rPr>
      <t xml:space="preserve">forage, </t>
    </r>
    <r>
      <rPr>
        <rFont val="Arial"/>
        <b/>
        <color theme="1"/>
      </rPr>
      <t>4 arms rewarded</t>
    </r>
    <r>
      <rPr>
        <rFont val="Arial"/>
        <color theme="1"/>
      </rPr>
      <t>. 20 s lockout,</t>
    </r>
    <r>
      <rPr>
        <rFont val="Arial"/>
        <b/>
        <color theme="1"/>
      </rPr>
      <t xml:space="preserve"> delay 500-1000 ms,</t>
    </r>
    <r>
      <rPr>
        <rFont val="Arial"/>
        <color theme="1"/>
      </rPr>
      <t xml:space="preserve"> </t>
    </r>
    <r>
      <rPr>
        <rFont val="Arial"/>
        <b/>
        <color theme="1"/>
      </rPr>
      <t>turn off arms 2,3 6,7</t>
    </r>
  </si>
  <si>
    <r>
      <rPr>
        <rFont val="Arial"/>
        <color theme="1"/>
      </rPr>
      <t xml:space="preserve">forage, </t>
    </r>
    <r>
      <rPr>
        <rFont val="Arial"/>
        <b/>
        <color theme="1"/>
      </rPr>
      <t>4 arms rewarded</t>
    </r>
    <r>
      <rPr>
        <rFont val="Arial"/>
        <color theme="1"/>
      </rPr>
      <t>. 20 s lockout,</t>
    </r>
    <r>
      <rPr>
        <rFont val="Arial"/>
        <b/>
        <color theme="1"/>
      </rPr>
      <t xml:space="preserve"> delay 1000-2000 ms,</t>
    </r>
    <r>
      <rPr>
        <rFont val="Arial"/>
        <color theme="1"/>
      </rPr>
      <t xml:space="preserve"> </t>
    </r>
    <r>
      <rPr>
        <rFont val="Arial"/>
        <b/>
        <color theme="1"/>
      </rPr>
      <t>turn off arms 2,3 6,7</t>
    </r>
  </si>
  <si>
    <t>this guy got it a little more! struggled a little with the added delay</t>
  </si>
  <si>
    <r>
      <rPr>
        <rFont val="Arial"/>
        <color theme="1"/>
      </rPr>
      <t xml:space="preserve">forage, </t>
    </r>
    <r>
      <rPr>
        <rFont val="Arial"/>
        <b/>
        <color theme="1"/>
      </rPr>
      <t>6 arms rewarded</t>
    </r>
    <r>
      <rPr>
        <rFont val="Arial"/>
        <color theme="1"/>
      </rPr>
      <t xml:space="preserve">. </t>
    </r>
    <r>
      <rPr>
        <rFont val="Arial"/>
        <b/>
        <color theme="1"/>
      </rPr>
      <t>20 s lockout</t>
    </r>
    <r>
      <rPr>
        <rFont val="Arial"/>
        <color theme="1"/>
      </rPr>
      <t xml:space="preserve">, </t>
    </r>
    <r>
      <rPr>
        <rFont val="Arial"/>
        <b/>
        <color theme="1"/>
      </rPr>
      <t>delay 1000-2000 ms, turn off arms 3 and 6</t>
    </r>
  </si>
  <si>
    <t>unphased by the delay increase, doesn't like not having arm 6 but not horrible</t>
  </si>
  <si>
    <t>forage, 4 arms rewarded. 20 s lockout, delay 500-1000 ms, turn off arms 2,3 6,7</t>
  </si>
  <si>
    <t>has learned to visit lots of arms right in the beginning to get all the priming milk</t>
  </si>
  <si>
    <t>Also learned the "visit all arms first" trick</t>
  </si>
  <si>
    <r>
      <rPr>
        <rFont val="Arial"/>
        <color theme="1"/>
      </rPr>
      <t>forage, 4 arms rewarded. 20 s lockout,</t>
    </r>
    <r>
      <rPr>
        <rFont val="Arial"/>
        <b/>
        <color theme="1"/>
      </rPr>
      <t xml:space="preserve"> delay 500-1000 ms,</t>
    </r>
    <r>
      <rPr>
        <rFont val="Arial"/>
        <color theme="1"/>
      </rPr>
      <t xml:space="preserve"> turn off arms 2,3 6,7</t>
    </r>
  </si>
  <si>
    <t>was accidentally on delay 500-1000 ms</t>
  </si>
  <si>
    <r>
      <rPr>
        <rFont val="Arial"/>
        <color theme="1"/>
      </rPr>
      <t xml:space="preserve">forage, </t>
    </r>
    <r>
      <rPr>
        <rFont val="Arial"/>
        <b/>
        <color theme="1"/>
      </rPr>
      <t>4 arms rewarded</t>
    </r>
    <r>
      <rPr>
        <rFont val="Arial"/>
        <color theme="1"/>
      </rPr>
      <t xml:space="preserve">. </t>
    </r>
    <r>
      <rPr>
        <rFont val="Arial"/>
        <b/>
        <color theme="1"/>
      </rPr>
      <t>20 s lockout</t>
    </r>
    <r>
      <rPr>
        <rFont val="Arial"/>
        <color theme="1"/>
      </rPr>
      <t xml:space="preserve">, </t>
    </r>
    <r>
      <rPr>
        <rFont val="Arial"/>
        <b/>
        <color theme="1"/>
      </rPr>
      <t>delay 1000-2500 ms, turn off arms 2, 3, 6, 7</t>
    </r>
  </si>
  <si>
    <t>still a bunch of lock3s but did so many trials!</t>
  </si>
  <si>
    <r>
      <rPr>
        <rFont val="Arial"/>
        <color theme="1"/>
      </rPr>
      <t xml:space="preserve">forage, 4 arms rewarded. 20 s lockout, delay 1000-2000 ms, </t>
    </r>
    <r>
      <rPr>
        <rFont val="Arial"/>
        <b/>
        <color theme="1"/>
      </rPr>
      <t>all arms valid, outerreps 10</t>
    </r>
  </si>
  <si>
    <t>squirmed as I was putting him down, and didn't end up being pointed towards the home well at first</t>
  </si>
  <si>
    <r>
      <rPr>
        <rFont val="Arial"/>
        <color theme="1"/>
      </rPr>
      <t xml:space="preserve">forage, </t>
    </r>
    <r>
      <rPr>
        <rFont val="Arial"/>
        <color theme="1"/>
      </rPr>
      <t>4 arms rewarded</t>
    </r>
    <r>
      <rPr>
        <rFont val="Arial"/>
        <color theme="1"/>
      </rPr>
      <t xml:space="preserve">. </t>
    </r>
    <r>
      <rPr>
        <rFont val="Arial"/>
        <color theme="1"/>
      </rPr>
      <t>20 s lockout</t>
    </r>
    <r>
      <rPr>
        <rFont val="Arial"/>
        <color theme="1"/>
      </rPr>
      <t xml:space="preserve">, </t>
    </r>
    <r>
      <rPr>
        <rFont val="Arial"/>
        <color theme="1"/>
      </rPr>
      <t>delay 1000-2500 ms, turn off arms 2, 3, 6, 7</t>
    </r>
  </si>
  <si>
    <r>
      <rPr>
        <rFont val="Arial"/>
        <color theme="1"/>
      </rPr>
      <t xml:space="preserve">forage, 4 arms rewarded. 20 s lockout, delay 500-1000 ms, </t>
    </r>
    <r>
      <rPr>
        <rFont val="Arial"/>
        <b/>
        <color theme="1"/>
      </rPr>
      <t>all arms valid, 15 outerreps</t>
    </r>
  </si>
  <si>
    <r>
      <rPr>
        <rFont val="Arial"/>
        <color theme="1"/>
      </rPr>
      <t xml:space="preserve">forage, 4 arms rewarded. 20 s lockout, delay 500-1000 ms, </t>
    </r>
    <r>
      <rPr>
        <rFont val="Arial"/>
        <b/>
        <color theme="1"/>
      </rPr>
      <t>all arms valid, 15 outerreps</t>
    </r>
  </si>
  <si>
    <r>
      <rPr>
        <rFont val="Arial"/>
        <color theme="1"/>
      </rPr>
      <t xml:space="preserve">forage, 4 arms rewarded. 20 s lockout, delay </t>
    </r>
    <r>
      <rPr>
        <rFont val="Arial"/>
        <b/>
        <color theme="1"/>
      </rPr>
      <t>1000-2500 ms</t>
    </r>
    <r>
      <rPr>
        <rFont val="Arial"/>
        <color theme="1"/>
      </rPr>
      <t xml:space="preserve">, </t>
    </r>
    <r>
      <rPr>
        <rFont val="Arial"/>
        <b/>
        <color theme="1"/>
      </rPr>
      <t>all arms valid, outerreps 15</t>
    </r>
  </si>
  <si>
    <r>
      <rPr>
        <rFont val="Arial"/>
        <color theme="1"/>
      </rPr>
      <t xml:space="preserve">forage, 4 arms rewarded. 20 s lockout, delay </t>
    </r>
    <r>
      <rPr>
        <rFont val="Arial"/>
        <b/>
        <color theme="1"/>
      </rPr>
      <t>1500-3000 ms</t>
    </r>
    <r>
      <rPr>
        <rFont val="Arial"/>
        <color theme="1"/>
      </rPr>
      <t xml:space="preserve">, </t>
    </r>
    <r>
      <rPr>
        <rFont val="Arial"/>
        <b/>
        <color theme="1"/>
      </rPr>
      <t>all arms valid, outerreps 15</t>
    </r>
  </si>
  <si>
    <r>
      <rPr>
        <rFont val="Arial"/>
        <color theme="1"/>
      </rPr>
      <t xml:space="preserve">forage, 4 arms rewarded. 20 s lockout, delay 500-1000 ms, </t>
    </r>
    <r>
      <rPr>
        <rFont val="Arial"/>
        <color theme="1"/>
      </rPr>
      <t>all arms valid, 15 outerreps</t>
    </r>
  </si>
  <si>
    <r>
      <rPr>
        <rFont val="Arial"/>
        <color theme="1"/>
      </rPr>
      <t xml:space="preserve">forage, 4 arms rewarded. 20 s lockout, delay 500-1000 ms, </t>
    </r>
    <r>
      <rPr>
        <rFont val="Arial"/>
        <color theme="1"/>
      </rPr>
      <t>all arms valid, 15 outerreps</t>
    </r>
  </si>
  <si>
    <r>
      <rPr>
        <rFont val="Arial"/>
        <color theme="1"/>
      </rPr>
      <t xml:space="preserve">forage, 4 arms rewarded. 20 s lockout, delay </t>
    </r>
    <r>
      <rPr>
        <rFont val="Arial"/>
        <color theme="1"/>
      </rPr>
      <t>1000-2500 ms</t>
    </r>
    <r>
      <rPr>
        <rFont val="Arial"/>
        <color theme="1"/>
      </rPr>
      <t xml:space="preserve">, </t>
    </r>
    <r>
      <rPr>
        <rFont val="Arial"/>
        <color theme="1"/>
      </rPr>
      <t>all arms valid, outerreps 15</t>
    </r>
  </si>
  <si>
    <t>first time he's noticed the delay</t>
  </si>
  <si>
    <r>
      <rPr>
        <rFont val="Arial"/>
        <color theme="1"/>
      </rPr>
      <t xml:space="preserve">forage, 4 arms rewarded. 20 s lockout, delay </t>
    </r>
    <r>
      <rPr>
        <rFont val="Arial"/>
        <color theme="1"/>
      </rPr>
      <t>1500-3000 ms</t>
    </r>
    <r>
      <rPr>
        <rFont val="Arial"/>
        <color theme="1"/>
      </rPr>
      <t xml:space="preserve">, </t>
    </r>
    <r>
      <rPr>
        <rFont val="Arial"/>
        <color theme="1"/>
      </rPr>
      <t>all arms valid, outerreps 15</t>
    </r>
  </si>
  <si>
    <r>
      <rPr>
        <rFont val="Arial"/>
        <color theme="1"/>
      </rPr>
      <t>forage,</t>
    </r>
    <r>
      <rPr>
        <rFont val="Arial"/>
        <b/>
        <color theme="1"/>
      </rPr>
      <t xml:space="preserve"> 2 arms rewarded.</t>
    </r>
    <r>
      <rPr>
        <rFont val="Arial"/>
        <color theme="1"/>
      </rPr>
      <t xml:space="preserve"> 20 s lockout, d</t>
    </r>
    <r>
      <rPr>
        <rFont val="Arial"/>
        <b/>
        <color theme="1"/>
      </rPr>
      <t>elay accidentally 1000-3000 ms</t>
    </r>
    <r>
      <rPr>
        <rFont val="Arial"/>
        <color theme="1"/>
      </rPr>
      <t>, all arms valid, 15 outerreps</t>
    </r>
  </si>
  <si>
    <t>first goals 6,8 - went to each first 2 trials. explores many different arms but does not repeat. has harder time waiting at R (posture) - delay was actually set to 1000-3000, no wonder he did so badly</t>
  </si>
  <si>
    <t>noticed today that many video files have extraneous numbers in the name due to cam mod crashes (ie _1.2.h264</t>
  </si>
  <si>
    <r>
      <rPr>
        <rFont val="Arial"/>
        <color theme="1"/>
      </rPr>
      <t xml:space="preserve">forage, 4 arms rewarded. 20 s lockout, delay 500-1000 ms, </t>
    </r>
    <r>
      <rPr>
        <rFont val="Arial"/>
        <color theme="1"/>
      </rPr>
      <t>all arms valid, 15 outerreps</t>
    </r>
  </si>
  <si>
    <r>
      <rPr>
        <rFont val="Arial"/>
        <color theme="1"/>
      </rPr>
      <t xml:space="preserve">forage, </t>
    </r>
    <r>
      <rPr>
        <rFont val="Arial"/>
        <b/>
        <color theme="1"/>
      </rPr>
      <t>2 arms rewarded</t>
    </r>
    <r>
      <rPr>
        <rFont val="Arial"/>
        <color theme="1"/>
      </rPr>
      <t>. 20 s lockout, delay 1000-2500 ms, all arms valid, outerreps 15</t>
    </r>
  </si>
  <si>
    <t>definitely hasn't really figured out the need to repeat at rewarded arms</t>
  </si>
  <si>
    <r>
      <rPr>
        <rFont val="Arial"/>
        <color theme="1"/>
      </rPr>
      <t xml:space="preserve">forage, </t>
    </r>
    <r>
      <rPr>
        <rFont val="Arial"/>
        <b/>
        <color theme="1"/>
      </rPr>
      <t>2 arms rewarded</t>
    </r>
    <r>
      <rPr>
        <rFont val="Arial"/>
        <color theme="1"/>
      </rPr>
      <t>. 20 s lockout, delay 1500-3000 ms, all arms valid, outerreps 15</t>
    </r>
  </si>
  <si>
    <r>
      <rPr>
        <rFont val="Arial"/>
        <color theme="1"/>
      </rPr>
      <t>forage,</t>
    </r>
    <r>
      <rPr>
        <rFont val="Arial"/>
        <b/>
        <color theme="1"/>
      </rPr>
      <t xml:space="preserve"> 2 arms rewarded.</t>
    </r>
    <r>
      <rPr>
        <rFont val="Arial"/>
        <color theme="1"/>
      </rPr>
      <t xml:space="preserve"> 20 s lockout, delay 500-1000 ms, all arms valid, 15 outerreps</t>
    </r>
  </si>
  <si>
    <t>try this again with the intended params</t>
  </si>
  <si>
    <r>
      <rPr>
        <rFont val="Arial"/>
        <color theme="1"/>
      </rPr>
      <t xml:space="preserve">forage, 4 arms rewarded. 20 s lockout, delay 500-1000 ms, </t>
    </r>
    <r>
      <rPr>
        <rFont val="Arial"/>
        <color theme="1"/>
      </rPr>
      <t>all arms valid, 15 outerreps</t>
    </r>
  </si>
  <si>
    <r>
      <rPr>
        <rFont val="Arial"/>
        <color theme="1"/>
      </rPr>
      <t xml:space="preserve">forage, </t>
    </r>
    <r>
      <rPr>
        <rFont val="Arial"/>
        <b/>
        <color theme="1"/>
      </rPr>
      <t>2 arms rewarded</t>
    </r>
    <r>
      <rPr>
        <rFont val="Arial"/>
        <color theme="1"/>
      </rPr>
      <t>. 20 s lockout, delay 1000-2500 ms, all arms valid, outerreps 15</t>
    </r>
  </si>
  <si>
    <r>
      <rPr>
        <rFont val="Arial"/>
        <color theme="1"/>
      </rPr>
      <t xml:space="preserve">forage, </t>
    </r>
    <r>
      <rPr>
        <rFont val="Arial"/>
        <b/>
        <color theme="1"/>
      </rPr>
      <t>2 arms rewarded</t>
    </r>
    <r>
      <rPr>
        <rFont val="Arial"/>
        <color theme="1"/>
      </rPr>
      <t>. 20 s lockout, delay 1500-3000 ms, all arms valid, outerreps 15</t>
    </r>
  </si>
  <si>
    <r>
      <rPr>
        <rFont val="Arial"/>
        <color theme="1"/>
      </rPr>
      <t>forage,</t>
    </r>
    <r>
      <rPr>
        <rFont val="Arial"/>
        <b/>
        <color theme="1"/>
      </rPr>
      <t xml:space="preserve"> 2 arms rewarded.</t>
    </r>
    <r>
      <rPr>
        <rFont val="Arial"/>
        <color theme="1"/>
      </rPr>
      <t xml:space="preserve"> 20 s lockout, delay 500-1000 ms, all arms valid, 15 outerreps</t>
    </r>
  </si>
  <si>
    <r>
      <rPr>
        <rFont val="Arial"/>
        <color theme="1"/>
      </rPr>
      <t>forage,</t>
    </r>
    <r>
      <rPr>
        <rFont val="Arial"/>
        <b/>
        <color theme="1"/>
      </rPr>
      <t xml:space="preserve"> 2 arms rewarded.</t>
    </r>
    <r>
      <rPr>
        <rFont val="Arial"/>
        <color theme="1"/>
      </rPr>
      <t xml:space="preserve"> 20 s lockout, delay 500-1000 ms, all arms valid, 15 outerreps</t>
    </r>
  </si>
  <si>
    <t>first goal: 5/7. Lots of wrong arm errors.</t>
  </si>
  <si>
    <r>
      <rPr>
        <rFont val="Arial"/>
        <color theme="1"/>
      </rPr>
      <t>forage,</t>
    </r>
    <r>
      <rPr>
        <rFont val="Arial"/>
        <b/>
        <color theme="1"/>
      </rPr>
      <t xml:space="preserve"> 2 arms rewarded</t>
    </r>
    <r>
      <rPr>
        <rFont val="Arial"/>
        <color theme="1"/>
      </rPr>
      <t>. 20 s lockout, delay 500-1000 ms, all arms valid, 15 outerreps</t>
    </r>
  </si>
  <si>
    <t>showed strong pref for goal&gt;other yesterday, so can progress to just 2 arms rewarded. first goals 10/11</t>
  </si>
  <si>
    <r>
      <rPr>
        <rFont val="Arial"/>
        <color theme="1"/>
      </rPr>
      <t xml:space="preserve">forage, </t>
    </r>
    <r>
      <rPr>
        <rFont val="Arial"/>
        <b/>
        <color theme="1"/>
      </rPr>
      <t>2 arms rewarded</t>
    </r>
    <r>
      <rPr>
        <rFont val="Arial"/>
        <color theme="1"/>
      </rPr>
      <t>. 20 s lockout, delay 1000-2500 ms, all arms valid, outerreps 15</t>
    </r>
  </si>
  <si>
    <r>
      <rPr>
        <rFont val="Arial"/>
        <color theme="1"/>
      </rPr>
      <t xml:space="preserve">forage, </t>
    </r>
    <r>
      <rPr>
        <rFont val="Arial"/>
        <b/>
        <color theme="1"/>
      </rPr>
      <t>2 arms rewarded</t>
    </r>
    <r>
      <rPr>
        <rFont val="Arial"/>
        <color theme="1"/>
      </rPr>
      <t>. 20 s lockout, delay 1500-3000 ms, all arms valid, outerreps 15</t>
    </r>
  </si>
  <si>
    <t>first rewards 5/6</t>
  </si>
  <si>
    <r>
      <rPr>
        <rFont val="Arial"/>
        <color theme="1"/>
      </rPr>
      <t>forage,</t>
    </r>
    <r>
      <rPr>
        <rFont val="Arial"/>
        <color theme="1"/>
      </rPr>
      <t xml:space="preserve"> 2 arms rewarded.</t>
    </r>
    <r>
      <rPr>
        <rFont val="Arial"/>
        <color theme="1"/>
      </rPr>
      <t xml:space="preserve"> 20 s lockout, delay 500-1000 ms, all arms valid, 15 outerreps</t>
    </r>
  </si>
  <si>
    <t>First goals 5/11</t>
  </si>
  <si>
    <r>
      <rPr>
        <rFont val="Arial"/>
        <color theme="1"/>
      </rPr>
      <t>forage,</t>
    </r>
    <r>
      <rPr>
        <rFont val="Arial"/>
        <color theme="1"/>
      </rPr>
      <t xml:space="preserve"> 2 arms rewarded</t>
    </r>
    <r>
      <rPr>
        <rFont val="Arial"/>
        <color theme="1"/>
      </rPr>
      <t>. 20 s lockout, delay 500-1000 ms, all arms valid, 15 outerreps</t>
    </r>
  </si>
  <si>
    <t>First goals 4/6</t>
  </si>
  <si>
    <r>
      <rPr>
        <rFont val="Arial"/>
        <color theme="1"/>
      </rPr>
      <t xml:space="preserve">forage, </t>
    </r>
    <r>
      <rPr>
        <rFont val="Arial"/>
        <color theme="1"/>
      </rPr>
      <t>2 arms rewarded</t>
    </r>
    <r>
      <rPr>
        <rFont val="Arial"/>
        <color theme="1"/>
      </rPr>
      <t>. 20 s lockout, delay 1000-2500 ms, all arms valid, outerreps 15</t>
    </r>
  </si>
  <si>
    <t>Goal 8/11</t>
  </si>
  <si>
    <r>
      <rPr>
        <rFont val="Arial"/>
        <color theme="1"/>
      </rPr>
      <t xml:space="preserve">forage, </t>
    </r>
    <r>
      <rPr>
        <rFont val="Arial"/>
        <color theme="1"/>
      </rPr>
      <t>2 arms rewarded</t>
    </r>
    <r>
      <rPr>
        <rFont val="Arial"/>
        <color theme="1"/>
      </rPr>
      <t>. 20 s lockout, delay 1500-3000 ms, all arms valid, outerreps 15</t>
    </r>
  </si>
  <si>
    <r>
      <rPr>
        <rFont val="Arial"/>
        <color theme="1"/>
      </rPr>
      <t>forage,</t>
    </r>
    <r>
      <rPr>
        <rFont val="Arial"/>
        <color theme="1"/>
      </rPr>
      <t xml:space="preserve"> 2 arms rewarded.</t>
    </r>
    <r>
      <rPr>
        <rFont val="Arial"/>
        <color theme="1"/>
      </rPr>
      <t xml:space="preserve"> 20 s lockout, delay 500-1000 ms, all arms valid, 15 outerreps</t>
    </r>
  </si>
  <si>
    <t>first goals 4,8</t>
  </si>
  <si>
    <r>
      <rPr>
        <rFont val="Arial"/>
        <color theme="1"/>
      </rPr>
      <t>forage,</t>
    </r>
    <r>
      <rPr>
        <rFont val="Arial"/>
        <color theme="1"/>
      </rPr>
      <t xml:space="preserve"> 2 arms rewarded</t>
    </r>
    <r>
      <rPr>
        <rFont val="Arial"/>
        <color theme="1"/>
      </rPr>
      <t>. 20 s lockout, delay 500-1000 ms, all arms valid, 15 outerreps</t>
    </r>
  </si>
  <si>
    <t>first goals 8,10 - I messed up and re-sent the pump priming script instead of the actual script, so he got a bunch of rewards really quick before I could correct my mistake, but things seem to be ok now</t>
  </si>
  <si>
    <r>
      <rPr>
        <rFont val="Arial"/>
        <color theme="1"/>
      </rPr>
      <t xml:space="preserve">forage, </t>
    </r>
    <r>
      <rPr>
        <rFont val="Arial"/>
        <color theme="1"/>
      </rPr>
      <t>2 arms rewarded</t>
    </r>
    <r>
      <rPr>
        <rFont val="Arial"/>
        <color theme="1"/>
      </rPr>
      <t>. 20 s lockout, delay 1000-2500 ms, all arms valid, outerreps 15</t>
    </r>
  </si>
  <si>
    <t>first goals: 5,6</t>
  </si>
  <si>
    <r>
      <rPr>
        <rFont val="Arial"/>
        <color theme="1"/>
      </rPr>
      <t xml:space="preserve">forage, </t>
    </r>
    <r>
      <rPr>
        <rFont val="Arial"/>
        <color theme="1"/>
      </rPr>
      <t>2 arms rewarded</t>
    </r>
    <r>
      <rPr>
        <rFont val="Arial"/>
        <color theme="1"/>
      </rPr>
      <t>. 20 s lockout, delay 1500-3000 ms, all arms valid, outerreps 15</t>
    </r>
  </si>
  <si>
    <t>first goals: 11,6</t>
  </si>
  <si>
    <r>
      <rPr>
        <rFont val="Arial"/>
        <b/>
        <color theme="1"/>
      </rPr>
      <t>goal, forageassist3</t>
    </r>
    <r>
      <rPr>
        <rFont val="Arial"/>
        <color theme="1"/>
      </rPr>
      <t>. 20 s lockout, delay 500-1000 ms, 15 outerreps</t>
    </r>
  </si>
  <si>
    <t>first goals 5,7,10 - found 7 first but didnt return quickly</t>
  </si>
  <si>
    <r>
      <rPr>
        <rFont val="Arial"/>
        <b/>
        <color theme="1"/>
      </rPr>
      <t>goal, forageassist3</t>
    </r>
    <r>
      <rPr>
        <rFont val="Arial"/>
        <color theme="1"/>
      </rPr>
      <t>. 20 s lockout, delay 500-1000 ms, 15 outerreps</t>
    </r>
  </si>
  <si>
    <t>first goals4,7,11</t>
  </si>
  <si>
    <r>
      <rPr>
        <rFont val="Arial"/>
        <b/>
        <color theme="1"/>
      </rPr>
      <t>goal, forageassist3</t>
    </r>
    <r>
      <rPr>
        <rFont val="Arial"/>
        <color theme="1"/>
      </rPr>
      <t>. 20 s lockout, delay 1000-2500 ms, 15 outerreps</t>
    </r>
  </si>
  <si>
    <t>first goals 5,8,4, sorry I let this guy run for so long</t>
  </si>
  <si>
    <r>
      <rPr>
        <rFont val="Arial"/>
        <b/>
        <color theme="1"/>
      </rPr>
      <t>goal, forageassist3</t>
    </r>
    <r>
      <rPr>
        <rFont val="Arial"/>
        <color theme="1"/>
      </rPr>
      <t>. 20 s lockout, delay 1500-3000 ms, 15 outerreps</t>
    </r>
  </si>
  <si>
    <t>first goals 9, 4, 11</t>
  </si>
  <si>
    <r>
      <rPr>
        <rFont val="Arial"/>
        <color theme="1"/>
      </rPr>
      <t>goal, forageassist3</t>
    </r>
    <r>
      <rPr>
        <rFont val="Arial"/>
        <color theme="1"/>
      </rPr>
      <t>. 20 s lockout, delay 500-1000 ms, 15 outerreps</t>
    </r>
  </si>
  <si>
    <t>first goals 6 9 11. Forgot to record data :(</t>
  </si>
  <si>
    <r>
      <rPr>
        <rFont val="Arial"/>
        <color theme="1"/>
      </rPr>
      <t>goal, forageassist3</t>
    </r>
    <r>
      <rPr>
        <rFont val="Arial"/>
        <color theme="1"/>
      </rPr>
      <t>. 20 s lockout, delay 500-1000 ms, 15 outerreps</t>
    </r>
  </si>
  <si>
    <t xml:space="preserve">first goals 9 8 6 </t>
  </si>
  <si>
    <r>
      <rPr>
        <rFont val="Arial"/>
        <color theme="1"/>
      </rPr>
      <t>goal, forageassist3</t>
    </r>
    <r>
      <rPr>
        <rFont val="Arial"/>
        <color theme="1"/>
      </rPr>
      <t>. 20 s lockout, delay 1000-2500 ms, 15 outerreps</t>
    </r>
  </si>
  <si>
    <t>first goals 6 7 10</t>
  </si>
  <si>
    <r>
      <rPr>
        <rFont val="Arial"/>
        <color theme="1"/>
      </rPr>
      <t>goal, forageassist3</t>
    </r>
    <r>
      <rPr>
        <rFont val="Arial"/>
        <color theme="1"/>
      </rPr>
      <t>. 20 s lockout, delay 1500-3000 ms, 15 outerreps</t>
    </r>
  </si>
  <si>
    <t>first goal 7 8 10, 10 found first</t>
  </si>
  <si>
    <r>
      <rPr>
        <rFont val="Arial"/>
        <color theme="1"/>
      </rPr>
      <t>goal, forageassist3</t>
    </r>
    <r>
      <rPr>
        <rFont val="Arial"/>
        <color theme="1"/>
      </rPr>
      <t xml:space="preserve">. 20 s lockout, delay 500-1000 ms, 15 outerreps </t>
    </r>
    <r>
      <rPr>
        <rFont val="Arial"/>
        <color theme="1"/>
      </rPr>
      <t>excluding arm 6</t>
    </r>
  </si>
  <si>
    <t>first goals 4 5 8, goal was 5</t>
  </si>
  <si>
    <r>
      <rPr>
        <rFont val="Arial"/>
        <b/>
        <color theme="1"/>
      </rPr>
      <t>goal, forageassist3</t>
    </r>
    <r>
      <rPr>
        <rFont val="Arial"/>
        <color theme="1"/>
      </rPr>
      <t xml:space="preserve">. 20 s lockout, delay 500-1000 ms, 15 outerreps </t>
    </r>
    <r>
      <rPr>
        <rFont val="Arial"/>
        <b/>
        <color theme="1"/>
      </rPr>
      <t>excluding arm 6</t>
    </r>
  </si>
  <si>
    <t>first goals 4 10 11</t>
  </si>
  <si>
    <r>
      <rPr>
        <rFont val="Arial"/>
        <b/>
        <color theme="1"/>
      </rPr>
      <t>goal, forageassist3</t>
    </r>
    <r>
      <rPr>
        <rFont val="Arial"/>
        <color theme="1"/>
      </rPr>
      <t xml:space="preserve">. 20 s lockout, delay 1000-2500 ms, 15 outerreps, </t>
    </r>
    <r>
      <rPr>
        <rFont val="Arial"/>
        <b/>
        <color theme="1"/>
      </rPr>
      <t>excluding arm 6</t>
    </r>
  </si>
  <si>
    <t xml:space="preserve">first goals 4 5 8 </t>
  </si>
  <si>
    <r>
      <rPr>
        <rFont val="Arial"/>
        <b/>
        <color theme="1"/>
      </rPr>
      <t>goal, forageassist3</t>
    </r>
    <r>
      <rPr>
        <rFont val="Arial"/>
        <color theme="1"/>
      </rPr>
      <t xml:space="preserve">. 20 s lockout, delay 1500-3000 ms, 15 outerreps, </t>
    </r>
    <r>
      <rPr>
        <rFont val="Arial"/>
        <b/>
        <color theme="1"/>
      </rPr>
      <t>excluding arm 6</t>
    </r>
  </si>
  <si>
    <t>first goals 6 4 7. goal was 6</t>
  </si>
  <si>
    <r>
      <rPr>
        <rFont val="Arial"/>
        <b/>
        <color theme="1"/>
      </rPr>
      <t>goal, forageassist3</t>
    </r>
    <r>
      <rPr>
        <rFont val="Arial"/>
        <color theme="1"/>
      </rPr>
      <t xml:space="preserve">. 20 s lockout, delay 500-1000 ms, 15 outerreps </t>
    </r>
    <r>
      <rPr>
        <rFont val="Arial"/>
        <b/>
        <color theme="1"/>
      </rPr>
      <t>excluding arm 6</t>
    </r>
  </si>
  <si>
    <t>goals 4,11,6</t>
  </si>
  <si>
    <r>
      <rPr>
        <rFont val="Arial"/>
        <b/>
        <color theme="1"/>
      </rPr>
      <t>goal, forageassist3</t>
    </r>
    <r>
      <rPr>
        <rFont val="Arial"/>
        <color theme="1"/>
      </rPr>
      <t xml:space="preserve">. 20 s lockout, delay 500-1000 ms, 15 outerreps </t>
    </r>
    <r>
      <rPr>
        <rFont val="Arial"/>
        <b/>
        <color theme="1"/>
      </rPr>
      <t>excluding arm 6</t>
    </r>
  </si>
  <si>
    <t>goals 4 6 10</t>
  </si>
  <si>
    <r>
      <rPr>
        <rFont val="Arial"/>
        <b/>
        <color theme="1"/>
      </rPr>
      <t>goal, forageassist3</t>
    </r>
    <r>
      <rPr>
        <rFont val="Arial"/>
        <color theme="1"/>
      </rPr>
      <t xml:space="preserve">. 20 s lockout, delay 1000-2500 ms, 15 outerreps, </t>
    </r>
    <r>
      <rPr>
        <rFont val="Arial"/>
        <b/>
        <color theme="1"/>
      </rPr>
      <t>excluding arm 6</t>
    </r>
  </si>
  <si>
    <t>first goals 10 7 11</t>
  </si>
  <si>
    <r>
      <rPr>
        <rFont val="Arial"/>
        <b/>
        <color theme="1"/>
      </rPr>
      <t>goal, forageassist3</t>
    </r>
    <r>
      <rPr>
        <rFont val="Arial"/>
        <color theme="1"/>
      </rPr>
      <t xml:space="preserve">. 20 s lockout, delay 1500-3000 ms, 15 outerreps, </t>
    </r>
    <r>
      <rPr>
        <rFont val="Arial"/>
        <b/>
        <color theme="1"/>
      </rPr>
      <t>excluding arm 6</t>
    </r>
  </si>
  <si>
    <t>first goals 5, 4, 6</t>
  </si>
  <si>
    <r>
      <rPr>
        <rFont val="Arial"/>
        <b/>
        <color theme="1"/>
      </rPr>
      <t>goal, forageassist3</t>
    </r>
    <r>
      <rPr>
        <rFont val="Arial"/>
        <color theme="1"/>
      </rPr>
      <t>. 20 s lockout, delay 500-1000 ms, 15 outerreps, excluding arm 6</t>
    </r>
  </si>
  <si>
    <t>first goals 10, 5, 8</t>
  </si>
  <si>
    <r>
      <rPr>
        <rFont val="Arial"/>
        <b/>
        <color theme="1"/>
      </rPr>
      <t>goal, forageassist3</t>
    </r>
    <r>
      <rPr>
        <rFont val="Arial"/>
        <color theme="1"/>
      </rPr>
      <t>. 20 s lockout, delay 500-1000 ms, 15 outerreps, excluding arm 6</t>
    </r>
  </si>
  <si>
    <t>first goals 7, 8, 5</t>
  </si>
  <si>
    <r>
      <rPr>
        <rFont val="Arial"/>
        <b/>
        <color theme="1"/>
      </rPr>
      <t>goal, forageassist3</t>
    </r>
    <r>
      <rPr>
        <rFont val="Arial"/>
        <color theme="1"/>
      </rPr>
      <t>. 20 s lockout, delay 1000-2500 ms, 15 outerreps, excluding arm 6</t>
    </r>
  </si>
  <si>
    <t>first goals 5, 4, 8 found 4 first. next goal 10, kept going back to 4. at least maybe getting idea of repeating? promising</t>
  </si>
  <si>
    <r>
      <rPr>
        <rFont val="Arial"/>
        <b/>
        <color theme="1"/>
      </rPr>
      <t>goal, forageassist3</t>
    </r>
    <r>
      <rPr>
        <rFont val="Arial"/>
        <color theme="1"/>
      </rPr>
      <t>. 20 s lockout, delay 1500-3000 ms, 15 outerreps, excluding arm 6</t>
    </r>
  </si>
  <si>
    <t>first goals 10, 7, 8</t>
  </si>
  <si>
    <r>
      <rPr>
        <rFont val="Arial"/>
        <b/>
        <color theme="1"/>
      </rPr>
      <t>goal, forageassist3</t>
    </r>
    <r>
      <rPr>
        <rFont val="Arial"/>
        <color theme="1"/>
      </rPr>
      <t>. 20 s lockout, delay 1000-2500 ms, 15 outerreps, excluding arm 6 &amp; 7</t>
    </r>
  </si>
  <si>
    <t>first goals 6,8,11</t>
  </si>
  <si>
    <r>
      <rPr>
        <rFont val="Arial"/>
        <b/>
        <color theme="1"/>
      </rPr>
      <t>goal, forageassist3</t>
    </r>
    <r>
      <rPr>
        <rFont val="Arial"/>
        <color theme="1"/>
      </rPr>
      <t>. 20 s lockout, delay 1500-3000 ms, 15 outerreps, excluding arm 6 &amp; 7</t>
    </r>
  </si>
  <si>
    <t>first goals 8,5,4 found goal 4, next goal 11</t>
  </si>
  <si>
    <r>
      <rPr>
        <rFont val="Arial"/>
        <color theme="1"/>
      </rPr>
      <t>goal, forageassist3</t>
    </r>
    <r>
      <rPr>
        <rFont val="Arial"/>
        <color theme="1"/>
      </rPr>
      <t>. 20 s lockout, delay 500-1000 ms, 15 outerreps, excluding arm 6 &amp; 7</t>
    </r>
  </si>
  <si>
    <t>first 7,4,5</t>
  </si>
  <si>
    <r>
      <rPr>
        <rFont val="Arial"/>
        <color theme="1"/>
      </rPr>
      <t>goal, forageassist3</t>
    </r>
    <r>
      <rPr>
        <rFont val="Arial"/>
        <color theme="1"/>
      </rPr>
      <t>. 20 s lockout, delay 500-1000 ms, 15 outerreps, excluding arm 6 &amp; 7</t>
    </r>
  </si>
  <si>
    <t>first 5,6,11. first found 5 then next goal 8. still tons of others</t>
  </si>
  <si>
    <r>
      <rPr>
        <rFont val="Arial"/>
        <color theme="1"/>
      </rPr>
      <t>goal, forageassist3</t>
    </r>
    <r>
      <rPr>
        <rFont val="Arial"/>
        <color theme="1"/>
      </rPr>
      <t>. 20 s lockout, delay</t>
    </r>
    <r>
      <rPr>
        <rFont val="Arial"/>
        <color theme="1"/>
      </rPr>
      <t xml:space="preserve"> 1500-3000 ms, </t>
    </r>
    <r>
      <rPr>
        <rFont val="Arial"/>
        <color theme="1"/>
      </rPr>
      <t>15 outerreps, excluding arm 6 &amp; 7</t>
    </r>
  </si>
  <si>
    <t>first 4,6,7, found 6. next goal 7 . accidentally used higher delays but didn't notice</t>
  </si>
  <si>
    <t>Just realized that variable outreps was on (4-13)...def would have been making it harder for them to get second goal block</t>
  </si>
  <si>
    <r>
      <rPr>
        <rFont val="Arial"/>
        <color theme="1"/>
      </rPr>
      <t>goal, forageassist3</t>
    </r>
    <r>
      <rPr>
        <rFont val="Arial"/>
        <color theme="1"/>
      </rPr>
      <t>. 20 s lockout, delay 1500-3000 ms, 15 outerreps, excluding arm 6</t>
    </r>
  </si>
  <si>
    <t>(might not have really been a change)</t>
  </si>
  <si>
    <r>
      <rPr>
        <rFont val="Arial"/>
        <color theme="1"/>
      </rPr>
      <t>goal, forageassist3</t>
    </r>
    <r>
      <rPr>
        <rFont val="Arial"/>
        <color theme="1"/>
      </rPr>
      <t>. 20 s lockout, delay 500-1000 ms, 15 outerreps, excluding arm 6 &amp; 7</t>
    </r>
  </si>
  <si>
    <t>first 6,8,11. so good! it clicked for him finally (with stable outerreps helping. no forageassist next time and all arms active</t>
  </si>
  <si>
    <r>
      <rPr>
        <rFont val="Arial"/>
        <color theme="1"/>
      </rPr>
      <t>goal, forageassist3</t>
    </r>
    <r>
      <rPr>
        <rFont val="Arial"/>
        <color theme="1"/>
      </rPr>
      <t>. 20 s lockout, delay 500-1000 ms, 15 outerreps, excluding arm 6 &amp; 7</t>
    </r>
  </si>
  <si>
    <t xml:space="preserve">first 11, 4, 7. first goal 7, then 9m then 8. pretty  good! </t>
  </si>
  <si>
    <r>
      <rPr>
        <rFont val="Arial"/>
        <color theme="1"/>
      </rPr>
      <t>goal, forageassist3</t>
    </r>
    <r>
      <rPr>
        <rFont val="Arial"/>
        <color theme="1"/>
      </rPr>
      <t>. 20 s lockout, delay 1500-3000 ms, 15 outerreps, excluding arm 6 &amp; 7</t>
    </r>
  </si>
  <si>
    <t>first 4,5,11. first goal 4 then 5</t>
  </si>
  <si>
    <r>
      <rPr>
        <rFont val="Arial"/>
        <b/>
        <color theme="1"/>
      </rPr>
      <t>goal, forageassist2</t>
    </r>
    <r>
      <rPr>
        <rFont val="Arial"/>
        <color theme="1"/>
      </rPr>
      <t>. 20 s lockout, delay 1500-3000 ms, 15 outerreps</t>
    </r>
  </si>
  <si>
    <t>first 8,10 first goal is 10. so bad! just hanging at home and kinda given up by end, frustrated. possibly thrown off by going first?</t>
  </si>
  <si>
    <r>
      <rPr>
        <rFont val="Arial"/>
        <color theme="1"/>
      </rPr>
      <t xml:space="preserve">goal, </t>
    </r>
    <r>
      <rPr>
        <rFont val="Arial"/>
        <b/>
        <color theme="1"/>
      </rPr>
      <t>forageassist2</t>
    </r>
    <r>
      <rPr>
        <rFont val="Arial"/>
        <color theme="1"/>
      </rPr>
      <t xml:space="preserve">. 20 s lockout, delay 500-1000 ms, 15 outerreps, </t>
    </r>
  </si>
  <si>
    <t>first goal 5 then 10</t>
  </si>
  <si>
    <r>
      <rPr>
        <rFont val="Arial"/>
        <color theme="1"/>
      </rPr>
      <t xml:space="preserve">goal, </t>
    </r>
    <r>
      <rPr>
        <rFont val="Arial"/>
        <b/>
        <color theme="1"/>
      </rPr>
      <t>forageassist2</t>
    </r>
    <r>
      <rPr>
        <rFont val="Arial"/>
        <color theme="1"/>
      </rPr>
      <t xml:space="preserve">. 20 s lockout, delay 500-1000 ms, 15 outerreps, </t>
    </r>
  </si>
  <si>
    <t>first 6,10. soo good!. goals 6,4,8</t>
  </si>
  <si>
    <r>
      <rPr>
        <rFont val="Arial"/>
        <b/>
        <color theme="1"/>
      </rPr>
      <t>goal, forageassist2</t>
    </r>
    <r>
      <rPr>
        <rFont val="Arial"/>
        <color theme="1"/>
      </rPr>
      <t>. 20 s lockout, delay 1500-3000 ms, 15 outerreps</t>
    </r>
  </si>
  <si>
    <t>goals 5,7</t>
  </si>
  <si>
    <r>
      <rPr>
        <rFont val="Arial"/>
        <color theme="1"/>
      </rPr>
      <t xml:space="preserve">goal, </t>
    </r>
    <r>
      <rPr>
        <rFont val="Arial"/>
        <b/>
        <color theme="1"/>
      </rPr>
      <t>forageassistOFF</t>
    </r>
    <r>
      <rPr>
        <rFont val="Arial"/>
        <color theme="1"/>
      </rPr>
      <t xml:space="preserve">. 20 s lockout, delay 500-1000 ms, 15 outerreps, </t>
    </r>
  </si>
  <si>
    <t>first goal 9. so good!  goasl 9,7,4</t>
  </si>
  <si>
    <r>
      <rPr>
        <rFont val="Arial"/>
        <color theme="1"/>
      </rPr>
      <t xml:space="preserve">goal, </t>
    </r>
    <r>
      <rPr>
        <rFont val="Arial"/>
        <b/>
        <color theme="1"/>
      </rPr>
      <t>forageassistOFF</t>
    </r>
    <r>
      <rPr>
        <rFont val="Arial"/>
        <color theme="1"/>
      </rPr>
      <t xml:space="preserve">. 20 s lockout, delay 500-1000 ms, 15 outerreps, </t>
    </r>
  </si>
  <si>
    <t>first goal 7</t>
  </si>
  <si>
    <r>
      <rPr>
        <rFont val="Arial"/>
        <b/>
        <color theme="1"/>
      </rPr>
      <t>goal, forageassist2</t>
    </r>
    <r>
      <rPr>
        <rFont val="Arial"/>
        <color theme="1"/>
      </rPr>
      <t>. 20 s lockout, delay 1500-3000 ms, 15 outerreps</t>
    </r>
  </si>
  <si>
    <t>goal 4, 11</t>
  </si>
  <si>
    <r>
      <rPr>
        <rFont val="Arial"/>
        <b/>
        <color theme="1"/>
      </rPr>
      <t>goal, forageassist2</t>
    </r>
    <r>
      <rPr>
        <rFont val="Arial"/>
        <color theme="1"/>
      </rPr>
      <t>. 20 s lockout, delay 1500-3000 ms, 15 outerreps</t>
    </r>
  </si>
  <si>
    <r>
      <rPr>
        <rFont val="Arial"/>
        <color theme="1"/>
      </rPr>
      <t xml:space="preserve">goal, </t>
    </r>
    <r>
      <rPr>
        <rFont val="Arial"/>
        <b/>
        <color theme="1"/>
      </rPr>
      <t>forageassistOFF</t>
    </r>
    <r>
      <rPr>
        <rFont val="Arial"/>
        <color theme="1"/>
      </rPr>
      <t xml:space="preserve">. 20 s lockout, delay 500-1000 ms, 15 outerreps, </t>
    </r>
  </si>
  <si>
    <t>first goal 11 (forageNum = 1 is the same thing as forageassistOFF, yes?) - sorry, I completely forgot to record the session and I left the delay on gs5's settings. If there's time maybe we can give him an extra session at the end of the day?</t>
  </si>
  <si>
    <r>
      <rPr>
        <rFont val="Arial"/>
        <color theme="1"/>
      </rPr>
      <t xml:space="preserve">goal, </t>
    </r>
    <r>
      <rPr>
        <rFont val="Arial"/>
        <b/>
        <color theme="1"/>
      </rPr>
      <t>forageassistOFF</t>
    </r>
    <r>
      <rPr>
        <rFont val="Arial"/>
        <color theme="1"/>
      </rPr>
      <t xml:space="preserve">. 20 s lockout, delay 500-1000 ms, 15 outerreps, </t>
    </r>
  </si>
  <si>
    <t>first goal 4</t>
  </si>
  <si>
    <r>
      <rPr>
        <rFont val="Arial"/>
        <b/>
        <color theme="1"/>
      </rPr>
      <t>goal, forageassist2</t>
    </r>
    <r>
      <rPr>
        <rFont val="Arial"/>
        <color theme="1"/>
      </rPr>
      <t>. 20 s lockout, delay 1500-3000 ms, 15 outerreps</t>
    </r>
  </si>
  <si>
    <t>goals 6, 9</t>
  </si>
  <si>
    <r>
      <rPr>
        <rFont val="Arial"/>
        <color theme="1"/>
      </rPr>
      <t xml:space="preserve">goal, </t>
    </r>
    <r>
      <rPr>
        <rFont val="Arial"/>
        <b/>
        <color theme="1"/>
      </rPr>
      <t>forageassistOFF</t>
    </r>
    <r>
      <rPr>
        <rFont val="Arial"/>
        <color theme="1"/>
      </rPr>
      <t xml:space="preserve">. 20 s lockout, delay 500-1000 ms, 15 outerreps, </t>
    </r>
  </si>
  <si>
    <t>first goal 10. back to good after his first sad session</t>
  </si>
  <si>
    <r>
      <rPr>
        <rFont val="Arial"/>
        <color theme="1"/>
      </rPr>
      <t xml:space="preserve">goal, </t>
    </r>
    <r>
      <rPr>
        <rFont val="Arial"/>
        <b/>
        <color theme="1"/>
      </rPr>
      <t>forageassistOFF</t>
    </r>
    <r>
      <rPr>
        <rFont val="Arial"/>
        <color theme="1"/>
      </rPr>
      <t xml:space="preserve">. 20 s lockout, delay 500-1000 ms, 15 outerreps, </t>
    </r>
  </si>
  <si>
    <r>
      <rPr>
        <rFont val="Arial"/>
        <b/>
        <color theme="1"/>
      </rPr>
      <t>goal, forageassist2</t>
    </r>
    <r>
      <rPr>
        <rFont val="Arial"/>
        <color theme="1"/>
      </rPr>
      <t>. 20 s lockout, delay 1500-3000 ms, 15 outerreps</t>
    </r>
  </si>
  <si>
    <t>goals 7 10, fisrt goal is 7. should sit in with him tomorrow for a few mins and figure out if theres a particular reason he's strugglign so much! like does he specifically avoid or only visit a particular arm&gt;</t>
  </si>
  <si>
    <r>
      <rPr>
        <rFont val="Arial"/>
        <b/>
        <color theme="1"/>
      </rPr>
      <t>goal, forageassist2</t>
    </r>
    <r>
      <rPr>
        <rFont val="Arial"/>
        <color theme="1"/>
      </rPr>
      <t>. 20 s lockout, delay 1500-3000 ms, 15 outerreps</t>
    </r>
  </si>
  <si>
    <t>goals 8 11
9:30:he's still foraging, and so far seems to understand the home/center wells, but definitely seems to have a preference for arms 1-3
9:33: clapped as he entered arm 1 and he froze, but then continued down it. on the next trial he paused to think before deciding to go down arm 4  - he's failed to do the home/center wells sucessfully a couple times in a row now though, which means that even though he actually went down arem 8 (11) he wasn't rewarded
9:42: he's clearly remembered how to do the home/center wells, but he's back to only wanting to do arms 1-3 (I kinda feel like adding a wall between the center wells and the left wall could maybe be really helpful, just to push him to walk around the right side of the center wells and then hopefully explore the rest of the arms) - he's also poked both center wells (correct one first) and then waited for the home well to light up again that maybe we should increase the lockout even longer? (like, it looks like he's learned that he can poke the home well and get reward, then poke a center well and get reward, and then poke the other center well to reset things, cause while he's waiting for the home well to light up again he's just sitting there patiently - either way, all of his lock2s are from doing this)
9:49: tried clapping again as he was going into arm 2, and he paused and then just went into arm 3 instead. Besides arm 8 twice when it wasn't lit up, and arm 4 once, he's only gone down arms 1, 2, and 3 so far (I def won't try clapping again this session, but it's been hard to watch him struggle like this lol)
10:03: I nudged him almost all the way to one of the goals after he correctly poked the center arm, and he did get the reward, but now he seems kinda freaked out (just sitting on the reward well). After about 10 minutes he got up to do another trial and just went right back to arm 2
10:20-ish: I nudged him again, and this time he was more willing to go down the goal arm, but he was also pretty much just done with the session by that point, and didn't want to do anything but sit there after getting the reward
overall he looked pretty unmotivated (but otherwise ok). And he had 2 clear behavior patterns:
1. home poke, correct center poke, poke either arm 1, 2, or 3 (other)
2. home poke, correct center poke, incorrect center poke, wait patiently for home to be active again (lock2)
not sure what the best plan is, but we need to change something cause he showed no sign that he is going to be able to learn with his current parameters. Maybe we should increase the lockout delay? And I'll try nudging him some more this afternoon?</t>
  </si>
  <si>
    <t>2*</t>
  </si>
  <si>
    <t>I nudged him into both goals</t>
  </si>
  <si>
    <r>
      <rPr>
        <rFont val="Arial"/>
        <color theme="1"/>
      </rPr>
      <t xml:space="preserve">goal, </t>
    </r>
    <r>
      <rPr>
        <rFont val="Arial"/>
        <b/>
        <color theme="1"/>
      </rPr>
      <t>forageassistOFF</t>
    </r>
    <r>
      <rPr>
        <rFont val="Arial"/>
        <color theme="1"/>
      </rPr>
      <t xml:space="preserve">. 20 s lockout, delay 500-1000 ms, 15 outerreps, </t>
    </r>
  </si>
  <si>
    <r>
      <rPr>
        <rFont val="Arial"/>
        <color theme="1"/>
      </rPr>
      <t xml:space="preserve">goal, </t>
    </r>
    <r>
      <rPr>
        <rFont val="Arial"/>
        <b/>
        <color theme="1"/>
      </rPr>
      <t>forageassistOFF</t>
    </r>
    <r>
      <rPr>
        <rFont val="Arial"/>
        <color theme="1"/>
      </rPr>
      <t xml:space="preserve">. 20 s lockout, delay 500-1000 ms, 15 outerreps, </t>
    </r>
  </si>
  <si>
    <r>
      <rPr>
        <rFont val="Arial"/>
        <b/>
        <color theme="1"/>
      </rPr>
      <t>goal, forageassist2</t>
    </r>
    <r>
      <rPr>
        <rFont val="Arial"/>
        <color theme="1"/>
      </rPr>
      <t xml:space="preserve">. </t>
    </r>
    <r>
      <rPr>
        <rFont val="Arial"/>
        <b/>
        <color theme="1"/>
      </rPr>
      <t>25 s lockout</t>
    </r>
    <r>
      <rPr>
        <rFont val="Arial"/>
        <color theme="1"/>
      </rPr>
      <t xml:space="preserve">, delay 1500-3000 ms, 15 outerreps, </t>
    </r>
    <r>
      <rPr>
        <rFont val="Arial"/>
        <b/>
        <color theme="1"/>
      </rPr>
      <t>firstGoal=[8]</t>
    </r>
  </si>
  <si>
    <t>goal 8 (intentionally the same as the one I selected during the first epoch). I initially gave him a few minutes to forage, but then I started nudging him towards the goal arm (after he got the center well, but before he'd entered any of the arms). Nudging him is getting easier, but he just doesn't seem to have any motivation to do anything, so I'm going to end this session a little early. delay was accidentally on 500-1000, but given how little he did at all I doubt that was too impactful</t>
  </si>
  <si>
    <r>
      <rPr>
        <rFont val="Arial"/>
        <color theme="1"/>
      </rPr>
      <t xml:space="preserve">goal, </t>
    </r>
    <r>
      <rPr>
        <rFont val="Arial"/>
        <b/>
        <color theme="1"/>
      </rPr>
      <t>forageassistOFF</t>
    </r>
    <r>
      <rPr>
        <rFont val="Arial"/>
        <color theme="1"/>
      </rPr>
      <t>. 20 s lockout, delay 500-1000 ms, 15 outerreps, firstGoal=None</t>
    </r>
  </si>
  <si>
    <t>goal 5 - not sure why he had so many lock3s, I double checked the parameters and they all look good</t>
  </si>
  <si>
    <t>goal, forageassistOFF. 20 s lockout, delay 500-1000 ms, 15 outerreps, firstGoal=None</t>
  </si>
  <si>
    <r>
      <rPr>
        <rFont val="Arial"/>
        <b/>
        <color theme="1"/>
      </rPr>
      <t>goal, forageassist2</t>
    </r>
    <r>
      <rPr>
        <rFont val="Arial"/>
        <color theme="1"/>
      </rPr>
      <t xml:space="preserve">. </t>
    </r>
    <r>
      <rPr>
        <rFont val="Arial"/>
        <b/>
        <color theme="1"/>
      </rPr>
      <t>25 s lockout</t>
    </r>
    <r>
      <rPr>
        <rFont val="Arial"/>
        <color theme="1"/>
      </rPr>
      <t xml:space="preserve">, delay 1500-3000 ms, 15 outerreps, </t>
    </r>
    <r>
      <rPr>
        <rFont val="Arial"/>
        <b/>
        <color theme="1"/>
      </rPr>
      <t>firstGoal=[8]</t>
    </r>
  </si>
  <si>
    <t>goal 8 - I watched him initially explore arms 1, 8, 2, 6, and 3 (all after sucessful center well triggers), and then I nudged him towards 5 when he was trying to go back down 3 (2:54). He got the reward, but then ended up sitting on the reward well for a while again. Definitely still unmotivated to do much, he's mostly just been sitting around - my personal theory is that with 15 reps and multiple targets/forage assist he previously was able to do well by only going down arms 1, 2, 3, and 8, and that as a result he sorta learned the wrong rule, and is now confused (and also unmotivated) - ending the session a little early cause he's done literally nothing for 15 minutes (and very little the whole time after a little initial foraging)</t>
  </si>
  <si>
    <t>1*</t>
  </si>
  <si>
    <t>I nudged him the one time he got the goal</t>
  </si>
  <si>
    <r>
      <rPr>
        <rFont val="Arial"/>
        <b/>
        <color theme="1"/>
      </rPr>
      <t>goal, forageassistOFF</t>
    </r>
    <r>
      <rPr>
        <rFont val="Arial"/>
        <color theme="1"/>
      </rPr>
      <t xml:space="preserve">. </t>
    </r>
    <r>
      <rPr>
        <rFont val="Arial"/>
        <b/>
        <color theme="1"/>
      </rPr>
      <t>25 s lockout</t>
    </r>
    <r>
      <rPr>
        <rFont val="Arial"/>
        <color theme="1"/>
      </rPr>
      <t xml:space="preserve">, delay 1500-3000 ms, 15 outerreps, </t>
    </r>
    <r>
      <rPr>
        <rFont val="Arial"/>
        <b/>
        <color theme="1"/>
      </rPr>
      <t>firstGoal=[10]</t>
    </r>
  </si>
  <si>
    <t>Has a pretty good spread of searches, but def concentrates on arms 1 2 3 and 8. Seems to have a limp in one of his hind legs, which might explain lack of motivation yesterday. He also hadn't had a person sit with him training, which might also be a reason for his drop in performance. Has gotten crossover attempts a few times. heavily biased to arms 1,2,3,8. spooked by nudging but better motivated and excited about arm 10(ie 7) with milk drops. still avoids arms 8 and 9 (ie 5 and 6) so have those be goal next time</t>
  </si>
  <si>
    <r>
      <rPr>
        <rFont val="Arial"/>
        <color theme="1"/>
      </rPr>
      <t xml:space="preserve">goal, forageassistOFF. 25 s lockout, </t>
    </r>
    <r>
      <rPr>
        <rFont val="Arial"/>
        <b/>
        <color theme="1"/>
      </rPr>
      <t xml:space="preserve">delay 750-1500 ms, </t>
    </r>
    <r>
      <rPr>
        <rFont val="Arial"/>
        <color theme="1"/>
      </rPr>
      <t>15 outerreps, firstGoal=None</t>
    </r>
  </si>
  <si>
    <t>firt goal 6. definitely noticed the increased delay times</t>
  </si>
  <si>
    <r>
      <rPr>
        <rFont val="Arial"/>
        <color theme="1"/>
      </rPr>
      <t xml:space="preserve">goal, forageassistOFF. 25 s lockout, </t>
    </r>
    <r>
      <rPr>
        <rFont val="Arial"/>
        <b/>
        <color theme="1"/>
      </rPr>
      <t xml:space="preserve">delay 750-1500 ms, </t>
    </r>
    <r>
      <rPr>
        <rFont val="Arial"/>
        <color theme="1"/>
      </rPr>
      <t>15 outerreps, firstGoal=None</t>
    </r>
  </si>
  <si>
    <t xml:space="preserve">first goal 8. so good!! </t>
  </si>
  <si>
    <r>
      <rPr>
        <rFont val="Arial"/>
        <b/>
        <color theme="1"/>
      </rPr>
      <t>goal, forageassistOFF</t>
    </r>
    <r>
      <rPr>
        <rFont val="Arial"/>
        <color theme="1"/>
      </rPr>
      <t xml:space="preserve">. </t>
    </r>
    <r>
      <rPr>
        <rFont val="Arial"/>
        <b/>
        <color theme="1"/>
      </rPr>
      <t>25 s lockout</t>
    </r>
    <r>
      <rPr>
        <rFont val="Arial"/>
        <color theme="1"/>
      </rPr>
      <t xml:space="preserve">, delay 1500-3000 ms, 15 outerreps, </t>
    </r>
    <r>
      <rPr>
        <rFont val="Arial"/>
        <b/>
        <color theme="1"/>
      </rPr>
      <t>firstGoal=[9]</t>
    </r>
  </si>
  <si>
    <t>trying him with goal 9, milk drops as needed. Figured it out with some drops</t>
  </si>
  <si>
    <r>
      <rPr>
        <rFont val="Arial"/>
        <color theme="1"/>
      </rPr>
      <t xml:space="preserve">goal, forageassistOFF. 25 s lockout, </t>
    </r>
    <r>
      <rPr>
        <rFont val="Arial"/>
        <b/>
        <color theme="1"/>
      </rPr>
      <t xml:space="preserve">delay 750-1500 ms, </t>
    </r>
    <r>
      <rPr>
        <rFont val="Arial"/>
        <color theme="1"/>
      </rPr>
      <t>15 outerreps, firstGoal=None</t>
    </r>
  </si>
  <si>
    <t>first goal 9. Clearly had some issues with timing still</t>
  </si>
  <si>
    <r>
      <rPr>
        <rFont val="Arial"/>
        <color theme="1"/>
      </rPr>
      <t xml:space="preserve">goal, forageassistOFF. 25 s lockout, </t>
    </r>
    <r>
      <rPr>
        <rFont val="Arial"/>
        <b/>
        <color theme="1"/>
      </rPr>
      <t xml:space="preserve">delay 750-1500 ms, </t>
    </r>
    <r>
      <rPr>
        <rFont val="Arial"/>
        <color theme="1"/>
      </rPr>
      <t>15 outerreps, firstGoal=None</t>
    </r>
  </si>
  <si>
    <t xml:space="preserve">first goal 9. </t>
  </si>
  <si>
    <r>
      <rPr>
        <rFont val="Arial"/>
        <b/>
        <color theme="1"/>
      </rPr>
      <t>goal, forageassistOFF</t>
    </r>
    <r>
      <rPr>
        <rFont val="Arial"/>
        <color theme="1"/>
      </rPr>
      <t xml:space="preserve">. </t>
    </r>
    <r>
      <rPr>
        <rFont val="Arial"/>
        <b/>
        <color theme="1"/>
      </rPr>
      <t>25 s lockout</t>
    </r>
    <r>
      <rPr>
        <rFont val="Arial"/>
        <color theme="1"/>
      </rPr>
      <t xml:space="preserve">, delay 1500-3000 ms, 15 outerreps, </t>
    </r>
    <r>
      <rPr>
        <rFont val="Arial"/>
        <b/>
        <color theme="1"/>
      </rPr>
      <t>firstGoal=[8]</t>
    </r>
  </si>
  <si>
    <t>first goal 8, second goal 9. actually got s</t>
  </si>
  <si>
    <r>
      <rPr>
        <rFont val="Arial"/>
        <b/>
        <color theme="1"/>
      </rPr>
      <t>goal, forageassistOFF</t>
    </r>
    <r>
      <rPr>
        <rFont val="Arial"/>
        <color theme="1"/>
      </rPr>
      <t xml:space="preserve">. </t>
    </r>
    <r>
      <rPr>
        <rFont val="Arial"/>
        <b/>
        <color theme="1"/>
      </rPr>
      <t>25 s lockout</t>
    </r>
    <r>
      <rPr>
        <rFont val="Arial"/>
        <color theme="1"/>
      </rPr>
      <t xml:space="preserve">, delay 1500-3000 ms, 15 outerreps, </t>
    </r>
    <r>
      <rPr>
        <rFont val="Arial"/>
        <b/>
        <color theme="1"/>
      </rPr>
      <t>firstGoal=[7]</t>
    </r>
  </si>
  <si>
    <t>First goal 7</t>
  </si>
  <si>
    <r>
      <rPr>
        <rFont val="Arial"/>
        <color theme="1"/>
      </rPr>
      <t xml:space="preserve">goal, forageassistOFF. 25 s lockout, </t>
    </r>
    <r>
      <rPr>
        <rFont val="Arial"/>
        <b/>
        <color theme="1"/>
      </rPr>
      <t xml:space="preserve">delay 1500-3000 ms (wrong timing), </t>
    </r>
    <r>
      <rPr>
        <rFont val="Arial"/>
        <color theme="1"/>
      </rPr>
      <t>15 outerreps, firstGoal=None</t>
    </r>
  </si>
  <si>
    <t>first goal 4. forgot to save the changes on the timing :(</t>
  </si>
  <si>
    <r>
      <rPr>
        <rFont val="Arial"/>
        <color theme="1"/>
      </rPr>
      <t xml:space="preserve">goal, forageassistOFF. 25 s lockout, </t>
    </r>
    <r>
      <rPr>
        <rFont val="Arial"/>
        <b/>
        <color theme="1"/>
      </rPr>
      <t xml:space="preserve">delay 500-1500 ms, </t>
    </r>
    <r>
      <rPr>
        <rFont val="Arial"/>
        <color theme="1"/>
      </rPr>
      <t>15 outerreps, firstGoal=None</t>
    </r>
  </si>
  <si>
    <t>first goal 6</t>
  </si>
  <si>
    <r>
      <rPr>
        <rFont val="Arial"/>
        <b/>
        <color theme="1"/>
      </rPr>
      <t>goal, forageassistOFF</t>
    </r>
    <r>
      <rPr>
        <rFont val="Arial"/>
        <color theme="1"/>
      </rPr>
      <t xml:space="preserve">. </t>
    </r>
    <r>
      <rPr>
        <rFont val="Arial"/>
        <b/>
        <color theme="1"/>
      </rPr>
      <t>25 s lockout</t>
    </r>
    <r>
      <rPr>
        <rFont val="Arial"/>
        <color theme="1"/>
      </rPr>
      <t xml:space="preserve">, delay 1500-3000 ms, 15 outerreps, </t>
    </r>
    <r>
      <rPr>
        <rFont val="Arial"/>
        <b/>
        <color theme="1"/>
      </rPr>
      <t>firstGoal=[9]</t>
    </r>
  </si>
  <si>
    <t>First goal 9. Forgot to hit record buton at start. Only recorded at about halfway in</t>
  </si>
  <si>
    <r>
      <rPr>
        <rFont val="Arial"/>
        <color theme="1"/>
      </rPr>
      <t xml:space="preserve">goal, forageassistOFF. 25 s lockout, </t>
    </r>
    <r>
      <rPr>
        <rFont val="Arial"/>
        <b/>
        <color theme="1"/>
      </rPr>
      <t xml:space="preserve">delay 750-1500 ms, </t>
    </r>
    <r>
      <rPr>
        <rFont val="Arial"/>
        <color theme="1"/>
      </rPr>
      <t>15 outerreps, firstGoal=None</t>
    </r>
  </si>
  <si>
    <r>
      <rPr>
        <rFont val="Arial"/>
        <color theme="1"/>
      </rPr>
      <t xml:space="preserve">goal, forageassistOFF. 25 s lockout, </t>
    </r>
    <r>
      <rPr>
        <rFont val="Arial"/>
        <b/>
        <color theme="1"/>
      </rPr>
      <t xml:space="preserve">delay 750-1500 ms, </t>
    </r>
    <r>
      <rPr>
        <rFont val="Arial"/>
        <color theme="1"/>
      </rPr>
      <t>15 outerreps, firstGoal=None</t>
    </r>
  </si>
  <si>
    <r>
      <rPr>
        <rFont val="Arial"/>
        <b/>
        <color theme="1"/>
      </rPr>
      <t>goal, forageassistOFF</t>
    </r>
    <r>
      <rPr>
        <rFont val="Arial"/>
        <color theme="1"/>
      </rPr>
      <t xml:space="preserve">. </t>
    </r>
    <r>
      <rPr>
        <rFont val="Arial"/>
        <b/>
        <color theme="1"/>
      </rPr>
      <t>25 s lockout</t>
    </r>
    <r>
      <rPr>
        <rFont val="Arial"/>
        <color theme="1"/>
      </rPr>
      <t xml:space="preserve">, delay 1500-3000 ms, 15 outerreps, </t>
    </r>
    <r>
      <rPr>
        <rFont val="Arial"/>
        <b/>
        <color theme="1"/>
      </rPr>
      <t>firstGoal=[8]</t>
    </r>
  </si>
  <si>
    <t>first goal 8</t>
  </si>
  <si>
    <r>
      <rPr>
        <rFont val="Arial"/>
        <color theme="1"/>
      </rPr>
      <t xml:space="preserve">goal, forageassistOFF. 25 s lockout, delay 1500-3000 ms, 15 outerreps, </t>
    </r>
    <r>
      <rPr>
        <rFont val="Arial"/>
        <b/>
        <color theme="1"/>
      </rPr>
      <t>firstGoal=[7]</t>
    </r>
  </si>
  <si>
    <t>First goal 7, definitely still limping pretty good, and seems hesitant to go down the arms (which means he's gotten a lot of lock2s), but at least he's getting some goals on his own! He got enough goals to have the goal change this time! But it changed to 6, which is one of his favorite arms. Should we exclude those arms from being goals for a bit?</t>
  </si>
  <si>
    <r>
      <rPr>
        <rFont val="Arial"/>
        <color theme="1"/>
      </rPr>
      <t xml:space="preserve">goal, forageassistOFF. 25 s lockout, </t>
    </r>
    <r>
      <rPr>
        <rFont val="Arial"/>
        <b/>
        <color theme="1"/>
      </rPr>
      <t xml:space="preserve">delay 500-1500 ms, </t>
    </r>
    <r>
      <rPr>
        <rFont val="Arial"/>
        <color theme="1"/>
      </rPr>
      <t>15 outerreps, firstGoal=None</t>
    </r>
  </si>
  <si>
    <t xml:space="preserve">first goal 11   </t>
  </si>
  <si>
    <r>
      <rPr>
        <rFont val="Arial"/>
        <color theme="1"/>
      </rPr>
      <t xml:space="preserve">goal, forageassistOFF. 25 s lockout, </t>
    </r>
    <r>
      <rPr>
        <rFont val="Arial"/>
        <b/>
        <color theme="1"/>
      </rPr>
      <t xml:space="preserve">delay 500-1500 ms, </t>
    </r>
    <r>
      <rPr>
        <rFont val="Arial"/>
        <color theme="1"/>
      </rPr>
      <t>15 outerreps, firstGoal=None</t>
    </r>
  </si>
  <si>
    <t>first goal 7 - good job #4!!!</t>
  </si>
  <si>
    <r>
      <rPr>
        <rFont val="Arial"/>
        <color theme="1"/>
      </rPr>
      <t xml:space="preserve">goal, forageassistOFF. 25 s lockout, delay 1500-3000 ms, 15 outerreps, </t>
    </r>
    <r>
      <rPr>
        <rFont val="Arial"/>
        <b/>
        <color theme="1"/>
      </rPr>
      <t>firstGoal=[10]</t>
    </r>
  </si>
  <si>
    <t>first goal 10 - seems to be initializing trials and then exploring without really understanding the memory portion of the puzzle, but to me that's still way more promising than what I was seeing last week! As for his limp I think it's more his left leg, but it isn't super consistent. I dropped a little milk in the enterance of the goal arm a few trials ago, and since finding that he's gotten the goal several times in a row without mistakes! (idk how much of that is just residual smell? but we'll see how he does once the goal has changed). Definitely doesn't have an understanding of when he's been locked out yet though. Second goal 11 - he got it once on his own, but then I had to help him a little for the next couple times (after several mistakes), but then he started to figure it out again! I'm hoping he'll keep going long enough that the goal will switch again, and then I'll take him out once he's doing well at that goal (maybe after he gets it right 7 times or something). Third goal 6 (grr) - yeah, arm 3 is still his favorite, but he wasn't quite as quick to get it as it initially looked like he was going to be - ok, he either got full, or too frustrated to do anything, so I'm going to call it even though he never really figured out the switch to arm 3</t>
  </si>
  <si>
    <r>
      <rPr>
        <rFont val="Arial"/>
        <color theme="1"/>
      </rPr>
      <t xml:space="preserve">goal, forageassistOFF. 25 s lockout, </t>
    </r>
    <r>
      <rPr>
        <rFont val="Arial"/>
        <b/>
        <color theme="1"/>
      </rPr>
      <t xml:space="preserve">delay 500-1500 ms, </t>
    </r>
    <r>
      <rPr>
        <rFont val="Arial"/>
        <color theme="1"/>
      </rPr>
      <t>15 outerreps, firstGoal=None</t>
    </r>
  </si>
  <si>
    <t>first goal 4 - we might need to help him out with those lock3s (and with getting exactly 15 goals)</t>
  </si>
  <si>
    <r>
      <rPr>
        <rFont val="Arial"/>
        <color theme="1"/>
      </rPr>
      <t xml:space="preserve">goal, forageassistOFF. 25 s lockout, </t>
    </r>
    <r>
      <rPr>
        <rFont val="Arial"/>
        <b/>
        <color theme="1"/>
      </rPr>
      <t xml:space="preserve">delay 750-1570 ms, </t>
    </r>
    <r>
      <rPr>
        <rFont val="Arial"/>
        <color theme="1"/>
      </rPr>
      <t>15 outerreps, firstGoal=None</t>
    </r>
  </si>
  <si>
    <r>
      <rPr>
        <rFont val="Arial"/>
        <color theme="1"/>
      </rPr>
      <t xml:space="preserve">goal, forageassistOFF. 25 s lockout, delay 1500-3000 ms, 15 outerreps, </t>
    </r>
    <r>
      <rPr>
        <rFont val="Arial"/>
        <b/>
        <color theme="1"/>
      </rPr>
      <t>firstGoal=[9]</t>
    </r>
  </si>
  <si>
    <t>first goal 9 - triggered an unfortunate lock2 with his tail on accident, encouraged his second goal with a milk cue, going to try to let him figure it out from here on his own (he immediately got 3 more succesful goals and counting - I wonder why me cueing it works so much better than him finding the reward on his own; at least it only took 1 cue this time though!)</t>
  </si>
  <si>
    <r>
      <rPr>
        <rFont val="Arial"/>
        <color theme="1"/>
      </rPr>
      <t xml:space="preserve">goal, forageassistOFF. 25 s lockout, delay 1500-3000 ms, 15 outerreps, </t>
    </r>
    <r>
      <rPr>
        <rFont val="Arial"/>
        <b/>
        <color theme="1"/>
      </rPr>
      <t>firstGoal=[8]</t>
    </r>
  </si>
  <si>
    <t>explored goal 4, 6, 7, 9, 11 but then got frustrated and fell into home loop. after 15 min, cued goal 8 once (with milk trail) and he immediately got it from there. goal swithced to 10 and now frustrated again (returned to 8 a number of times and now doing the goal loop). I'm going to cue him to generally past the rip/wait area (cued 4, 6, 8, 10) and see if that helps him explore. found 10 right away and got a reward, explored one other cued arm with no reward and now back to 10, but sometimes to others, isn't convinced. after a few mistakes, dipped nose into 10 but decided against it and went back home. the other cued arms may have confused him :/ but I do think they were helpful to get him in the habit of exploring? trying to be patient and let him try to figure it out. tried to do home loop a few times but I clapped to stop him, now just isn't doing anything at all so taking him out.</t>
  </si>
  <si>
    <r>
      <rPr>
        <rFont val="Arial"/>
        <color theme="1"/>
      </rPr>
      <t xml:space="preserve">goal, forageassistOFF. 25 s lockout, </t>
    </r>
    <r>
      <rPr>
        <rFont val="Arial"/>
        <b/>
        <color theme="1"/>
      </rPr>
      <t xml:space="preserve">delay 500-1500 ms, </t>
    </r>
    <r>
      <rPr>
        <rFont val="Arial"/>
        <color theme="1"/>
      </rPr>
      <t>15 outerreps, firstGoal=None</t>
    </r>
  </si>
  <si>
    <t>first goal 10, hasn't had first goal 10 in a while, took him 15 min to find it and then has only repeated twice amidst lots of other arms; seems like he only goes left from left and right from right? might need help with that. also still struggling w lock3</t>
  </si>
  <si>
    <r>
      <rPr>
        <rFont val="Arial"/>
        <color theme="1"/>
      </rPr>
      <t xml:space="preserve">goal, forageassistOFF. 25 s lockout, </t>
    </r>
    <r>
      <rPr>
        <rFont val="Arial"/>
        <b/>
        <color theme="1"/>
      </rPr>
      <t xml:space="preserve">delay 750-1570 ms, </t>
    </r>
    <r>
      <rPr>
        <rFont val="Arial"/>
        <color theme="1"/>
      </rPr>
      <t>15 outerreps, firstGoal=None</t>
    </r>
  </si>
  <si>
    <r>
      <rPr>
        <rFont val="Arial"/>
        <color theme="1"/>
      </rPr>
      <t xml:space="preserve">goal, forageassistOFF. 25 s lockout, delay 1500-3000 ms, 15 outerreps, </t>
    </r>
    <r>
      <rPr>
        <rFont val="Arial"/>
        <b/>
        <color theme="1"/>
      </rPr>
      <t>firstGoal=[9]</t>
    </r>
  </si>
  <si>
    <t>first goal 9. gave him lots of opportunities to explore. Seems to get it the second he's gotten the correct arm, just needs help finding that arm when its one he doesn't typically explore.</t>
  </si>
  <si>
    <r>
      <rPr>
        <rFont val="Arial"/>
        <color theme="1"/>
      </rPr>
      <t xml:space="preserve">goal, forageassistOFF. 25 s lockout, </t>
    </r>
    <r>
      <rPr>
        <rFont val="Arial"/>
        <b/>
        <color theme="1"/>
      </rPr>
      <t xml:space="preserve">delay 500-1500 ms, </t>
    </r>
    <r>
      <rPr>
        <rFont val="Arial"/>
        <color theme="1"/>
      </rPr>
      <t>15 outerreps, firstGoal=None</t>
    </r>
  </si>
  <si>
    <t>First goal 5</t>
  </si>
  <si>
    <r>
      <rPr>
        <rFont val="Arial"/>
        <color theme="1"/>
      </rPr>
      <t xml:space="preserve">goal, forageassistOFF. 25 s lockout, </t>
    </r>
    <r>
      <rPr>
        <rFont val="Arial"/>
        <b/>
        <color theme="1"/>
      </rPr>
      <t xml:space="preserve">delay 750-2000 ms, </t>
    </r>
    <r>
      <rPr>
        <rFont val="Arial"/>
        <color theme="1"/>
      </rPr>
      <t>15 outerreps, firstGoal=None</t>
    </r>
  </si>
  <si>
    <r>
      <rPr>
        <rFont val="Arial"/>
        <color theme="1"/>
      </rPr>
      <t xml:space="preserve">goal, forageassistOFF. 25 s lockout, delay 1500-3000 ms, 15 outerreps, </t>
    </r>
    <r>
      <rPr>
        <rFont val="Arial"/>
        <b/>
        <color theme="1"/>
      </rPr>
      <t>firstGoal=[]</t>
    </r>
  </si>
  <si>
    <t>first goal 4. Let him spend time struggling, gave no milk to hint at correct well because it should have been easy.</t>
  </si>
  <si>
    <r>
      <rPr>
        <rFont val="Arial"/>
        <color theme="1"/>
      </rPr>
      <t xml:space="preserve">goal, forageassistOFF. 25 s lockout, delay 1500-3000 ms, 15 outerreps, </t>
    </r>
    <r>
      <rPr>
        <rFont val="Arial"/>
        <b/>
        <color theme="1"/>
      </rPr>
      <t>firstGoal=[4]</t>
    </r>
  </si>
  <si>
    <t xml:space="preserve">Did not really perform. Went to home well a couple times but mostly was just getting used to moving around with all the hardware and tether. </t>
  </si>
  <si>
    <r>
      <rPr>
        <rFont val="Arial"/>
        <color theme="1"/>
      </rPr>
      <t xml:space="preserve">goal, forageassistOFF. 25 s lockout, delay 1500-3000 ms, 15 outerreps, </t>
    </r>
    <r>
      <rPr>
        <rFont val="Arial"/>
        <b/>
        <color theme="1"/>
      </rPr>
      <t>firstGoal=[4]</t>
    </r>
  </si>
  <si>
    <t>Primed all the wells with milk to try and get him to explore more. Immediately went to the wells to get milk. Went ot the end of an arm and took a nap after getting a couple home/rip/wait attempts</t>
  </si>
  <si>
    <t>REFRESHER TRAINING</t>
  </si>
  <si>
    <r>
      <rPr>
        <rFont val="Arial"/>
        <color theme="1"/>
      </rPr>
      <t xml:space="preserve">goal, forageassist3. 30 s lockout, </t>
    </r>
    <r>
      <rPr>
        <rFont val="Arial"/>
        <b/>
        <color theme="1"/>
      </rPr>
      <t xml:space="preserve">delay 750-2000 ms, </t>
    </r>
    <r>
      <rPr>
        <rFont val="Arial"/>
        <color theme="1"/>
      </rPr>
      <t>15 outerreps, firstGoal=None</t>
    </r>
  </si>
  <si>
    <t xml:space="preserve">remembers trial structure perfectly! goal is [9] found quickly but doesn't repeat. exploring well. did so well! </t>
  </si>
  <si>
    <r>
      <rPr>
        <rFont val="Arial"/>
        <color theme="1"/>
      </rPr>
      <t xml:space="preserve">goal, forageassist3. 30 s lockout, </t>
    </r>
    <r>
      <rPr>
        <rFont val="Arial"/>
        <b/>
        <color theme="1"/>
      </rPr>
      <t xml:space="preserve">delay 750-2250 ms, </t>
    </r>
    <r>
      <rPr>
        <rFont val="Arial"/>
        <color theme="1"/>
      </rPr>
      <t>15 outerreps, firstGoal=None</t>
    </r>
  </si>
  <si>
    <t>first goals 4,9,11, last goal 7</t>
  </si>
  <si>
    <r>
      <rPr>
        <rFont val="Arial"/>
        <color theme="1"/>
      </rPr>
      <t>goal,</t>
    </r>
    <r>
      <rPr>
        <rFont val="Arial"/>
        <b/>
        <color theme="1"/>
      </rPr>
      <t xml:space="preserve"> forageassist2</t>
    </r>
    <r>
      <rPr>
        <rFont val="Arial"/>
        <color theme="1"/>
      </rPr>
      <t xml:space="preserve">. 30 s lockout, </t>
    </r>
    <r>
      <rPr>
        <rFont val="Arial"/>
        <b/>
        <color theme="1"/>
      </rPr>
      <t xml:space="preserve">delay 1000-2250 ms, </t>
    </r>
    <r>
      <rPr>
        <rFont val="Arial"/>
        <color theme="1"/>
      </rPr>
      <t>15 outerreps, firstGoal=None</t>
    </r>
  </si>
  <si>
    <t>short session (45 mins only). surprising number of others but didn't notive the increased delay!</t>
  </si>
  <si>
    <r>
      <rPr>
        <rFont val="Arial"/>
        <color theme="1"/>
      </rPr>
      <t>goal,</t>
    </r>
    <r>
      <rPr>
        <rFont val="Arial"/>
        <b/>
        <color theme="1"/>
      </rPr>
      <t xml:space="preserve"> forageassistOFF</t>
    </r>
    <r>
      <rPr>
        <rFont val="Arial"/>
        <color theme="1"/>
      </rPr>
      <t xml:space="preserve">. 30 s lockout, </t>
    </r>
    <r>
      <rPr>
        <rFont val="Arial"/>
        <b/>
        <color theme="1"/>
      </rPr>
      <t xml:space="preserve">delay 1000-2500 ms, </t>
    </r>
    <r>
      <rPr>
        <rFont val="Arial"/>
        <color theme="1"/>
      </rPr>
      <t>15 outerreps, firstGoal=None</t>
    </r>
  </si>
  <si>
    <t>first goal 5. didn't do very well - definitely noticed the increased delay! and maybe the forrageassist off too</t>
  </si>
  <si>
    <r>
      <rPr>
        <rFont val="Arial"/>
        <color theme="1"/>
      </rPr>
      <t>goal,</t>
    </r>
    <r>
      <rPr>
        <rFont val="Arial"/>
        <b/>
        <color theme="1"/>
      </rPr>
      <t xml:space="preserve"> forageassistOFF</t>
    </r>
    <r>
      <rPr>
        <rFont val="Arial"/>
        <color theme="1"/>
      </rPr>
      <t xml:space="preserve">. 30 s lockout, </t>
    </r>
    <r>
      <rPr>
        <rFont val="Arial"/>
        <b/>
        <color theme="1"/>
      </rPr>
      <t xml:space="preserve">delay 1000-2500 ms (with one extra 1000 and 1250 in the distribution), </t>
    </r>
    <r>
      <rPr>
        <rFont val="Arial"/>
        <color theme="1"/>
      </rPr>
      <t>15 outerreps, firstGoal=None</t>
    </r>
  </si>
  <si>
    <t>definitely better than yesterday! significantly lower lock3s AND more goal/other ratio even with forageassist off</t>
  </si>
  <si>
    <t>start time</t>
  </si>
  <si>
    <t>end time</t>
  </si>
  <si>
    <t>Lane</t>
  </si>
  <si>
    <t>Rat</t>
  </si>
  <si>
    <t>Rewards</t>
  </si>
  <si>
    <t>Notes</t>
  </si>
  <si>
    <t xml:space="preserve">wells preloaded; did not even lick milk off far well </t>
  </si>
  <si>
    <t>wells preloaded</t>
  </si>
  <si>
    <t>wells preloaded, didn't even lick far well</t>
  </si>
  <si>
    <t>full and just resting at 30 mins</t>
  </si>
  <si>
    <t>wells preloaded. just sat on well, didn't lick</t>
  </si>
  <si>
    <t>wells preloaded &amp; milk on track, licked it up</t>
  </si>
  <si>
    <t>wells preloaded &amp; milk on track</t>
  </si>
  <si>
    <t>wells preloaded &amp; milk on track, mostly just napping on one of the wells, don't seem to have any clue that the wells dispense milk</t>
  </si>
  <si>
    <t>total pro, knew what to do immediately</t>
  </si>
  <si>
    <t>total pro, knew what to do immediately - both 3 and 4 have 120+ trials before we've even made it to half an hour</t>
  </si>
  <si>
    <t>milk on track, kinda hesitant, doesn't seem super motivated, but at least seems to know what to do?</t>
  </si>
  <si>
    <t>wells preloaded &amp; milk on track, totally doesn't get it</t>
  </si>
  <si>
    <t>whoops, this session really wasn't supposed to be this long, but I got distracted coding, and then more distracted helping #1</t>
  </si>
  <si>
    <t>significant help given, and he refused to ever lick a well - I'm officially giving up on 7 in favor of 10 (pending what Anna thinks)</t>
  </si>
  <si>
    <t xml:space="preserve">approved! </t>
  </si>
  <si>
    <t>significant help given, but at least he started licking the wells! And almost sorta did a couple trials on his own?</t>
  </si>
  <si>
    <t>wells preloaded, tried nudging him, and it's not looking good</t>
  </si>
  <si>
    <t>idk how hungry he was, he got off to a kinda slow start, but clearly still knows what to do</t>
  </si>
  <si>
    <t>everyone else were total pros, knew exactly what to do the moment they were put in the maze</t>
  </si>
  <si>
    <t>NO TET</t>
  </si>
  <si>
    <t>Tritrode ch3 dead</t>
  </si>
  <si>
    <t>Tritrode?</t>
  </si>
  <si>
    <t>[tritrode]</t>
  </si>
  <si>
    <t>[tritrode] ch4 super q</t>
  </si>
  <si>
    <t>ch1, 2 really qqq, still work</t>
  </si>
  <si>
    <t>stereotrode?</t>
  </si>
  <si>
    <t>tritrode, ch3 dead</t>
  </si>
  <si>
    <t>post surgery</t>
  </si>
  <si>
    <t>10.5 in brain</t>
  </si>
  <si>
    <t>10.25 in brain</t>
  </si>
  <si>
    <t>nothing</t>
  </si>
  <si>
    <t>Screw came out</t>
  </si>
  <si>
    <t>4.25 in brain</t>
  </si>
  <si>
    <t>9 in brain</t>
  </si>
  <si>
    <t>Nothing</t>
  </si>
  <si>
    <t>6.25 brain</t>
  </si>
  <si>
    <t>Brain at 9.25</t>
  </si>
  <si>
    <t>Brain at 7.5</t>
  </si>
  <si>
    <t>Brain 7.25</t>
  </si>
  <si>
    <t>Brain at 5.25</t>
  </si>
  <si>
    <t xml:space="preserve">brain at 6 </t>
  </si>
  <si>
    <t>Brain at 9.75</t>
  </si>
  <si>
    <t>Brain at 8.25</t>
  </si>
  <si>
    <t>Brain at 10.75</t>
  </si>
  <si>
    <t>Brain at 9.5</t>
  </si>
  <si>
    <t>not in</t>
  </si>
  <si>
    <t>No brain</t>
  </si>
  <si>
    <t>Brain at 10.50</t>
  </si>
  <si>
    <t>Brain at 10</t>
  </si>
  <si>
    <t>Brain at 2.25</t>
  </si>
  <si>
    <t>Brain at 3.25</t>
  </si>
  <si>
    <t>Brain at 3.5</t>
  </si>
  <si>
    <t>Brain at 3</t>
  </si>
  <si>
    <t>Brain at 5.5</t>
  </si>
  <si>
    <t>Brain at 4.5</t>
  </si>
  <si>
    <t>Brain at 4.75</t>
  </si>
  <si>
    <t>Brain at 5.75</t>
  </si>
  <si>
    <t>Brain at 6</t>
  </si>
  <si>
    <t>Nothing (close)</t>
  </si>
  <si>
    <t>6.75 brain</t>
  </si>
  <si>
    <t>6.5 brain</t>
  </si>
  <si>
    <t>Brain at 4</t>
  </si>
  <si>
    <t>6.75 in brain</t>
  </si>
  <si>
    <t>Nada</t>
  </si>
  <si>
    <t>6.5 in brain</t>
  </si>
  <si>
    <t>7 in brain</t>
  </si>
  <si>
    <t>brain at 5</t>
  </si>
  <si>
    <t>brain at 4</t>
  </si>
  <si>
    <t>Brain at 5</t>
  </si>
  <si>
    <t>First day of movement post surgery</t>
  </si>
  <si>
    <t>small downward rips, c++, to hashy</t>
  </si>
  <si>
    <t xml:space="preserve">small downward rips, c++ </t>
  </si>
  <si>
    <t>small downward rips, k, c++, k</t>
  </si>
  <si>
    <t>clear downward rips, c++, to hash</t>
  </si>
  <si>
    <t>clear downward rips, c++, to c, clearly moving</t>
  </si>
  <si>
    <t>looks like 8, to fuzz, to q</t>
  </si>
  <si>
    <t>q, to fuzz, to q</t>
  </si>
  <si>
    <t>clear downward rippls, c+, to fuzz, to c</t>
  </si>
  <si>
    <t>clear downward rippls, c+, to fuzz, to c, k+++</t>
  </si>
  <si>
    <t>clear downward rippls c+ k c+ now qer</t>
  </si>
  <si>
    <t>look like 8 QQ no change</t>
  </si>
  <si>
    <t xml:space="preserve">looks like 8/ confusing/ maybe CC no change </t>
  </si>
  <si>
    <t>small downward rips k c maybe got q</t>
  </si>
  <si>
    <t xml:space="preserve">clear downward rippls lil c then big c still big r </t>
  </si>
  <si>
    <t>clear downward rippls on way up got  and then k r now smaller</t>
  </si>
  <si>
    <t xml:space="preserve">QQ probably in CC no clear change </t>
  </si>
  <si>
    <t>distant rips now QQ</t>
  </si>
  <si>
    <t>distant rips tiny C now q</t>
  </si>
  <si>
    <t>probably in CC no clear change</t>
  </si>
  <si>
    <t xml:space="preserve">clear downward rips K and then now quieter </t>
  </si>
  <si>
    <t xml:space="preserve">small downward rips K cell on way up  </t>
  </si>
  <si>
    <t xml:space="preserve">Looks like CC no clear change </t>
  </si>
  <si>
    <t>maybe r-- ha a cell and then lost it now in CC?</t>
  </si>
  <si>
    <t>Very little change maybe in CC</t>
  </si>
  <si>
    <t xml:space="preserve">shallow was quiet got cell and then lost cell again maybe in CC? </t>
  </si>
  <si>
    <t>small downward rips got quieter maybe CC</t>
  </si>
  <si>
    <t>small downward rips got quieter maybe in collosum</t>
  </si>
  <si>
    <t xml:space="preserve">cortex C+ maybe got louder </t>
  </si>
  <si>
    <t>maybe r--? C, now Q</t>
  </si>
  <si>
    <t>shallow/ CC? now q</t>
  </si>
  <si>
    <t xml:space="preserve">shallow? looks like 34 or 36 </t>
  </si>
  <si>
    <t>shallow no clear change</t>
  </si>
  <si>
    <t>small downward rips now tiny c</t>
  </si>
  <si>
    <t>c+, to c++, to k</t>
  </si>
  <si>
    <t>shallow cortex, no change</t>
  </si>
  <si>
    <t>shallow cortex, c++ to hashy, to q</t>
  </si>
  <si>
    <t>q, no change</t>
  </si>
  <si>
    <t>Hashy, to c, to hashy</t>
  </si>
  <si>
    <t>hashy, to c, to q</t>
  </si>
  <si>
    <t>c++, k, to q</t>
  </si>
  <si>
    <t>c, no change?</t>
  </si>
  <si>
    <t>c hashy, to qq</t>
  </si>
  <si>
    <t>c- to q</t>
  </si>
  <si>
    <t>No change</t>
  </si>
  <si>
    <t>downward rips, c to q, no kill</t>
  </si>
  <si>
    <t>c to q, probably poked cell then retracted more</t>
  </si>
  <si>
    <t>distant r---, k++, to q</t>
  </si>
  <si>
    <t>got quieter</t>
  </si>
  <si>
    <t>small downwar rips, to c, to q</t>
  </si>
  <si>
    <t>q, to less q</t>
  </si>
  <si>
    <t>ctx shallow, hashy, to c- to q</t>
  </si>
  <si>
    <t>q, to qq</t>
  </si>
  <si>
    <t xml:space="preserve">6 not sure </t>
  </si>
  <si>
    <t xml:space="preserve">6not sure </t>
  </si>
  <si>
    <t>6 originally most likely 5</t>
  </si>
  <si>
    <t>5 originally most likely 4</t>
  </si>
  <si>
    <t>Second day of movement post surgery</t>
  </si>
  <si>
    <t xml:space="preserve">no change q </t>
  </si>
  <si>
    <t xml:space="preserve">hashy/ lil c (no rips) to same c after turn up </t>
  </si>
  <si>
    <t>c fuzz while turning up no more c just hashy</t>
  </si>
  <si>
    <t>starts loud/ hashy no change</t>
  </si>
  <si>
    <t>c no change</t>
  </si>
  <si>
    <t>hashy maybe qer</t>
  </si>
  <si>
    <t>q no change</t>
  </si>
  <si>
    <t xml:space="preserve">sparse c, k </t>
  </si>
  <si>
    <t xml:space="preserve">c static sounding dramatic k </t>
  </si>
  <si>
    <t xml:space="preserve">also staticy no c tiny c </t>
  </si>
  <si>
    <t>hashy no change small static</t>
  </si>
  <si>
    <t>no static sparse c</t>
  </si>
  <si>
    <t>tiny c closer to tiny c</t>
  </si>
  <si>
    <t xml:space="preserve">c got louder and then qer </t>
  </si>
  <si>
    <t>hashy the way through</t>
  </si>
  <si>
    <t xml:space="preserve">q and then q </t>
  </si>
  <si>
    <t xml:space="preserve">no change </t>
  </si>
  <si>
    <t>c- no change</t>
  </si>
  <si>
    <t xml:space="preserve">q no change </t>
  </si>
  <si>
    <t>static and loud got qer</t>
  </si>
  <si>
    <t>c- got louder</t>
  </si>
  <si>
    <t>static big time no change</t>
  </si>
  <si>
    <t>less static no change</t>
  </si>
  <si>
    <t>c got qer</t>
  </si>
  <si>
    <t>c+ moved past it c- now</t>
  </si>
  <si>
    <t>static no change</t>
  </si>
  <si>
    <t>hashy tiny c incoming maybe</t>
  </si>
  <si>
    <t>hashy and loud qer</t>
  </si>
  <si>
    <t>C+ then got much qer no more c</t>
  </si>
  <si>
    <t>qq maybe got louder</t>
  </si>
  <si>
    <t>hashy no change</t>
  </si>
  <si>
    <t>same hash as 34 slightly qer</t>
  </si>
  <si>
    <t xml:space="preserve">q and hashy no change </t>
  </si>
  <si>
    <t xml:space="preserve">loud and hashy -1 no change </t>
  </si>
  <si>
    <t>confusing sitch going down +1 to find landmark got louder new c</t>
  </si>
  <si>
    <t xml:space="preserve">q and hashy +1 no change </t>
  </si>
  <si>
    <t xml:space="preserve">loud and hashy going down +1 no change </t>
  </si>
  <si>
    <t xml:space="preserve">quiet going down +1 and no change </t>
  </si>
  <si>
    <t xml:space="preserve">-1 quiet no change </t>
  </si>
  <si>
    <t xml:space="preserve">-1 q and hashy no change </t>
  </si>
  <si>
    <t>-1 hashy no change</t>
  </si>
  <si>
    <t>-1 qq got quieter qqq</t>
  </si>
  <si>
    <t>hashy and q -1 qer</t>
  </si>
  <si>
    <t xml:space="preserve">hashy -1 no change </t>
  </si>
  <si>
    <t xml:space="preserve">-1 hashy no change </t>
  </si>
  <si>
    <t xml:space="preserve"> going down +1 to probe cell layers loud and hashy no change   </t>
  </si>
  <si>
    <t xml:space="preserve">going down to probe +1 quiet and hashy qer </t>
  </si>
  <si>
    <t xml:space="preserve">loud and hashy going up cause distant rips yesterday no change </t>
  </si>
  <si>
    <t xml:space="preserve">qq wanna go down +1 in search of c no change  </t>
  </si>
  <si>
    <t xml:space="preserve">hashy going down to probe +1 no change </t>
  </si>
  <si>
    <t xml:space="preserve">going down to probe +1 hashy no change </t>
  </si>
  <si>
    <t xml:space="preserve">going up cause of prev rips -1 nice and loud no change </t>
  </si>
  <si>
    <t xml:space="preserve">going down to continue trend +1 q no change </t>
  </si>
  <si>
    <t>down +1 hashy and q</t>
  </si>
  <si>
    <t xml:space="preserve">down +1 qqq fuzz and the got louder little c coming  </t>
  </si>
  <si>
    <t xml:space="preserve">down +1 qq no change </t>
  </si>
  <si>
    <t>~7</t>
  </si>
  <si>
    <t>~6</t>
  </si>
  <si>
    <t>~5</t>
  </si>
  <si>
    <t>~4</t>
  </si>
  <si>
    <t>pull deep ones up, push shallow ones down</t>
  </si>
  <si>
    <t>c+, -1, definitely moved, still c</t>
  </si>
  <si>
    <t xml:space="preserve">c, hashy, -1, got quieter no c </t>
  </si>
  <si>
    <t>c+, -1, got quieter no more c</t>
  </si>
  <si>
    <t>Hashy, c, -1, got quieter, then picked up a cell at the end</t>
  </si>
  <si>
    <t>just hashy, -1, found a c, then got quiet again</t>
  </si>
  <si>
    <t>hashy, -1, no change</t>
  </si>
  <si>
    <t>c-, -1, fuzz then lost c</t>
  </si>
  <si>
    <t>c+, -1, lost cell fuzzy to hash</t>
  </si>
  <si>
    <t>push down, qq, +1, no change</t>
  </si>
  <si>
    <t>hashy, -1, big fuzz, then q</t>
  </si>
  <si>
    <t>hashy/staticy, -1, no change</t>
  </si>
  <si>
    <t>hashy/staticy, -1, got quieter</t>
  </si>
  <si>
    <t>hashy/static, -1, got louder</t>
  </si>
  <si>
    <t>q, +1, fuzz in middle of movement</t>
  </si>
  <si>
    <t>q, -1, no change</t>
  </si>
  <si>
    <t>c, -1, dropped cell, no other change noticed</t>
  </si>
  <si>
    <t>hashy, maybe c--, -1, no change</t>
  </si>
  <si>
    <t>c+, -1, k, q</t>
  </si>
  <si>
    <t>q, -1, c-</t>
  </si>
  <si>
    <t>q, -1 qq</t>
  </si>
  <si>
    <t>c+, -1, dropped cell</t>
  </si>
  <si>
    <t>c+, -1, fuzz, dropped c, no q</t>
  </si>
  <si>
    <t>c, -1, no change</t>
  </si>
  <si>
    <t>c, -1, now q</t>
  </si>
  <si>
    <t>c, -1, fuzz, still c</t>
  </si>
  <si>
    <t>c++, -1, dropped c to hashy</t>
  </si>
  <si>
    <t xml:space="preserve">hashy +.5 c then fuzz back to hashy </t>
  </si>
  <si>
    <t>q +.5 fuzz now sparse c</t>
  </si>
  <si>
    <t>hashy +.5 no change. chs1&amp; 2 are silent</t>
  </si>
  <si>
    <t>hashy no r +.5 fuzz hashy</t>
  </si>
  <si>
    <t>hashy c -1 fuzz k now q</t>
  </si>
  <si>
    <t>hashy c- +.5 no chance</t>
  </si>
  <si>
    <t>q +.5 no change</t>
  </si>
  <si>
    <t>loud hashy +.5 slightly quieter?</t>
  </si>
  <si>
    <t>q -1 no change q</t>
  </si>
  <si>
    <t>q -1 tiny fuzz on ch4 then q</t>
  </si>
  <si>
    <t>q -1 no change</t>
  </si>
  <si>
    <t>q c -1 no change still sparse c</t>
  </si>
  <si>
    <t>q -1 big fuzz then q</t>
  </si>
  <si>
    <t xml:space="preserve">q/hashy -1 slightly louder? </t>
  </si>
  <si>
    <t>qqq chs 3,4 almost silent. -1 no change</t>
  </si>
  <si>
    <t>hashy -1 no change</t>
  </si>
  <si>
    <t>chs1-3 weirly silent, ch4 q -1 no change</t>
  </si>
  <si>
    <t>q ch1 pretty silent, -1 no change</t>
  </si>
  <si>
    <t>c+ +.5 fuzz c smaller</t>
  </si>
  <si>
    <t>hashy/q +.5 no change</t>
  </si>
  <si>
    <t>hashy -1 fuzz tiny k q</t>
  </si>
  <si>
    <t>qq +.5 no change</t>
  </si>
  <si>
    <t>hashy c +.5 no change</t>
  </si>
  <si>
    <t>hashy tiny c- +.5 maybe quieter</t>
  </si>
  <si>
    <t>hashy +.5 no change</t>
  </si>
  <si>
    <t>q/hashy +.5 c- q</t>
  </si>
  <si>
    <t>c+ +.5 no change</t>
  </si>
  <si>
    <t xml:space="preserve">hashy +.5 no change </t>
  </si>
  <si>
    <t xml:space="preserve">keeping going te direction we went yesterday </t>
  </si>
  <si>
    <t>small c -.5 big fuzz new c+</t>
  </si>
  <si>
    <t>q/hashy -.5 fuzz hashy</t>
  </si>
  <si>
    <t>c+ -.5 no change still c+</t>
  </si>
  <si>
    <t>c+ -.5 c changed more active</t>
  </si>
  <si>
    <t>loud hashy -.5 no change</t>
  </si>
  <si>
    <t>hashy -.5 no change</t>
  </si>
  <si>
    <t>q/hashy turning around +.5 no change</t>
  </si>
  <si>
    <t>hashy small c -.5 c bigger c+</t>
  </si>
  <si>
    <t xml:space="preserve">c++ -.5 c smaller </t>
  </si>
  <si>
    <t>q/hashy -.5 tiny fuzz</t>
  </si>
  <si>
    <t>hashy, +.5 quieter</t>
  </si>
  <si>
    <t>q/hashy, diff from neighbors. -.5 big fuzz</t>
  </si>
  <si>
    <t xml:space="preserve">q/hashy -.5 big fuzz louder </t>
  </si>
  <si>
    <t xml:space="preserve">hashy -.5 tiny fuzz </t>
  </si>
  <si>
    <t>q/hashy +.5 no change</t>
  </si>
  <si>
    <t>q -.5 fuzz louder</t>
  </si>
  <si>
    <t>loud hashy -.5 fuzz different from neighors</t>
  </si>
  <si>
    <t xml:space="preserve">ch 3 super quiet hashy -.5 fuzz </t>
  </si>
  <si>
    <t xml:space="preserve">c+ -.5 c moved </t>
  </si>
  <si>
    <t xml:space="preserve">hashy, huge c++ -.5 no change </t>
  </si>
  <si>
    <t xml:space="preserve">hashy -.5 quieter? </t>
  </si>
  <si>
    <t>loud hashy c -.5 quieter</t>
  </si>
  <si>
    <t xml:space="preserve">hashy -.5 fuzz c+ </t>
  </si>
  <si>
    <t xml:space="preserve">ch4 really quiet (dead?). hashy -.5 louder? </t>
  </si>
  <si>
    <t>hashy c- -.5 fuzz hashy</t>
  </si>
  <si>
    <t>hashy c- -.5 slightly louder</t>
  </si>
  <si>
    <t xml:space="preserve">small c -.5 no change </t>
  </si>
  <si>
    <t xml:space="preserve">small c +.5 k fuzz and now qer </t>
  </si>
  <si>
    <t xml:space="preserve">q +.5 no change </t>
  </si>
  <si>
    <t xml:space="preserve">super q on ch 1+2 q otherwise +.5 no change </t>
  </si>
  <si>
    <t xml:space="preserve">hashy +.5 fuzz on bottom 2 ch </t>
  </si>
  <si>
    <t xml:space="preserve">hashy c +.5 no change but movin </t>
  </si>
  <si>
    <t xml:space="preserve">q/ hashy +.5 no change </t>
  </si>
  <si>
    <t xml:space="preserve">q/hashy +.5 fuzz </t>
  </si>
  <si>
    <t xml:space="preserve">hashy +.5 big fuzz </t>
  </si>
  <si>
    <t xml:space="preserve">hashy -.5 no change </t>
  </si>
  <si>
    <t xml:space="preserve">hashy -.5 fuzz on ch 3   </t>
  </si>
  <si>
    <t xml:space="preserve">lil c -.5 ch 1 q closer to c </t>
  </si>
  <si>
    <t xml:space="preserve">hashy/q -.5 no change </t>
  </si>
  <si>
    <t xml:space="preserve">qq -.5 no change </t>
  </si>
  <si>
    <t>hashy -.5 slightly louder</t>
  </si>
  <si>
    <t xml:space="preserve">hashy/ q -.5 big non bio noise no change </t>
  </si>
  <si>
    <t xml:space="preserve">ch3 q -.5 no change </t>
  </si>
  <si>
    <t>hashy -.5 no change but deflec</t>
  </si>
  <si>
    <t>small c +.5 no change but deflection so it moved c incoming</t>
  </si>
  <si>
    <t xml:space="preserve">pickup 60hz noise hashy -.5 no change </t>
  </si>
  <si>
    <t xml:space="preserve">q +.5 qer </t>
  </si>
  <si>
    <t xml:space="preserve">hashy c +.5 no change </t>
  </si>
  <si>
    <t>hashy +.5 no clear change</t>
  </si>
  <si>
    <t>ch 1 looks really different. hashy +.5 no clear change</t>
  </si>
  <si>
    <t xml:space="preserve">hashy, turning around  +.5 maybe slightly qer? </t>
  </si>
  <si>
    <t xml:space="preserve">hashy +.5 fuzz </t>
  </si>
  <si>
    <t>c +.5 no clear change</t>
  </si>
  <si>
    <t>hashy +.5 maybe c coming</t>
  </si>
  <si>
    <t xml:space="preserve">hashy loud c- -.5 no change  </t>
  </si>
  <si>
    <t xml:space="preserve">hashy q -.5 no change </t>
  </si>
  <si>
    <t xml:space="preserve">c+ -.5 fuzz and possibly moved past c+ </t>
  </si>
  <si>
    <t xml:space="preserve">loud hashy -.5 fuzz </t>
  </si>
  <si>
    <t xml:space="preserve">hashy q -.5 no change  </t>
  </si>
  <si>
    <t xml:space="preserve">hashy q +.5 no change </t>
  </si>
  <si>
    <t xml:space="preserve">c+ -.5 closer to c louder </t>
  </si>
  <si>
    <t>loud hashy +.5  qer</t>
  </si>
  <si>
    <t xml:space="preserve">q hashy -.5 tiny fuzz </t>
  </si>
  <si>
    <t xml:space="preserve">q hashy -.5 fuzz </t>
  </si>
  <si>
    <t xml:space="preserve">hashy -.5 fuzz got louder </t>
  </si>
  <si>
    <t xml:space="preserve">c +.5 C++ </t>
  </si>
  <si>
    <t xml:space="preserve">q hashy -.5 no change </t>
  </si>
  <si>
    <t xml:space="preserve">hashy 60 hz noise -.5 louder maybe maybe c coming  </t>
  </si>
  <si>
    <t xml:space="preserve">c- -.5 no change  </t>
  </si>
  <si>
    <t xml:space="preserve">hashy 60 hz noise -.5 fuzz </t>
  </si>
  <si>
    <t xml:space="preserve">hashy 2nd channel qqq -.5 no change  </t>
  </si>
  <si>
    <t xml:space="preserve">c+ -.5 no change </t>
  </si>
  <si>
    <t xml:space="preserve">loud hashy -.5 no change </t>
  </si>
  <si>
    <t xml:space="preserve">hashy 1st ch qqq -.5 nice fuzz louder </t>
  </si>
  <si>
    <t xml:space="preserve">C+ -.5 no change </t>
  </si>
  <si>
    <t xml:space="preserve">c- -.5 maybe closer to c </t>
  </si>
  <si>
    <t xml:space="preserve">c -.5 no change </t>
  </si>
  <si>
    <t xml:space="preserve">c++ -.5 quiter c+ </t>
  </si>
  <si>
    <t xml:space="preserve">c +.5 fuzz </t>
  </si>
  <si>
    <t xml:space="preserve">lil c +.5 big fuzz  C++ </t>
  </si>
  <si>
    <t xml:space="preserve">hashy +.5 louder </t>
  </si>
  <si>
    <t xml:space="preserve">q/hashy +.5 no change </t>
  </si>
  <si>
    <t xml:space="preserve">hashy +.5 lil fuzz </t>
  </si>
  <si>
    <t xml:space="preserve">loud hashy maybe distant c +.5 closer to c  </t>
  </si>
  <si>
    <t xml:space="preserve">hashy/ q -.5 no change </t>
  </si>
  <si>
    <t xml:space="preserve">c+ -.5 4th channel unstable variable no change </t>
  </si>
  <si>
    <t xml:space="preserve">hashy -.5 lil fuzz </t>
  </si>
  <si>
    <t xml:space="preserve">c +.5 no change </t>
  </si>
  <si>
    <t xml:space="preserve">no more 60hz noise q -.5 no chnage </t>
  </si>
  <si>
    <t xml:space="preserve">q hashy +.5 no change </t>
  </si>
  <si>
    <t xml:space="preserve">hashy c- +.5 no change </t>
  </si>
  <si>
    <t xml:space="preserve">hashy +.5 fuzz louder and c </t>
  </si>
  <si>
    <t>lots of cells! def in some cortical layers. no clear rips</t>
  </si>
  <si>
    <t xml:space="preserve">c++ turming around +.5 big fuzz still c+ </t>
  </si>
  <si>
    <t>loud hashy, turning around +.5 now c coming</t>
  </si>
  <si>
    <t>60hz noise hashy +.5 kk fuzz c+</t>
  </si>
  <si>
    <t xml:space="preserve">hashy c +.5 fuzz kk </t>
  </si>
  <si>
    <t>hashy q c- +.5 no change</t>
  </si>
  <si>
    <t>q hashy sparse c+ +.5 fuzz k qer still c</t>
  </si>
  <si>
    <t xml:space="preserve">q sparse c+ +.5 big fuzz </t>
  </si>
  <si>
    <t>hashy c- +.5 c bigger</t>
  </si>
  <si>
    <t>hashy c +.5 delayed fuzz more c</t>
  </si>
  <si>
    <t>c+ on ch1 +.5 no more c q</t>
  </si>
  <si>
    <t xml:space="preserve">q, ch1 esp q. +.5 no change </t>
  </si>
  <si>
    <t xml:space="preserve">c+ loud hashy +.5 fuzz new c+ </t>
  </si>
  <si>
    <t>q hashy turning around +.5 no change</t>
  </si>
  <si>
    <t>c+ turning around +.5 fuzz, c qer</t>
  </si>
  <si>
    <t>q hashy small c turning around +.5 c louder?</t>
  </si>
  <si>
    <t>c+  +.5 still c+, maybe getting qer?</t>
  </si>
  <si>
    <t>q turning around +.5 no change</t>
  </si>
  <si>
    <t>ch4 is unstable, shows 60hz. hashy turning around +.5 c coming?</t>
  </si>
  <si>
    <t>c++ turning around +.5 no change</t>
  </si>
  <si>
    <t>loud hashy c turning around +.5 q er c smaller</t>
  </si>
  <si>
    <t>ch2 quiet. hashy turning aronud +.5  no change</t>
  </si>
  <si>
    <t>c++ turning around +.5 still c++</t>
  </si>
  <si>
    <t>c+ hashy turningaround +.5 still c+ no change</t>
  </si>
  <si>
    <t>hashy tiny c on ch1, turning around +.5 fuzz c gone</t>
  </si>
  <si>
    <t xml:space="preserve">hashy turning around +.5 no clear change </t>
  </si>
  <si>
    <t>hashy tiny c turning around +.5 no change</t>
  </si>
  <si>
    <t>hashy turning around +.5 no change</t>
  </si>
  <si>
    <t>q hashy small c turning around +.5 fuzz k hashy q</t>
  </si>
  <si>
    <t xml:space="preserve">c+ +.5 big fuzz </t>
  </si>
  <si>
    <t xml:space="preserve">c+ +.5 fuzz </t>
  </si>
  <si>
    <t xml:space="preserve">c++ +.5 no change </t>
  </si>
  <si>
    <t xml:space="preserve">c+ +.5 maybe louder </t>
  </si>
  <si>
    <t xml:space="preserve">c+ +.5 no change </t>
  </si>
  <si>
    <t xml:space="preserve">c- +.5 no change </t>
  </si>
  <si>
    <t xml:space="preserve">c +.5 huge fuzz  </t>
  </si>
  <si>
    <t>c+ +.5 fuzz still good cells</t>
  </si>
  <si>
    <t xml:space="preserve">c+ +.5 louder </t>
  </si>
  <si>
    <t xml:space="preserve">c +.5 closer to c </t>
  </si>
  <si>
    <t xml:space="preserve">qq +.5 no change </t>
  </si>
  <si>
    <t xml:space="preserve">no 60 hz noise again q +.5 no change </t>
  </si>
  <si>
    <t xml:space="preserve">small c +.5 no change </t>
  </si>
  <si>
    <t xml:space="preserve">c +.5 louder </t>
  </si>
  <si>
    <t xml:space="preserve">hashy c +.5 big fuzz k qer  </t>
  </si>
  <si>
    <t xml:space="preserve">hashy small c +.5 fuzz then new C++  </t>
  </si>
  <si>
    <t>lots of cortical cells still, push all down .5</t>
  </si>
  <si>
    <t xml:space="preserve">c+loud +.5 tiny fuzz, c smaller </t>
  </si>
  <si>
    <t>c++ +.5 bigger c?</t>
  </si>
  <si>
    <t>c++ +.5 c moved</t>
  </si>
  <si>
    <t>c+ +.5 q er but still c+</t>
  </si>
  <si>
    <t>loud hashy +.5 no change</t>
  </si>
  <si>
    <t>sparse c +.5 still c+ no change</t>
  </si>
  <si>
    <t>c+ +.5 fuzz still c tho</t>
  </si>
  <si>
    <t xml:space="preserve">loud hashy sparse c on ch1 +.5 fuzz k c+ </t>
  </si>
  <si>
    <t>q +.5 no change +.5 still no clear change</t>
  </si>
  <si>
    <t>c++ +.5 no change</t>
  </si>
  <si>
    <t>q hashy +.5 fuzz c+</t>
  </si>
  <si>
    <t>c+ +.5 fuzz c qer</t>
  </si>
  <si>
    <t>q hasht +.5 fuzz c coming</t>
  </si>
  <si>
    <t xml:space="preserve">qq +.5 no change +.5 still no chance  </t>
  </si>
  <si>
    <t>loud hashy c 60hz on ch4 no chlear change</t>
  </si>
  <si>
    <t xml:space="preserve">hashy c +.5 fuzz </t>
  </si>
  <si>
    <t>c+ +.5 still c+</t>
  </si>
  <si>
    <t>hashy c +.5 fuzz k c++</t>
  </si>
  <si>
    <t xml:space="preserve">small c +.5 maybe tiny fuzz </t>
  </si>
  <si>
    <t xml:space="preserve">hashy+.5 fuzz </t>
  </si>
  <si>
    <t>c++ +.5 fuzz def moving still c+</t>
  </si>
  <si>
    <t>q hashy +.5 no change</t>
  </si>
  <si>
    <t>hashy +.5 no hcange</t>
  </si>
  <si>
    <t>hashy c +.5 fuzz new c+</t>
  </si>
  <si>
    <t>c+ on ch1 +.5 c moved slightly</t>
  </si>
  <si>
    <t>c, +.5, fuzz, hasy lost cell</t>
  </si>
  <si>
    <t>c+, +.5, k, hash</t>
  </si>
  <si>
    <t>c++, +.5, no change</t>
  </si>
  <si>
    <t>q, +.5, no change</t>
  </si>
  <si>
    <t>c+, +.5, no change</t>
  </si>
  <si>
    <t>c, +.5, no change</t>
  </si>
  <si>
    <t>hashy, +.5, no change</t>
  </si>
  <si>
    <t>c+, +.5, c- hashy</t>
  </si>
  <si>
    <t>qq, +.5, might have picked up sparse cell, q</t>
  </si>
  <si>
    <t>c++, +.5, louder</t>
  </si>
  <si>
    <t>c, +.5, different c, more hashy</t>
  </si>
  <si>
    <t>c- hashy, +.5, no change</t>
  </si>
  <si>
    <t>distant sparse c, +.5, moght be closer to cell</t>
  </si>
  <si>
    <t>qq, +.5, fuzz to c+</t>
  </si>
  <si>
    <t>sparse c, +.5, no change, but probably moved</t>
  </si>
  <si>
    <t>c-, +.5, no change</t>
  </si>
  <si>
    <t>qq, +1, no change</t>
  </si>
  <si>
    <t>c+, +.5, fuzz, still c</t>
  </si>
  <si>
    <t>q +.5, no change</t>
  </si>
  <si>
    <t xml:space="preserve">loud hashy tiny c +.5 maybe c louder </t>
  </si>
  <si>
    <t>c on ch1 +.5 no change</t>
  </si>
  <si>
    <t xml:space="preserve">big c+ +.5 no change </t>
  </si>
  <si>
    <t>q hashy +.5 no clear change</t>
  </si>
  <si>
    <t>hashy +.5 no clear change looks diff from neighbors</t>
  </si>
  <si>
    <t>Lots of cells again, pushing down to find cc +1 or 2</t>
  </si>
  <si>
    <t>c+ +1 fuzz k fuzz c</t>
  </si>
  <si>
    <t>c+ +1 fuzz k still c but qer</t>
  </si>
  <si>
    <t>c++ +1 fuzz k new c</t>
  </si>
  <si>
    <t>c++ +1 fuzz k qer still c</t>
  </si>
  <si>
    <t>hashy +1 no clear change</t>
  </si>
  <si>
    <t>hashy c +1 no clear change</t>
  </si>
  <si>
    <t xml:space="preserve">c+ fuzz k much qer still c- +1 big fuzz qer still c </t>
  </si>
  <si>
    <t>hashy c +1 k fuzz hashy</t>
  </si>
  <si>
    <t xml:space="preserve">hashy c +1 fuzz new c  </t>
  </si>
  <si>
    <t>hasy +1 fuzz hashy q</t>
  </si>
  <si>
    <t xml:space="preserve">q hashy +1 no change +1 same </t>
  </si>
  <si>
    <t xml:space="preserve">c++ +1 fuzz k new c+ +1 fuzz k much qer </t>
  </si>
  <si>
    <t xml:space="preserve">q hashy c +1 fuzz maybe still c </t>
  </si>
  <si>
    <t>hashy c- +1 fuzz c+ +1 fuzz k hashy</t>
  </si>
  <si>
    <t>c+ +1 fuzz +1 fuzz k stil c++</t>
  </si>
  <si>
    <t xml:space="preserve">q hashy +1 fuzz </t>
  </si>
  <si>
    <t xml:space="preserve">qq +1 fuzz still q +1 big fuzz c+ </t>
  </si>
  <si>
    <t>hashy c +1 fuzz still c</t>
  </si>
  <si>
    <t>hashy c +1 fuzz qer</t>
  </si>
  <si>
    <t xml:space="preserve">c+ +1 fuzz c+ +1 fuzz new c+ </t>
  </si>
  <si>
    <t>c++ +1 fuzz big new c coming</t>
  </si>
  <si>
    <t>hashy, +1, no change</t>
  </si>
  <si>
    <t>hashy, c--, +1, no change</t>
  </si>
  <si>
    <t>Looking weird, unstable. Not ripply. q, +1, c, instability disappeared.</t>
  </si>
  <si>
    <t>c+, +1, lost c, then got a new one</t>
  </si>
  <si>
    <t>hashy, +1, fuzz, louder</t>
  </si>
  <si>
    <t>q, +1, no change</t>
  </si>
  <si>
    <t>q, +1, fuzz, hashy</t>
  </si>
  <si>
    <t>c++, +1, no change</t>
  </si>
  <si>
    <t>q, +1, fuzz, c, q</t>
  </si>
  <si>
    <t>hashy, +1, k, +1, fuzz, hashy</t>
  </si>
  <si>
    <t>q, +1, fuzz, hashy, +1, fuzz, hashy</t>
  </si>
  <si>
    <t>c++, +1, no change, +1, no change</t>
  </si>
  <si>
    <t>hashy, +1, no change, +1, no change</t>
  </si>
  <si>
    <t>c-, +1, no change, +1 no change</t>
  </si>
  <si>
    <t>c+, +1, no change, +1, no change</t>
  </si>
  <si>
    <t>c-, +1, no change</t>
  </si>
  <si>
    <t>c, +1, no change</t>
  </si>
  <si>
    <t>q, +1, louder, +1, fuzz, hashy</t>
  </si>
  <si>
    <t>hashy, c-, +1, c, +1, no change</t>
  </si>
  <si>
    <t>q, +1, no change, +1, no change</t>
  </si>
  <si>
    <t>qq, +1, no change, +1, no change</t>
  </si>
  <si>
    <t>q, +1, fuzz, +1, c+, lost cell, q def moved</t>
  </si>
  <si>
    <t>q hashy +1 no change +1 maybe c coming?</t>
  </si>
  <si>
    <t xml:space="preserve">q +1 no change +1 fuzz new c </t>
  </si>
  <si>
    <t>q hashy +1 no change</t>
  </si>
  <si>
    <t>hashy c- +1 no change</t>
  </si>
  <si>
    <t xml:space="preserve">q hashy +1 no change </t>
  </si>
  <si>
    <t>hashy c- +1 no chane</t>
  </si>
  <si>
    <t>hashy c +1 no change</t>
  </si>
  <si>
    <t>hashy q c- +1 still same c- no change</t>
  </si>
  <si>
    <t>hashy +1 no change +1 small c no clear change</t>
  </si>
  <si>
    <t>c+ +1 same cell, no clear chang</t>
  </si>
  <si>
    <t>ch1 has 60hz. q +.5 no clear change</t>
  </si>
  <si>
    <t>q +.5 fuzz q</t>
  </si>
  <si>
    <t xml:space="preserve">Lots of cells still, +1 </t>
  </si>
  <si>
    <t>q +1 fuzz c dying</t>
  </si>
  <si>
    <t>c+ fuzz k q er</t>
  </si>
  <si>
    <t>hashy no c +1 fuzz q c coming?</t>
  </si>
  <si>
    <t xml:space="preserve">q hashy +1 k qer </t>
  </si>
  <si>
    <t>hashy +1 no hcange</t>
  </si>
  <si>
    <t xml:space="preserve">q hashy +1 no hcnage </t>
  </si>
  <si>
    <t>q c+ +1 fuzz c leaving</t>
  </si>
  <si>
    <t>c+ +1 fuzz k new c</t>
  </si>
  <si>
    <t>q hashy +1 fuz k q</t>
  </si>
  <si>
    <t>hashy +1 fuzz c coming</t>
  </si>
  <si>
    <t>qq +1 no change</t>
  </si>
  <si>
    <t xml:space="preserve">q +1 fuzz c k </t>
  </si>
  <si>
    <t xml:space="preserve">hashy c- +1 fuzz new c </t>
  </si>
  <si>
    <t>c+ +1 fuzz k q</t>
  </si>
  <si>
    <t xml:space="preserve">hashy c- +1 fuzz qer </t>
  </si>
  <si>
    <t xml:space="preserve">q +1 tiny fuzz at end </t>
  </si>
  <si>
    <t>c on ch4 +1 no clear change</t>
  </si>
  <si>
    <t xml:space="preserve">c+ 60hz on ch4 +1 fuzz new c  </t>
  </si>
  <si>
    <t xml:space="preserve">q +1 fuzz q </t>
  </si>
  <si>
    <t>c+ +1 fuzz c going?</t>
  </si>
  <si>
    <t>q +1 no change</t>
  </si>
  <si>
    <t xml:space="preserve">hashy +1 fuzz delayed </t>
  </si>
  <si>
    <t xml:space="preserve">weird c on ch3 +1 fuzz k  </t>
  </si>
  <si>
    <t>c+ +1 fuzz qer</t>
  </si>
  <si>
    <t>q +1 fuzz q</t>
  </si>
  <si>
    <t>q  +1 fuzz new c-</t>
  </si>
  <si>
    <t>c+ +1 no change</t>
  </si>
  <si>
    <t>c +1 fuzz c gone</t>
  </si>
  <si>
    <t>c++ +1 no change +1 same</t>
  </si>
  <si>
    <t>hashy c- +1 o change</t>
  </si>
  <si>
    <t xml:space="preserve">c+ +1 no change </t>
  </si>
  <si>
    <t>c- +1 no change</t>
  </si>
  <si>
    <t>c+, +1, k, hashy</t>
  </si>
  <si>
    <t>c--, +1, no change</t>
  </si>
  <si>
    <t>q, +1, c-</t>
  </si>
  <si>
    <t>hashy, +1, c--, to q</t>
  </si>
  <si>
    <t>c+, +1, got closer to c</t>
  </si>
  <si>
    <t>c--, +1, louder</t>
  </si>
  <si>
    <t>hashy, +1, c</t>
  </si>
  <si>
    <t>hashy, +1, k, very quiet tetrode</t>
  </si>
  <si>
    <t>10/31//23</t>
  </si>
  <si>
    <t xml:space="preserve">c +1 c moved, dying </t>
  </si>
  <si>
    <t>c- +1 fuzz moved</t>
  </si>
  <si>
    <t xml:space="preserve">c +1 fuzz </t>
  </si>
  <si>
    <t>q hashy +1 fuzz c-</t>
  </si>
  <si>
    <t>hashy q +1 no change +1 no change</t>
  </si>
  <si>
    <t>q +1 no hcnage</t>
  </si>
  <si>
    <t>c++ +1 fuzz c qer</t>
  </si>
  <si>
    <t xml:space="preserve">c+ +1 fuzz </t>
  </si>
  <si>
    <t>hashy c +1 same +1 c+</t>
  </si>
  <si>
    <t>qq +1 ch3 weird no change</t>
  </si>
  <si>
    <t xml:space="preserve">c+ +1 fuzz k </t>
  </si>
  <si>
    <t>hashy +1 fuzz k q</t>
  </si>
  <si>
    <t>hashy +1 fuzz k 9</t>
  </si>
  <si>
    <t>c on ch4 +1 fuzz q</t>
  </si>
  <si>
    <t xml:space="preserve">c++ +1 fuzz ch4 unstable c++ </t>
  </si>
  <si>
    <t>c+ +1 fuzz  no more c</t>
  </si>
  <si>
    <t xml:space="preserve">c +1 fuzz k </t>
  </si>
  <si>
    <t>q +1 fuzz new c</t>
  </si>
  <si>
    <t>hashy +1 fuzz q</t>
  </si>
  <si>
    <t>q +1 tiny fuzz new c-</t>
  </si>
  <si>
    <t xml:space="preserve">hashy c +1 fuzz c+ </t>
  </si>
  <si>
    <t>hashy +1 fuzz k</t>
  </si>
  <si>
    <t>hashy c +1 fuzz k c+</t>
  </si>
  <si>
    <t>hashy +1 no change</t>
  </si>
  <si>
    <t>c+ +1 fuzz k new c +1 fuzz k r+! spread coming 400</t>
  </si>
  <si>
    <t xml:space="preserve">q +1 fuuzz clear r-! </t>
  </si>
  <si>
    <t>q c +1 c moved? q</t>
  </si>
  <si>
    <t>hashy +1 tiny c? 9</t>
  </si>
  <si>
    <t>c+ +1 same +1 ch1 and 4 died!?</t>
  </si>
  <si>
    <t>hashy c +1 same +1 fuzz, finally moved</t>
  </si>
  <si>
    <t>c++ +1 same +1 no hcange</t>
  </si>
  <si>
    <t>c+ +1 fuzz no c</t>
  </si>
  <si>
    <t xml:space="preserve">c++ +1 same +1 no change </t>
  </si>
  <si>
    <t>c+ +1 no change +1 same</t>
  </si>
  <si>
    <t>q +1  same +1 no change?</t>
  </si>
  <si>
    <t>c+ hashy +1 same +1 sa,e</t>
  </si>
  <si>
    <t xml:space="preserve">qq +1 maybe tiny deflection? +1 </t>
  </si>
  <si>
    <t>hashy +1 fuzz +1 fuzz k</t>
  </si>
  <si>
    <t>hashy +1 same +1 same</t>
  </si>
  <si>
    <t>hashy +1 no change +1 same</t>
  </si>
  <si>
    <t>c +1 same +1 no hcange</t>
  </si>
  <si>
    <t>q c- +1 no change</t>
  </si>
  <si>
    <t>q +1 no change +1 same</t>
  </si>
  <si>
    <t>q with c+ +1 no change</t>
  </si>
  <si>
    <t>c +1 no hcange +1 no change same c</t>
  </si>
  <si>
    <t>c+ +1 maybe qer? not much change</t>
  </si>
  <si>
    <t>q hashy +1 no hcange</t>
  </si>
  <si>
    <t xml:space="preserve">q +1 new c? </t>
  </si>
  <si>
    <t>60hz on all chans q +1 fuzz  new c</t>
  </si>
  <si>
    <t>find refs, get r- on more tets</t>
  </si>
  <si>
    <t xml:space="preserve">hashy c+ +1 c gone q </t>
  </si>
  <si>
    <t xml:space="preserve">q, c on ch1 +1 fuzz k now q </t>
  </si>
  <si>
    <t>q tiny c  +1 fuzz k q</t>
  </si>
  <si>
    <t>q +1 fuzz q tiny c on ch3</t>
  </si>
  <si>
    <t xml:space="preserve">q looks different +1 same +1 no change </t>
  </si>
  <si>
    <t>c++ +1 moving but still c+ +1 fuzz k q</t>
  </si>
  <si>
    <t>ref candidate, +.5 nohcange +.5 same q</t>
  </si>
  <si>
    <t xml:space="preserve">q +.5 fuzz +.5 fuzz new c </t>
  </si>
  <si>
    <t>hashy c +.5 fuzz +.5 fuzz q</t>
  </si>
  <si>
    <t xml:space="preserve">hashy c+ +1fuzz getting qer </t>
  </si>
  <si>
    <t xml:space="preserve">hashy +1 fuzz new c on ch1 +1 qq </t>
  </si>
  <si>
    <t xml:space="preserve">c+ +1 fuzz +.5 fuzz +.5 fuzz </t>
  </si>
  <si>
    <t xml:space="preserve">q +.5 q +.5 no change </t>
  </si>
  <si>
    <t>qq ref candidate but c on ch4 +.5 c moved +.5 q</t>
  </si>
  <si>
    <t xml:space="preserve">qq +.5 same +.5 tiny deflection </t>
  </si>
  <si>
    <t xml:space="preserve">qq +1 no change +.5 fuzz +.5  </t>
  </si>
  <si>
    <t xml:space="preserve">60hz on ch4 hashy +1 fuzz +.5 kk +.5 fuzz  </t>
  </si>
  <si>
    <t xml:space="preserve">qq +.5 same +.5 fuzz louder </t>
  </si>
  <si>
    <t>q +.5 same +.5 fuzz q</t>
  </si>
  <si>
    <t xml:space="preserve">q +.5 same +.5 fuzz </t>
  </si>
  <si>
    <t xml:space="preserve">q +1 no change +.5 same +.5  </t>
  </si>
  <si>
    <t>hashy +1 fuzz+.5 fuzz +.5 fuzz new c on ch4</t>
  </si>
  <si>
    <t>q c +1 deflection new c +1fuzz k q</t>
  </si>
  <si>
    <t xml:space="preserve">q +1 fuzz +1 fuzz k </t>
  </si>
  <si>
    <t>hashy +1 fuzz c+ +1 deflection q</t>
  </si>
  <si>
    <t xml:space="preserve">hashy +1 same +1 no change </t>
  </si>
  <si>
    <t>c+ +1 fuzz +1 k qq</t>
  </si>
  <si>
    <t xml:space="preserve">c+ +1 no hcange +1 same </t>
  </si>
  <si>
    <t>qq +.5 same +.5 maybe r---</t>
  </si>
  <si>
    <t>nice big r, still mostly up, 500uV splash leave</t>
  </si>
  <si>
    <t xml:space="preserve">clear small r no splash +1/8 </t>
  </si>
  <si>
    <t>q c- on ch4 +1 qer +1 q</t>
  </si>
  <si>
    <t>q +1 same +1 q</t>
  </si>
  <si>
    <t xml:space="preserve">hashy +1 same +1 same </t>
  </si>
  <si>
    <t>q +1 same +1 same +1 same</t>
  </si>
  <si>
    <t xml:space="preserve">c+ +1 same +1 same </t>
  </si>
  <si>
    <t>c+ on ch1 +1 still c +1 same</t>
  </si>
  <si>
    <t xml:space="preserve"> tiny c on ch1 but good ref candidate +.5 </t>
  </si>
  <si>
    <t xml:space="preserve">c++ +1 same +1 same +1 </t>
  </si>
  <si>
    <t>q hashy +1 fuzz q +1 fuzz k q</t>
  </si>
  <si>
    <t>c++ +1 same +1 same +1 same</t>
  </si>
  <si>
    <t>c++ +1 same +1 fuzz? same</t>
  </si>
  <si>
    <t>hashy c- +1 same +1 same</t>
  </si>
  <si>
    <t>c+ hashy +1 same +1 maybe c growing?</t>
  </si>
  <si>
    <t>q c +1 same +1 same</t>
  </si>
  <si>
    <t>c+ +1 fuzz k +1 fuzz q</t>
  </si>
  <si>
    <t>maybe good ref candidate but c on ch3 +1 same +1 same</t>
  </si>
  <si>
    <t>q +1 same +1 now very sparse c on ch2</t>
  </si>
  <si>
    <t xml:space="preserve">c+ +1 same c +1 no clear change </t>
  </si>
  <si>
    <t>q +1 same +1 14.5</t>
  </si>
  <si>
    <t>c+ +1 still same c +1 same</t>
  </si>
  <si>
    <t>q +1 same +1 same</t>
  </si>
  <si>
    <t xml:space="preserve">hashy c on ch1 +1 same +1 same </t>
  </si>
  <si>
    <t>qq +1 no change +1 same</t>
  </si>
  <si>
    <t xml:space="preserve">q +1 same +1 same </t>
  </si>
  <si>
    <t xml:space="preserve">q +1 c on ch4 +1 same c  </t>
  </si>
  <si>
    <t>c on ch4 +1 no hcange +1 same</t>
  </si>
  <si>
    <t xml:space="preserve">c+ +1 same +.5 +.5 no change </t>
  </si>
  <si>
    <t>q +.5 same +.5 same</t>
  </si>
  <si>
    <t>q c- on ch1 +1 same</t>
  </si>
  <si>
    <t>Get r - on more tets</t>
  </si>
  <si>
    <t xml:space="preserve">c+, +.5, +.5, </t>
  </si>
  <si>
    <t xml:space="preserve">q, +.5, +.5 fuzz, </t>
  </si>
  <si>
    <t>big 60hx on all ch then all good so weird, fuzz, +.5 60 disappeared, hashy, +.5, c</t>
  </si>
  <si>
    <t>q, +.5, r--</t>
  </si>
  <si>
    <t xml:space="preserve">hashy. +1, </t>
  </si>
  <si>
    <t>c+, +1, kill, q, +1, r--</t>
  </si>
  <si>
    <t xml:space="preserve">  q, +1, +.5, +.5</t>
  </si>
  <si>
    <t xml:space="preserve">c-, +.5, kill, +.5, </t>
  </si>
  <si>
    <t>hashy, +.5, c, +.5, +.5</t>
  </si>
  <si>
    <t xml:space="preserve">c++. +.5, +.5fuzz, +.5, q +.5, fuzz </t>
  </si>
  <si>
    <t>q, +1, +1</t>
  </si>
  <si>
    <t>c++, +.5, +.5</t>
  </si>
  <si>
    <t>c, hashy, +.5, +.5, k</t>
  </si>
  <si>
    <t>q, +.5, +.5, fuzz, +.5, k</t>
  </si>
  <si>
    <t xml:space="preserve">good ref candidate, +.5, </t>
  </si>
  <si>
    <t>q, +.5, +.5</t>
  </si>
  <si>
    <t>q, +.5, fuzz, +.5</t>
  </si>
  <si>
    <t>q, +.5, c, +.5, fuzz</t>
  </si>
  <si>
    <t xml:space="preserve">q, +.5, </t>
  </si>
  <si>
    <t>q, +.5, fuzz, c,</t>
  </si>
  <si>
    <t>q +.5, fuzz, +.5, c, +.5</t>
  </si>
  <si>
    <t>q, +.5, +.5, +.5, +.5</t>
  </si>
  <si>
    <t>hashy, +.5, fuzz, r-</t>
  </si>
  <si>
    <t>q, +.5, c--</t>
  </si>
  <si>
    <t>q, +.5, k, +.5, +.5, fuzz, c-</t>
  </si>
  <si>
    <t>hashy, +1, q, +.5</t>
  </si>
  <si>
    <t xml:space="preserve">q, +1, +1, </t>
  </si>
  <si>
    <t>q, +.5, fuzz, c, r---</t>
  </si>
  <si>
    <t>c--, +.5, +.5, +.5, +.5</t>
  </si>
  <si>
    <t>q, maybe r-, +.5, +.25, c, r-</t>
  </si>
  <si>
    <t>beautiful r, no splash</t>
  </si>
  <si>
    <t xml:space="preserve">r +1/8 200uv splash </t>
  </si>
  <si>
    <t xml:space="preserve">c++ +1 +1 no change </t>
  </si>
  <si>
    <t xml:space="preserve">q +1 nc +1 no chamge </t>
  </si>
  <si>
    <t xml:space="preserve">hashy c +1 nc +1 no change </t>
  </si>
  <si>
    <t xml:space="preserve">c- +2 ? </t>
  </si>
  <si>
    <t xml:space="preserve">qc +1 +1 no change </t>
  </si>
  <si>
    <t xml:space="preserve">c still on ch 1 and 4 +.5 +.5 no change +1 no change  </t>
  </si>
  <si>
    <t xml:space="preserve">good ref cand. c gone +.5 +.5 +.5 maybe similar to 33  </t>
  </si>
  <si>
    <t xml:space="preserve">c+ +2 no change </t>
  </si>
  <si>
    <t>q hashy +.5 c got louder +.5 qer maybe r--</t>
  </si>
  <si>
    <t xml:space="preserve">c++ +2 nothing </t>
  </si>
  <si>
    <t xml:space="preserve">c- +1 maybe qer +1 no change </t>
  </si>
  <si>
    <t xml:space="preserve">c +1 +1 no change </t>
  </si>
  <si>
    <t xml:space="preserve">c++, +1, +1, </t>
  </si>
  <si>
    <t>q, +.5, +.5, +.5, +.5, no change</t>
  </si>
  <si>
    <t>c- on ch2 +.5 +.5 +.5</t>
  </si>
  <si>
    <t>better ref than 41 +0</t>
  </si>
  <si>
    <t xml:space="preserve">q no more c +.5 +.5 +.5 +.5 </t>
  </si>
  <si>
    <t xml:space="preserve">c +1 +1 </t>
  </si>
  <si>
    <t xml:space="preserve">q +.5 +.5 something on ch 2 +1 </t>
  </si>
  <si>
    <t>c++ +1 +1 no change</t>
  </si>
  <si>
    <t xml:space="preserve">q +1 +1 no change has wavy thing </t>
  </si>
  <si>
    <t xml:space="preserve">hashy c on ch 1 2 +1 +1  no change </t>
  </si>
  <si>
    <t xml:space="preserve">q +1 +1 no change </t>
  </si>
  <si>
    <t xml:space="preserve">q c +.5 louder c +.5 c no clear change +.5  +.5 closer to c </t>
  </si>
  <si>
    <t xml:space="preserve">same c +1 +1 no change </t>
  </si>
  <si>
    <t>c ch4 +1 +1 no change womp womp</t>
  </si>
  <si>
    <t xml:space="preserve">c + +1 no change +1 still no change womp womp  </t>
  </si>
  <si>
    <t xml:space="preserve">q hashy +1/4 +1/4 +1/4 +1/4 no change  </t>
  </si>
  <si>
    <t xml:space="preserve">q +1/4 +1/4 maybe r-- +1/4  </t>
  </si>
  <si>
    <t xml:space="preserve">q r- +1/8 no change +1/8 more clear r  </t>
  </si>
  <si>
    <t>nice r- on many can1! push closer to cell layer</t>
  </si>
  <si>
    <t>r---? +.5 fuzz now r</t>
  </si>
  <si>
    <t xml:space="preserve">r-- +1/4 x2 </t>
  </si>
  <si>
    <t xml:space="preserve">r-- +1/4 def moved </t>
  </si>
  <si>
    <t>definitely shallower than others no r +1 +1 no change</t>
  </si>
  <si>
    <t>r-- +1/4 r-</t>
  </si>
  <si>
    <t xml:space="preserve">r-- +1/4 </t>
  </si>
  <si>
    <t>r--- +1/2 fuzz c r- +1/4 fuz +1/4 fuzz r growing</t>
  </si>
  <si>
    <t>r-1/8 r growing +1/8</t>
  </si>
  <si>
    <t>r- +1/4 +1/8x4</t>
  </si>
  <si>
    <t xml:space="preserve">flat no r +2 no change </t>
  </si>
  <si>
    <t>r- +1/8</t>
  </si>
  <si>
    <t xml:space="preserve">q r--- +1/2 fuzz +1/4 </t>
  </si>
  <si>
    <t>r-- +1/4 x2</t>
  </si>
  <si>
    <t>nice ref q no r</t>
  </si>
  <si>
    <t>r- +1/4 x2</t>
  </si>
  <si>
    <t>r--- +1/4 x3</t>
  </si>
  <si>
    <t xml:space="preserve">r--- +1/4 r growing +1/8 </t>
  </si>
  <si>
    <t xml:space="preserve">q +1/2 +1/4 fuzz </t>
  </si>
  <si>
    <t>r-- +1/2 +1/4 fizz splash growing</t>
  </si>
  <si>
    <t>ch2 really q +1/2 fuzz +1/4 new c +1/8</t>
  </si>
  <si>
    <t>q r---+1/4 x4 maybe growing</t>
  </si>
  <si>
    <t>r-- +1/4 x2 grwogin</t>
  </si>
  <si>
    <t>r-- +1/4 x3 fuzz r clearer</t>
  </si>
  <si>
    <t>r-- +1/2 +1/4 x2</t>
  </si>
  <si>
    <t xml:space="preserve">r- +1/4 +1/8 </t>
  </si>
  <si>
    <t xml:space="preserve">q no r +1 </t>
  </si>
  <si>
    <t>c+ no r +1 +1 no change</t>
  </si>
  <si>
    <t>r- +1/8x2 maybe growing</t>
  </si>
  <si>
    <t>nice r no splash leave</t>
  </si>
  <si>
    <t>nice r +1/4 200 splash</t>
  </si>
  <si>
    <t>c++ +2 no hange</t>
  </si>
  <si>
    <t>q hashy +2 no change</t>
  </si>
  <si>
    <t>hashy c +2 no change</t>
  </si>
  <si>
    <t>q +2 no change</t>
  </si>
  <si>
    <t xml:space="preserve">c +1 x2 nochange </t>
  </si>
  <si>
    <t>c+ +2 no change</t>
  </si>
  <si>
    <t>better ref than 50, maybe r--- leave</t>
  </si>
  <si>
    <t xml:space="preserve">c+ +2 </t>
  </si>
  <si>
    <t>r-- +1/2 x2 r-</t>
  </si>
  <si>
    <t>c++ +2 abandon</t>
  </si>
  <si>
    <t>hashy +2 no change</t>
  </si>
  <si>
    <t>c +1 x2 no change</t>
  </si>
  <si>
    <t>c+ +1 x2 no cange</t>
  </si>
  <si>
    <t>flat c- +2 no change no r</t>
  </si>
  <si>
    <t>r- +1/4 x4 no change</t>
  </si>
  <si>
    <t>seems maybe shallow ctx not cc, too diff from 41 - push +1/2 x4</t>
  </si>
  <si>
    <t xml:space="preserve">q, flat +1/2 x 4 no change </t>
  </si>
  <si>
    <t>c++ +1 +1 c bigger? no other change</t>
  </si>
  <si>
    <t>c on ch4 +1/2 x4 no change</t>
  </si>
  <si>
    <t>q hashy no r +1/2 x4</t>
  </si>
  <si>
    <t>hashy +1 x2 no change</t>
  </si>
  <si>
    <t>hashy c +1 x2 no change</t>
  </si>
  <si>
    <t xml:space="preserve">q +2 no change </t>
  </si>
  <si>
    <t>flat hashy c +2 no hcange no r</t>
  </si>
  <si>
    <t>flat hashy +2 no change</t>
  </si>
  <si>
    <t>c ch4 +2 no hcange</t>
  </si>
  <si>
    <t>flat hashy +1/2 x4 no clear change</t>
  </si>
  <si>
    <t>q pretty flat no r +1/2 x2 +1/4</t>
  </si>
  <si>
    <t>r- +1/4 def growing</t>
  </si>
  <si>
    <t>D15</t>
  </si>
  <si>
    <t>get bigger r on all moving tets</t>
  </si>
  <si>
    <t xml:space="preserve">r-- +1/4 x3 fuz </t>
  </si>
  <si>
    <t>r-- +1/4 x4</t>
  </si>
  <si>
    <t>r-- +1/4 x3 deflection</t>
  </si>
  <si>
    <t xml:space="preserve">r-- +1/4 fuzz +1/4 fuzz +1/4 x2 </t>
  </si>
  <si>
    <t>flat +1 no change +1 same</t>
  </si>
  <si>
    <t xml:space="preserve">c on ch4 +1/4 deflection +1/4 </t>
  </si>
  <si>
    <t>r--- +1/4 x4</t>
  </si>
  <si>
    <t>nice r! 300 uV spread +1/16 x2</t>
  </si>
  <si>
    <t xml:space="preserve">r--- +1/2 fuzz deflection +1/4 x3 c gone  </t>
  </si>
  <si>
    <t xml:space="preserve">small r no splash +1/8 x2 maybe louder </t>
  </si>
  <si>
    <t xml:space="preserve">r-- +1/4 fuzz +1/4 x2 fuzz new c </t>
  </si>
  <si>
    <t>r- +1/4 x2 new c growing</t>
  </si>
  <si>
    <t xml:space="preserve">nice q no r, small c on ch4 +1/8 fuzz k </t>
  </si>
  <si>
    <t>r- +1/4 x2 deflection</t>
  </si>
  <si>
    <t xml:space="preserve">super flat +1/2 new c on ch1 +1/2 fuzz +1/2 c gone now r- </t>
  </si>
  <si>
    <t xml:space="preserve">r- +1/8 no spalsh +1/8  x5 now slightly growing, new c </t>
  </si>
  <si>
    <t xml:space="preserve">r-- +1/2 +1/4 fuzz </t>
  </si>
  <si>
    <t xml:space="preserve">r-- c on ch3 +1/4 +1/8 x2 </t>
  </si>
  <si>
    <t xml:space="preserve">r-- +1/4 defclection +1/4 r bigger </t>
  </si>
  <si>
    <t>pretty flat, no clear r +1 x2 no hcange</t>
  </si>
  <si>
    <t xml:space="preserve">r--- c on ch4 +1/4 x3 deflection , c on ch4 gone? </t>
  </si>
  <si>
    <t xml:space="preserve">r- no spalsh +1/4 fuzz </t>
  </si>
  <si>
    <t>r--- +1/2x2 +1/4 r getting bigger</t>
  </si>
  <si>
    <t>nice r c+ but interneuron +1/8 x2 def moving</t>
  </si>
  <si>
    <t>nice r, no splash  +1/8 x3</t>
  </si>
  <si>
    <t xml:space="preserve">nice r, no splash +1/8 +1/16 </t>
  </si>
  <si>
    <t>great r +1/8 spread growing! 400uv</t>
  </si>
  <si>
    <t>awesome 700 uV spread, leave</t>
  </si>
  <si>
    <t xml:space="preserve">nice q </t>
  </si>
  <si>
    <t xml:space="preserve">r- no splash +1/8 x2  </t>
  </si>
  <si>
    <t xml:space="preserve">r- no splash +1/8 x2 </t>
  </si>
  <si>
    <t>q flat +1 x2 no change</t>
  </si>
  <si>
    <t>c on ch4 +1 x2 no hcnage</t>
  </si>
  <si>
    <t>q no r +1 x2 no change</t>
  </si>
  <si>
    <t xml:space="preserve">flat, q +1 x2 no hcange </t>
  </si>
  <si>
    <t>pretty flat/q +1/2 x2 +1 no change</t>
  </si>
  <si>
    <t xml:space="preserve">nice r 300uV splash +1/16x2 </t>
  </si>
  <si>
    <t>D17</t>
  </si>
  <si>
    <t>c r 200 splash +1/8 +1/16x2</t>
  </si>
  <si>
    <t>r-- +1/8 x6 maybeee getting slightly bigger</t>
  </si>
  <si>
    <t>r- 200 uv splash c +1/8 moving +1/16</t>
  </si>
  <si>
    <t>r--- +1/4 x2 +1/8 x2 r getting louder</t>
  </si>
  <si>
    <t>skip</t>
  </si>
  <si>
    <t xml:space="preserve">r- +1/8 x4 sounding louder </t>
  </si>
  <si>
    <t>r--- +1/4x4</t>
  </si>
  <si>
    <t>clear r but smaller splash (200uv) +1/8 x3</t>
  </si>
  <si>
    <t xml:space="preserve">r-- no splash +1/4 x4  </t>
  </si>
  <si>
    <t xml:space="preserve">r- no spalash +1/8 x4 </t>
  </si>
  <si>
    <t>r--- +1/4 x5 finally fuzz but still small r</t>
  </si>
  <si>
    <t xml:space="preserve">r--- +1/4 +1/4 x2 deflection +1/4 fuzz  </t>
  </si>
  <si>
    <t xml:space="preserve">small c now :(  +1/8 x2 small c +1/4 +1/8 better nope c back +1/8x3 </t>
  </si>
  <si>
    <t>r--- +1/4 x2 deflection +1/4 r much clearer</t>
  </si>
  <si>
    <t xml:space="preserve">nice r ch3 has flat/down rips but lame splash +1/16 x2 </t>
  </si>
  <si>
    <t>r--- +1/4 x2 r growing</t>
  </si>
  <si>
    <t>c+ but r-- +1/4 x4 c gone +1/4 new c deflection</t>
  </si>
  <si>
    <t xml:space="preserve">c+  but r- +1/4 x2 c moving +1/8  x2 </t>
  </si>
  <si>
    <t>r-- +1/4 x3 now r growing</t>
  </si>
  <si>
    <t>c no r +1 no change +1 same</t>
  </si>
  <si>
    <t xml:space="preserve">r-- +1/4 x4 </t>
  </si>
  <si>
    <t xml:space="preserve">clear r but no splash +1/8 x3  </t>
  </si>
  <si>
    <t xml:space="preserve">r-- +1/4 x2 better 1/8 </t>
  </si>
  <si>
    <t>clear r 200 splash +1/8 x3</t>
  </si>
  <si>
    <t>r- +1/8 x2 fuzz r bigger</t>
  </si>
  <si>
    <t xml:space="preserve">clear r no splash +1/8 x3  </t>
  </si>
  <si>
    <t>60 hz noise,  no spalsh +1/8 splash growing</t>
  </si>
  <si>
    <t>great 1000 spread , leave</t>
  </si>
  <si>
    <t>r- +1/4 +1/8 growing</t>
  </si>
  <si>
    <t xml:space="preserve">clear r +1/8 x4 </t>
  </si>
  <si>
    <t xml:space="preserve">300 uv splash +1/8 </t>
  </si>
  <si>
    <t>D18</t>
  </si>
  <si>
    <t>1/8, 1/8, 1/8, 1/8, picked up some cells, c-, splash 200uv</t>
  </si>
  <si>
    <t>1/8, c+, splash 211uv</t>
  </si>
  <si>
    <t>1/8, 1/8, 1/8, 1/8, maybe some cells</t>
  </si>
  <si>
    <t>moved 1/8, c+</t>
  </si>
  <si>
    <t>1/8, 1/8, 1/8, 1/8, no real change, checked later and found c+++</t>
  </si>
  <si>
    <t>1/8, 1/8, noticably louder, no c</t>
  </si>
  <si>
    <t>1/8, 1/8, 1/8, 1/8, louder but no change to splash</t>
  </si>
  <si>
    <t xml:space="preserve">1/8, c+, splash growing, ~200uv, </t>
  </si>
  <si>
    <t>1/8, 1/8, splash 220uv, c++</t>
  </si>
  <si>
    <t>1/8, 1/8, 1/8, 1/8, c++, spalsh 361</t>
  </si>
  <si>
    <t>1/4, 1/4, c</t>
  </si>
  <si>
    <t>1/4, 1/4, 1/8, 1/8, no cells but r++</t>
  </si>
  <si>
    <t>retract 1/4, c+, 1/4, 1/4, 1/4, cell moved to different channels, 1/4, 1/4, c++, 1/4, 1/4, cell has moved to different channels. so many c++</t>
  </si>
  <si>
    <t>moved 1/8, 1/8, 1/8, k, lots of activity</t>
  </si>
  <si>
    <t>down 1/16, 1/16, splash 336uv</t>
  </si>
  <si>
    <t>down 1/8, 1/8, 1/8, 1/8, louder, r, no cells</t>
  </si>
  <si>
    <t xml:space="preserve">c+, down 1/8, 1/8, splash 236uv </t>
  </si>
  <si>
    <t>c++, 1/8, splash spreading, 300uv</t>
  </si>
  <si>
    <t>q, r-, 1/8, 1/8, 1/8, 1/8, still q, but r+</t>
  </si>
  <si>
    <t>r--, 1/8, 1/8, 1/8, 1/8, c+ r+</t>
  </si>
  <si>
    <t>r, 1/8, 1/8, 1/8, c--</t>
  </si>
  <si>
    <t>down 1/16 x4, r+, no splash</t>
  </si>
  <si>
    <t>r, no splash, 1/8, 1/8, 1/8, splash growing</t>
  </si>
  <si>
    <t>r, c--, 1/8, 1/8, 1/8, 1/8, no real change</t>
  </si>
  <si>
    <t>close, 1/16, 1/16, 1/16, starting to see some c</t>
  </si>
  <si>
    <t xml:space="preserve">move in 1/16, maybe up to 2 r +1/16 +1/16 slight growth in splash </t>
  </si>
  <si>
    <t>spread 1300, no touch</t>
  </si>
  <si>
    <t xml:space="preserve">move by 1/8, max 1/4 r- +1/8 +1/8 no change </t>
  </si>
  <si>
    <t xml:space="preserve">same as yesterday, up to 1/4 r +1/8 +1/8 deflection </t>
  </si>
  <si>
    <t xml:space="preserve">450uv splash, move 1/16, up to 1/8 +1/16 splash growing </t>
  </si>
  <si>
    <t>D19</t>
  </si>
  <si>
    <t>c++, 336uv splash, r++, +1/16, splash growing, c++++</t>
  </si>
  <si>
    <t>r, +1/8 *4, r+, 1/8 *2, k, growing splash, c+</t>
  </si>
  <si>
    <t>small spalsh, r-, +1/8*4</t>
  </si>
  <si>
    <t>236uv splash, couple c, +1/8*3, growing splash</t>
  </si>
  <si>
    <t>r-, maybe distant c, 1/16*5, fuzz, cells on spalsh, r+</t>
  </si>
  <si>
    <t>r, 1/8*2, big fuzz, growing splash</t>
  </si>
  <si>
    <t>r-, 1/8*1, 1/16*2</t>
  </si>
  <si>
    <t>r-, 1/8*8, k, c-, growing splash</t>
  </si>
  <si>
    <t>r c++, 200uv splash, 1/16*3</t>
  </si>
  <si>
    <t>r+, c++, 236uv, 1/16*2</t>
  </si>
  <si>
    <t>r--, 1/4*5, beter r</t>
  </si>
  <si>
    <t>r, 1/8*3, cell incoming</t>
  </si>
  <si>
    <t>Still has c++, -1/4,  c- on ch4 but lost c++ on ch1, -1/2, new c++, -1/2, -/14. Still has c</t>
  </si>
  <si>
    <t xml:space="preserve">280 splash  1/16, 1/16 r slightly bigger splash grew </t>
  </si>
  <si>
    <t xml:space="preserve">r++ no splash 1/16, 1/16 no change   </t>
  </si>
  <si>
    <t>r- no splash 1/8x4 better r 1/8x3</t>
  </si>
  <si>
    <t xml:space="preserve">c+ 1/8, 1/8, 1/8, 1/8 fuzz k </t>
  </si>
  <si>
    <t xml:space="preserve">c++ r-- splash wimpy 1/8, 1/8, 1/8, 1/8, 1/8 fuzz  </t>
  </si>
  <si>
    <t xml:space="preserve">q r--  1/8x3 better r </t>
  </si>
  <si>
    <t xml:space="preserve">r-- 1/8x4 better r </t>
  </si>
  <si>
    <t xml:space="preserve">splash 336 1/16 </t>
  </si>
  <si>
    <t>wimpy r 1/8x4 better r louder</t>
  </si>
  <si>
    <t xml:space="preserve">Splash 300 r 1/16x2 splash growing  </t>
  </si>
  <si>
    <t xml:space="preserve">r- 1/8x3 fuzz better r </t>
  </si>
  <si>
    <t xml:space="preserve">baby r no splash 1/8x4 clear c and better r  </t>
  </si>
  <si>
    <t>Looks downward r</t>
  </si>
  <si>
    <t>Big splash, 1130uv</t>
  </si>
  <si>
    <t xml:space="preserve">r- 1/8x2 better r  </t>
  </si>
  <si>
    <t xml:space="preserve">r- 1/8x3 better r </t>
  </si>
  <si>
    <t xml:space="preserve">600uv splash 1/16 </t>
  </si>
  <si>
    <t>d20</t>
  </si>
  <si>
    <t xml:space="preserve">r+ 330uv +1/16x2 splash growing </t>
  </si>
  <si>
    <t xml:space="preserve">r 400uv splash +1/16 c moved </t>
  </si>
  <si>
    <t>r+ wimpy splash +1/16x4splash changing</t>
  </si>
  <si>
    <t xml:space="preserve">r wimpy splash +1/16x5 splashin growing </t>
  </si>
  <si>
    <t xml:space="preserve">r+ splash wimpy +1/16x2 splash growing </t>
  </si>
  <si>
    <t xml:space="preserve">r really small splash +1/16x8 no change  </t>
  </si>
  <si>
    <t xml:space="preserve">60 cycle noise r- +1/16x7 splash growing </t>
  </si>
  <si>
    <t xml:space="preserve">r smallish splash +1/16x2 </t>
  </si>
  <si>
    <t xml:space="preserve">r 200uv splash +1/16x7 splash growing </t>
  </si>
  <si>
    <t xml:space="preserve">r 300uv splash +1/16x6 no change still got c </t>
  </si>
  <si>
    <t xml:space="preserve">r- +1/8x4 better r +1/8 clear sound r </t>
  </si>
  <si>
    <t xml:space="preserve">r c +1/8x5 bigger r </t>
  </si>
  <si>
    <t xml:space="preserve">turning around! +1 +5/8 huge fuzz </t>
  </si>
  <si>
    <t>small splash, maybe 250uv, r++, 1/16*4</t>
  </si>
  <si>
    <t>r++, very weird, ripples are up, 1/16*3</t>
  </si>
  <si>
    <t>r, 1/8*3, bigger r, 1/16*1, started picking up small c, r+</t>
  </si>
  <si>
    <t>good sharp wave, not much r, small aberrant c, +1/8*3, big c, 611uv splash</t>
  </si>
  <si>
    <t>small splash, r-, 1/8*2, bigger r, 1/16*3, growing spalsh, c++</t>
  </si>
  <si>
    <t>r, 1/16*3. r++</t>
  </si>
  <si>
    <t>r, no splash, 1/16*6, growing splash, 261uv</t>
  </si>
  <si>
    <t>511uv splash, 1/16*3, leaving here to marinate, c++</t>
  </si>
  <si>
    <t>r-, 1/16*3, starting to pick up cells</t>
  </si>
  <si>
    <t>c, wimpy splash, r+++, 1/16*2, more c</t>
  </si>
  <si>
    <t>r+, wimpy splash, 1/16*2, growing splash</t>
  </si>
  <si>
    <t>baby splash, 1/16*2, similar splash</t>
  </si>
  <si>
    <t xml:space="preserve">r +1/16 downward r </t>
  </si>
  <si>
    <t xml:space="preserve">still nice 1300uv not moving </t>
  </si>
  <si>
    <t xml:space="preserve">300 uv splash +1/16x2 </t>
  </si>
  <si>
    <t>nice r, some up, some down, some flat. +1/16x2</t>
  </si>
  <si>
    <t xml:space="preserve">800 spread leave </t>
  </si>
  <si>
    <t>D21</t>
  </si>
  <si>
    <t xml:space="preserve">250 splash interneuron +1/16x3 growing </t>
  </si>
  <si>
    <t xml:space="preserve">300 uv splash +1/16 x3 fuzz </t>
  </si>
  <si>
    <t>200 splash +1/16 x6</t>
  </si>
  <si>
    <t xml:space="preserve">200 uv splash +1./16 x4 big fuzz </t>
  </si>
  <si>
    <t>300 splash +1/16 x5</t>
  </si>
  <si>
    <t>small r, no splash +1/8x4</t>
  </si>
  <si>
    <t xml:space="preserve">350 splash +1/16 x5 </t>
  </si>
  <si>
    <t>wimpy splash +1/16 x5</t>
  </si>
  <si>
    <t>wimpy splash +1/16 x3 c+ growing</t>
  </si>
  <si>
    <t>wimpy splash +1/16 x6</t>
  </si>
  <si>
    <t>300 splash +1/16 x4</t>
  </si>
  <si>
    <t>300 uv splash +1/16 x4</t>
  </si>
  <si>
    <t xml:space="preserve">c+ +1/18 x2 fuzz +1/18 c+ 1/8x2 k  1/8 x2k 1/8x2  </t>
  </si>
  <si>
    <t>200 uv splash +1/16 r up/flat x2</t>
  </si>
  <si>
    <t xml:space="preserve">r flat wimpy splash +1/16 now new c and r up? </t>
  </si>
  <si>
    <t>wimpy splash +1/16 x4 no change</t>
  </si>
  <si>
    <t>wimpy 200 uv splash +1/16x4</t>
  </si>
  <si>
    <t>wimpy splash +1/16x5 growing big</t>
  </si>
  <si>
    <t>wimpy splash  +1/16 x4 growing</t>
  </si>
  <si>
    <t>300 splash +1/16 x3</t>
  </si>
  <si>
    <t>1200 spread leave</t>
  </si>
  <si>
    <t xml:space="preserve">500 splash +1/16 x2 growing </t>
  </si>
  <si>
    <t>400 uv splash +1/16x3 no change</t>
  </si>
  <si>
    <t>650 splash +1/16 growing</t>
  </si>
  <si>
    <t xml:space="preserve">300 splash +1/16 x3 splash moving </t>
  </si>
  <si>
    <t>300 splash,. r down - leave</t>
  </si>
  <si>
    <t>1000 uv spread leave</t>
  </si>
  <si>
    <t>nice qq</t>
  </si>
  <si>
    <t>700 spread 1/16 x2 no change</t>
  </si>
  <si>
    <t>wimpy splash, r up 1/16 x7</t>
  </si>
  <si>
    <t>700 spread leave</t>
  </si>
  <si>
    <t>D22</t>
  </si>
  <si>
    <t>800 spread +1/16</t>
  </si>
  <si>
    <t>630 spread +1/16</t>
  </si>
  <si>
    <t>600 spread +1/16 x2</t>
  </si>
  <si>
    <t>400 splash +1/16 x4</t>
  </si>
  <si>
    <t>400 splash +1/16x3 growing</t>
  </si>
  <si>
    <t>small r, lame spalsh +1/16 x8</t>
  </si>
  <si>
    <t>500 splash +1/16 growing</t>
  </si>
  <si>
    <t>huge interneuron 500 spread few other cells tho 1/16 fuzz moving</t>
  </si>
  <si>
    <t xml:space="preserve">250 splash +1/16 x4 </t>
  </si>
  <si>
    <t>200 splash +1/16 x4</t>
  </si>
  <si>
    <t>200 splash +1/16 x4 growing</t>
  </si>
  <si>
    <t xml:space="preserve">900 splash! +1/16 </t>
  </si>
  <si>
    <t>actually nice and q!! tiny c maybe on ch2, keep an eye on</t>
  </si>
  <si>
    <t>300 splash +1/16 x4 growing?</t>
  </si>
  <si>
    <t>300 splash, more clustery +1/16x3</t>
  </si>
  <si>
    <t xml:space="preserve">300 splasg +1/16 x3 r down on ch2 </t>
  </si>
  <si>
    <t>250 splash +1/16 x3 fuzz growing</t>
  </si>
  <si>
    <t>450 splash +1/16 moving</t>
  </si>
  <si>
    <t>200 splash +1/16 x4 fuzz growing</t>
  </si>
  <si>
    <t>300 splash +1/16 x4 no hange</t>
  </si>
  <si>
    <t>600 splash c gone r up +1/16 x3 no change</t>
  </si>
  <si>
    <t>400 splash +1/16 x2 growing</t>
  </si>
  <si>
    <t>400 splasg +1/16 x2  growing</t>
  </si>
  <si>
    <t>400 splash +1/16x6 no change</t>
  </si>
  <si>
    <t>350 splash +1/16x6 no change</t>
  </si>
  <si>
    <t>r still down, leave</t>
  </si>
  <si>
    <t>1100 spread leave</t>
  </si>
  <si>
    <t xml:space="preserve">500 sspread 1/16 </t>
  </si>
  <si>
    <t>wimpy splash +1/16 x10</t>
  </si>
  <si>
    <t>D24</t>
  </si>
  <si>
    <t>1300 spread, leave</t>
  </si>
  <si>
    <t>200 splash r up/flat +1/16 x2</t>
  </si>
  <si>
    <t>600 spread but super clustery, leave</t>
  </si>
  <si>
    <t>super lame splash, r mixed +1/16 x3 r centered/down</t>
  </si>
  <si>
    <t>500 splash, nice clusters, r centered, leave</t>
  </si>
  <si>
    <t>still huge interneuron450 spread +1/16 x2 moving</t>
  </si>
  <si>
    <t>200 splash +1/16 x2</t>
  </si>
  <si>
    <t xml:space="preserve">200 splash r up +1/16 x2 </t>
  </si>
  <si>
    <t>400 spread  r centered, leave</t>
  </si>
  <si>
    <t>550 splash +1/16</t>
  </si>
  <si>
    <t>nice q, no rips, tiny c maybe on ch2</t>
  </si>
  <si>
    <t>300 splash r pretty down</t>
  </si>
  <si>
    <t>300 splash, r mixed many down, leave</t>
  </si>
  <si>
    <t>200 splash, r down, leave</t>
  </si>
  <si>
    <t xml:space="preserve">250 splash +1/16 fuzz </t>
  </si>
  <si>
    <t>400 spread, r mixed, leave</t>
  </si>
  <si>
    <t>400 splash, promising clusters r centered/down, leave</t>
  </si>
  <si>
    <t>300 splash r centered , leave</t>
  </si>
  <si>
    <t>400 splash +1/16</t>
  </si>
  <si>
    <t>450 splash +1/16</t>
  </si>
  <si>
    <t xml:space="preserve">600 spread </t>
  </si>
  <si>
    <t>550 spread +1/16 no change</t>
  </si>
  <si>
    <t>250 splash, r up +1/16x2</t>
  </si>
  <si>
    <t>lame splash, pull up 1 by eights. immediately turns around and r get centered by 1/2 turn up. still nice r, now up. up another turn slowly now qq no r</t>
  </si>
  <si>
    <t>800 spread leave</t>
  </si>
  <si>
    <t xml:space="preserve">nice </t>
  </si>
  <si>
    <t>500 spread clustery, leave</t>
  </si>
  <si>
    <t>wimpy splash +1/16 x4</t>
  </si>
  <si>
    <t>D25</t>
  </si>
  <si>
    <t>1000 spread leave</t>
  </si>
  <si>
    <t>900 psread leave</t>
  </si>
  <si>
    <t>550 splash r up +1/16 growing</t>
  </si>
  <si>
    <t>650 spread, r centered/down leave</t>
  </si>
  <si>
    <t xml:space="preserve">200 splash r centered +1/16 K?! </t>
  </si>
  <si>
    <t>500 spread, nice clusters</t>
  </si>
  <si>
    <t>still have huge interneuron, r up push</t>
  </si>
  <si>
    <t xml:space="preserve">200 splash r mixed/flat +1/16 x3 </t>
  </si>
  <si>
    <t xml:space="preserve">200 splash, 1 c r up +1/16 x4 </t>
  </si>
  <si>
    <t>350 splash +1/16</t>
  </si>
  <si>
    <t>550 splash +1/16 growing</t>
  </si>
  <si>
    <t>bigger c on ch2 but ch1 nice and q</t>
  </si>
  <si>
    <t xml:space="preserve">300 splash r down pull up -1/8 x8 still small r, now flat qq </t>
  </si>
  <si>
    <t xml:space="preserve">300 splash r mixed </t>
  </si>
  <si>
    <t>wimpy spalsh r down -1/8 x 3 growing, r more centere</t>
  </si>
  <si>
    <t xml:space="preserve">250 splash r way down, turn around -1/8 x5 r more flat/ up and maybe spread coming, leave there </t>
  </si>
  <si>
    <t xml:space="preserve">400 splash r </t>
  </si>
  <si>
    <t>350 splash cluster leave</t>
  </si>
  <si>
    <t xml:space="preserve">300 splasha r dwon </t>
  </si>
  <si>
    <t>1100 spread new c! leave</t>
  </si>
  <si>
    <t>400 spread leave</t>
  </si>
  <si>
    <t>500 spread +1/16 growing</t>
  </si>
  <si>
    <t>450 spread leave</t>
  </si>
  <si>
    <t>300 splash r up +1/16 x2</t>
  </si>
  <si>
    <t>super flat cc leave for today</t>
  </si>
  <si>
    <t xml:space="preserve">450 spread clustery </t>
  </si>
  <si>
    <t>super lame splash r up +1/16 x5 r growing</t>
  </si>
  <si>
    <t xml:space="preserve">650 spread </t>
  </si>
  <si>
    <t xml:space="preserve">900 spread </t>
  </si>
  <si>
    <t>1300 spread awesome!</t>
  </si>
  <si>
    <t>500 spread clustery</t>
  </si>
  <si>
    <t>r down lame splash</t>
  </si>
  <si>
    <t>600 spread clustery</t>
  </si>
  <si>
    <t>r down now, still huge interneuron and not muchelse</t>
  </si>
  <si>
    <t>wimpy splash, r flat/down</t>
  </si>
  <si>
    <t>300 splash, mixed r</t>
  </si>
  <si>
    <t>300 splash r flat/down</t>
  </si>
  <si>
    <t>300 splash r down</t>
  </si>
  <si>
    <t>c on ch 2 and 4 now</t>
  </si>
  <si>
    <t>still r--- so pull up more</t>
  </si>
  <si>
    <t>r mixed 300 plsahs</t>
  </si>
  <si>
    <t>250 splash r dwn</t>
  </si>
  <si>
    <t>250 splash r mixed, pull more up</t>
  </si>
  <si>
    <t>400 splash</t>
  </si>
  <si>
    <t>300 spread but clustery</t>
  </si>
  <si>
    <t xml:space="preserve">330 splash </t>
  </si>
  <si>
    <t xml:space="preserve">1300 spread! </t>
  </si>
  <si>
    <t>700 spread nice and cluster</t>
  </si>
  <si>
    <t xml:space="preserve">450 spread  </t>
  </si>
  <si>
    <t xml:space="preserve">400 splash r up </t>
  </si>
  <si>
    <t xml:space="preserve">1000 spread </t>
  </si>
  <si>
    <t xml:space="preserve">900 spread!! </t>
  </si>
  <si>
    <t xml:space="preserve">r still up, wimpy splash </t>
  </si>
  <si>
    <t xml:space="preserve">1000 spread! </t>
  </si>
  <si>
    <t>350 spread, somewhat clustery</t>
  </si>
  <si>
    <t>r pull up because of super lame spread -1/8 x 8 still r mixd, lame spllash -1/8 x 8 deflection, now r- -1 turn now r---</t>
  </si>
  <si>
    <t xml:space="preserve">r huge interneuron keep going down +1/16 x4 def moving, 2 cells </t>
  </si>
  <si>
    <t>r lame spread  push it lil bit +1/16 x3</t>
  </si>
  <si>
    <t>150 spread psuh it a lil bit +1/16 3</t>
  </si>
  <si>
    <t xml:space="preserve">300 splash r down keeping it clustery </t>
  </si>
  <si>
    <t xml:space="preserve">300 splash flat/ down r keep it </t>
  </si>
  <si>
    <t xml:space="preserve">c still on ch 2 dive it down +1/8 x8 fuzz still no r +1/8 x8 still no r +1/18 x4  </t>
  </si>
  <si>
    <t xml:space="preserve">still r--, keep pulling up -1/8 x8 </t>
  </si>
  <si>
    <t>r down pull up -1/8 x5 c coming leave</t>
  </si>
  <si>
    <t xml:space="preserve">r down pull up -1/8 x3 </t>
  </si>
  <si>
    <t>350 r down pull up a lil -1/16 x3growing</t>
  </si>
  <si>
    <t>350 spread clustered r down dont touch</t>
  </si>
  <si>
    <t>300 spread clustered r down dont touch</t>
  </si>
  <si>
    <t>lame spread r down pull up -1/16 x4 lookign more down -1/16 x11 grwoing</t>
  </si>
  <si>
    <t xml:space="preserve">1100 spread leave it </t>
  </si>
  <si>
    <t xml:space="preserve">350 spread clustering leave it </t>
  </si>
  <si>
    <t xml:space="preserve">900 spread dont touch </t>
  </si>
  <si>
    <t xml:space="preserve">400 spread clustery leave it </t>
  </si>
  <si>
    <t xml:space="preserve">r mixed + 1/16 x3 no clear change </t>
  </si>
  <si>
    <t xml:space="preserve">push down r-- +1/8 x4 deflection, r bigger </t>
  </si>
  <si>
    <t xml:space="preserve">800 spread leave it </t>
  </si>
  <si>
    <t xml:space="preserve">800 spread </t>
  </si>
  <si>
    <t xml:space="preserve">wimpy splash r still up +1/16 x9 no change </t>
  </si>
  <si>
    <t xml:space="preserve">300 splash,  r down, -1/16 x 12  spalsh growing </t>
  </si>
  <si>
    <t xml:space="preserve">no r and now just noise splash, push down +1/8 x8 still no r +1/8x4 fuzz deflection r- coming  </t>
  </si>
  <si>
    <t xml:space="preserve">650 spread clustery </t>
  </si>
  <si>
    <t xml:space="preserve">no more interneuron 400 spread </t>
  </si>
  <si>
    <t xml:space="preserve">r lame spread </t>
  </si>
  <si>
    <t xml:space="preserve">250 spread r still up +1/16 x6 no change </t>
  </si>
  <si>
    <t>300 spread nice and clustery r down leave</t>
  </si>
  <si>
    <t>300 splash not clustery, r down -1/16 x2 maybe growing?</t>
  </si>
  <si>
    <t>r-- 250 spread interneuron +1/8 x4   r growing, cell leaving</t>
  </si>
  <si>
    <t xml:space="preserve">noise and q, no r +1/8 x 8 still no r +1/8x4 r--- </t>
  </si>
  <si>
    <t xml:space="preserve">300 spread </t>
  </si>
  <si>
    <t xml:space="preserve">maybe an interneuron, r still down -1/16 x4 splash changing </t>
  </si>
  <si>
    <t>350 spread but clustery</t>
  </si>
  <si>
    <t>300 spread nice clusters r way down leave</t>
  </si>
  <si>
    <t xml:space="preserve">400 spread still got r </t>
  </si>
  <si>
    <t xml:space="preserve">350 spread clustery </t>
  </si>
  <si>
    <t xml:space="preserve">430 spread nie clusters </t>
  </si>
  <si>
    <t xml:space="preserve">super lame spread now r down </t>
  </si>
  <si>
    <t xml:space="preserve">r--- +1/18x2 deflection, r growing +1/16 x2 </t>
  </si>
  <si>
    <t xml:space="preserve">at least 600 spread </t>
  </si>
  <si>
    <t xml:space="preserve">still r up, wimpy splash +1/16x4maybe r growing </t>
  </si>
  <si>
    <t xml:space="preserve">300 spread pull up -1/16X5 spread growing </t>
  </si>
  <si>
    <t>350 spread -1/16x3 spread growin g</t>
  </si>
  <si>
    <t xml:space="preserve">super sharp noise cluster nothing real +1/16X10 r getting better </t>
  </si>
  <si>
    <t>r lame apread again</t>
  </si>
  <si>
    <t xml:space="preserve">all noise cluster r - +1/8X5 no change  </t>
  </si>
  <si>
    <t xml:space="preserve">300 spread pull up -1/16x23 centered r </t>
  </si>
  <si>
    <t xml:space="preserve">lame spread -1/16x14 r is up splash growing </t>
  </si>
  <si>
    <t xml:space="preserve">interneuron on ch 1 and 2 r-- +1/16x4 no change </t>
  </si>
  <si>
    <t>noise and q r-- +1/8x5</t>
  </si>
  <si>
    <t xml:space="preserve">noise &gt;200 splash </t>
  </si>
  <si>
    <t xml:space="preserve">r 200 splash  mixed r direction </t>
  </si>
  <si>
    <t xml:space="preserve">550 spread </t>
  </si>
  <si>
    <t>350 spread mayble pull up r down, -1/8*2, -1/16x*2, kill, more active, centered r. 400 splash now</t>
  </si>
  <si>
    <t>300 spread nice clusters r way down pull up, -1/16*11</t>
  </si>
  <si>
    <t xml:space="preserve">350 spread </t>
  </si>
  <si>
    <t xml:space="preserve"> 600 spread clustery </t>
  </si>
  <si>
    <t xml:space="preserve">250 spread centered r, -1/16*8 </t>
  </si>
  <si>
    <t xml:space="preserve">700 spread </t>
  </si>
  <si>
    <t>350 spread pull up, -1/16x3, changing splash</t>
  </si>
  <si>
    <t>300 splash maybe pull up, -1/16x4, centered r, just one big c++</t>
  </si>
  <si>
    <t xml:space="preserve">200 splash push and push tomrrow +1/16X2 </t>
  </si>
  <si>
    <t xml:space="preserve">watch out for ap on ch 4 </t>
  </si>
  <si>
    <t xml:space="preserve">r bad splash </t>
  </si>
  <si>
    <t xml:space="preserve">750 spread </t>
  </si>
  <si>
    <t>move some to optimize, others drop down after retraction</t>
  </si>
  <si>
    <t>check and keep pushing. +1/8x2, +1/16x8 r++</t>
  </si>
  <si>
    <t>300 spread very clustered, maybe -2/16. -1/16x2</t>
  </si>
  <si>
    <t>lame, 200 spread maybe, down slightly. +1/16x1. spread growing</t>
  </si>
  <si>
    <t>prob stuck check and then move on. looks the same</t>
  </si>
  <si>
    <t>down slightly. +1/16x4</t>
  </si>
  <si>
    <t>430 spread</t>
  </si>
  <si>
    <t>big ol interneuron. down 2/8 at most. +1/16x6. Let it marinate. c++ moved</t>
  </si>
  <si>
    <t>interneuron, +1/16x3. spread growing</t>
  </si>
  <si>
    <t>250 splash</t>
  </si>
  <si>
    <t>330 spread but looks like artifact</t>
  </si>
  <si>
    <t>260 splash, centered r, -1/16x2. spread changing</t>
  </si>
  <si>
    <t>-1/8x18, still prominant sharpwave. starting to get flat. spread starting to show up</t>
  </si>
  <si>
    <t>pull up. -1/8x2</t>
  </si>
  <si>
    <t xml:space="preserve">keep pushing SUBTLE 2 1/16 max. 1/16x2. No real change. r centered </t>
  </si>
  <si>
    <t>still a c on ch 4</t>
  </si>
  <si>
    <t>1k spread</t>
  </si>
  <si>
    <t xml:space="preserve">950 spread </t>
  </si>
  <si>
    <t>no turns today</t>
  </si>
  <si>
    <t>300 spread. clustered</t>
  </si>
  <si>
    <t>630 spread</t>
  </si>
  <si>
    <t>250 spread. mostly interneuron</t>
  </si>
  <si>
    <t>good r but no cells</t>
  </si>
  <si>
    <t>360 spread</t>
  </si>
  <si>
    <t>1000 spread. still big interneuron, but other cells coming out too</t>
  </si>
  <si>
    <t>200 splash r mixed</t>
  </si>
  <si>
    <t xml:space="preserve">weird splash - multiple big spikes coming out. Looks like artifact still. </t>
  </si>
  <si>
    <t>600 spread. super clustered</t>
  </si>
  <si>
    <t>200 splash, r still down</t>
  </si>
  <si>
    <t>r flat, big splash but likely noise</t>
  </si>
  <si>
    <t>very spikey splash</t>
  </si>
  <si>
    <t>5 day break from last recording</t>
  </si>
  <si>
    <t>400 spread, -1/16x5</t>
  </si>
  <si>
    <t>250 splash, -1/8x1</t>
  </si>
  <si>
    <t>300 spread, -1/8x13</t>
  </si>
  <si>
    <t>250 spread, -1/8x5</t>
  </si>
  <si>
    <t>350 spread, super clustery</t>
  </si>
  <si>
    <t>250 splash. -1/8x7</t>
  </si>
  <si>
    <t>380 spread, mostly one cell</t>
  </si>
  <si>
    <t>560 spread</t>
  </si>
  <si>
    <t>splash, not great</t>
  </si>
  <si>
    <t>250 splash, -1/8x7</t>
  </si>
  <si>
    <t>flat r, 250 spread</t>
  </si>
  <si>
    <t>600 spread, flat r</t>
  </si>
  <si>
    <t>300 spread, clstered, -1/8x5. more centered r</t>
  </si>
  <si>
    <t>300 splash -1/16x3</t>
  </si>
  <si>
    <t>200 splash, r down, -1/8x8. No real change</t>
  </si>
  <si>
    <t>flat r, 300 splash, -1/16x11</t>
  </si>
  <si>
    <t>400 spread, clustered. reversing, -1/16x9</t>
  </si>
  <si>
    <t>r flat, small splash. +1/8x3, still flat r</t>
  </si>
  <si>
    <t>centered r, no spread</t>
  </si>
  <si>
    <t>330 spread r down</t>
  </si>
  <si>
    <t xml:space="preserve">330 spread r down </t>
  </si>
  <si>
    <t xml:space="preserve">280 splash r down </t>
  </si>
  <si>
    <t xml:space="preserve">400 spread great improvement mostly flat r </t>
  </si>
  <si>
    <t xml:space="preserve">250 splash r down </t>
  </si>
  <si>
    <t xml:space="preserve">250 spread r down </t>
  </si>
  <si>
    <t xml:space="preserve">340 spread super clustery r down loosing r high frequency  </t>
  </si>
  <si>
    <t xml:space="preserve">330 spread flat/down r </t>
  </si>
  <si>
    <t xml:space="preserve">380 spread flat r </t>
  </si>
  <si>
    <t xml:space="preserve">260 splash r down </t>
  </si>
  <si>
    <t>360 spread, r flat/mixed</t>
  </si>
  <si>
    <t>600 spread, r flat/down</t>
  </si>
  <si>
    <t>560 spread, r flat</t>
  </si>
  <si>
    <t xml:space="preserve"> 200 splash, r up</t>
  </si>
  <si>
    <t>300 spread, r up/flat</t>
  </si>
  <si>
    <t>250 splash, r down</t>
  </si>
  <si>
    <t>500 spread, r very flat</t>
  </si>
  <si>
    <t xml:space="preserve">330 spread, r flat </t>
  </si>
  <si>
    <t>300 spread, r mixed</t>
  </si>
  <si>
    <t>200 splash, r flat</t>
  </si>
  <si>
    <t>300 splash, r down</t>
  </si>
  <si>
    <t>400 spread, r down</t>
  </si>
  <si>
    <t>300 spread, r flat</t>
  </si>
  <si>
    <t>600 spread, r flat</t>
  </si>
  <si>
    <t>weird spread,  r flat</t>
  </si>
  <si>
    <t>780 spread</t>
  </si>
  <si>
    <t>330 spread, -1/8x4</t>
  </si>
  <si>
    <t>260 splash, -1/16*16</t>
  </si>
  <si>
    <t xml:space="preserve">400 spread </t>
  </si>
  <si>
    <t>230 splash very clustery interneuron on ch 2, -1/4x5</t>
  </si>
  <si>
    <t>260 splash -1/8x1</t>
  </si>
  <si>
    <t>310 spread super clustery still has weak high freq , -1/8x4</t>
  </si>
  <si>
    <t xml:space="preserve">330 spread c on ch 1,2,3 </t>
  </si>
  <si>
    <t xml:space="preserve">460 spread </t>
  </si>
  <si>
    <t>230 splash r down -1/4x8</t>
  </si>
  <si>
    <t xml:space="preserve">310 spread flat r </t>
  </si>
  <si>
    <t xml:space="preserve">660 spread r flat r </t>
  </si>
  <si>
    <t xml:space="preserve">460 spread r flat </t>
  </si>
  <si>
    <t xml:space="preserve">200 splash r flat </t>
  </si>
  <si>
    <t xml:space="preserve">280 splash ch 1 + 2 60hz noise r down/ flat  </t>
  </si>
  <si>
    <t xml:space="preserve">300 spread interneuron on ch 1 and 2 flat r  </t>
  </si>
  <si>
    <t xml:space="preserve">560 great clusters r flat </t>
  </si>
  <si>
    <t xml:space="preserve">300 spread r flat </t>
  </si>
  <si>
    <t xml:space="preserve">230 splash super lame and r down </t>
  </si>
  <si>
    <t>260 splash r down, -1/8x3</t>
  </si>
  <si>
    <t xml:space="preserve">360 spread r down </t>
  </si>
  <si>
    <t xml:space="preserve">300 spread r flat/ down </t>
  </si>
  <si>
    <t>830 spread pretty clustery</t>
  </si>
  <si>
    <t xml:space="preserve">790 spread </t>
  </si>
  <si>
    <t xml:space="preserve">730 spread </t>
  </si>
  <si>
    <t xml:space="preserve">strange two large spikes just noise? Artifiact </t>
  </si>
  <si>
    <t xml:space="preserve">610 spread </t>
  </si>
  <si>
    <t>500 spread, r flat/down-1/16 x8</t>
  </si>
  <si>
    <t>250 spread, r flat</t>
  </si>
  <si>
    <t>250 splash, r down -1/8x9  still down, no change</t>
  </si>
  <si>
    <t>400 spread , r flat</t>
  </si>
  <si>
    <t>360 spread, r flat</t>
  </si>
  <si>
    <t>250 splash, r flat</t>
  </si>
  <si>
    <t>300 spread, well clustered, r way down -1/8 x5 really moving</t>
  </si>
  <si>
    <t>400 spread, r up</t>
  </si>
  <si>
    <t xml:space="preserve">250 splash, r down -1/8 x8 no change </t>
  </si>
  <si>
    <t>260 splash, r flat</t>
  </si>
  <si>
    <t>480 spread, r mixed</t>
  </si>
  <si>
    <t>380 spread, r down</t>
  </si>
  <si>
    <t>real spikey, likely artifact, r down, little hi freq -1/8 x7 growing, now flatter</t>
  </si>
  <si>
    <t>350 spread, r mixed</t>
  </si>
  <si>
    <t>280 splash r down -1/8 x12 no change</t>
  </si>
  <si>
    <t>300 splash, r down -1/8 x12 no change</t>
  </si>
  <si>
    <t>230 splash, lame, r down</t>
  </si>
  <si>
    <t xml:space="preserve">250 splash, r down -1/8 x6 growing </t>
  </si>
  <si>
    <t>400 spread, clustery, r way down -1/8 x7 moving</t>
  </si>
  <si>
    <t>250 splash, mostly interneuron, r down -1/8 x 8</t>
  </si>
  <si>
    <t>760 spread, clustered, r flat</t>
  </si>
  <si>
    <t>900 spread, r up</t>
  </si>
  <si>
    <t>760 spread, r up</t>
  </si>
  <si>
    <t>Same as yesterday, noise artifact and spikey</t>
  </si>
  <si>
    <t>600 spread, r up</t>
  </si>
  <si>
    <t>250 spread</t>
  </si>
  <si>
    <t>350 spread. clustery</t>
  </si>
  <si>
    <t>splash, r flat</t>
  </si>
  <si>
    <t>250 spread. clustery</t>
  </si>
  <si>
    <t>200 splash</t>
  </si>
  <si>
    <t>artifact gone? 300 splash</t>
  </si>
  <si>
    <t>300 spread, clustered</t>
  </si>
  <si>
    <t>splash</t>
  </si>
  <si>
    <t>250 splash, interneuron</t>
  </si>
  <si>
    <t>splash, cell, not clustered</t>
  </si>
  <si>
    <t>Post-Hoc Assessment</t>
  </si>
  <si>
    <t>Shuttle Issue (T=Twist, B=Broken)</t>
  </si>
  <si>
    <t>B</t>
  </si>
  <si>
    <t>T</t>
  </si>
  <si>
    <t>Shuttle Tube Issue (T=Twist, B=Broken)</t>
  </si>
  <si>
    <t>Fluid Present (C=CSF, B=Blood)</t>
  </si>
  <si>
    <t>C</t>
  </si>
  <si>
    <t>Tetrode Issue (#=Detached, B=Broken)</t>
  </si>
  <si>
    <t>No Discernable Issue (X)</t>
  </si>
  <si>
    <t>X</t>
  </si>
  <si>
    <t>Movement Test (S=Shuttle Moves, T=Shuttle Tube Moves)</t>
  </si>
  <si>
    <t>S</t>
  </si>
  <si>
    <t>Detached guide tube</t>
  </si>
  <si>
    <t>Guide tube detached</t>
  </si>
  <si>
    <t>G</t>
  </si>
  <si>
    <t xml:space="preserve">Glued in place while lowered 2/3 of the way down. </t>
  </si>
  <si>
    <t>Tested to failure. Shuttle Tube retracted but would not lower, pushed to break and shuttle, shuttle tube, and tetrode all broke</t>
  </si>
  <si>
    <r>
      <rPr>
        <rFont val="Arial"/>
        <b/>
        <color theme="1"/>
      </rPr>
      <t>Goal! 1 outer</t>
    </r>
    <r>
      <rPr>
        <rFont val="Arial"/>
        <color theme="1"/>
      </rPr>
      <t xml:space="preserve"> rewarded, 15 outerreps. 30 s lockout. 1 s white noise </t>
    </r>
    <r>
      <rPr>
        <rFont val="Arial"/>
        <b/>
        <color theme="1"/>
      </rPr>
      <t>delay 1000-2500 ms</t>
    </r>
    <r>
      <rPr>
        <rFont val="Arial"/>
        <color theme="1"/>
      </rPr>
      <t xml:space="preserve">, </t>
    </r>
    <r>
      <rPr>
        <rFont val="Arial"/>
        <i/>
        <color theme="1"/>
      </rPr>
      <t>forageassist 2</t>
    </r>
  </si>
  <si>
    <t>goal 11, found right away. definitely remembers structure although struggling to get used to getting into arm openings with LED ring. biased against wait port for some reason. taking lots of breaks to groom, nudged him along a few times. sus.cart moves well parallel with arms but poorly in other direction. lick artifact at home well but nowhere else. can get to all wells, but struggles to get to arm 1</t>
  </si>
  <si>
    <r>
      <rPr>
        <rFont val="Arial"/>
        <b/>
        <color theme="1"/>
      </rPr>
      <t>Goal! 1 outer</t>
    </r>
    <r>
      <rPr>
        <rFont val="Arial"/>
        <color theme="1"/>
      </rPr>
      <t xml:space="preserve"> rewarded, 15 outerreps. 30 s lockout. 1 s white noise </t>
    </r>
    <r>
      <rPr>
        <rFont val="Arial"/>
        <b/>
        <color theme="1"/>
      </rPr>
      <t>delay 1000-2500 ms</t>
    </r>
    <r>
      <rPr>
        <rFont val="Arial"/>
        <color theme="1"/>
      </rPr>
      <t xml:space="preserve">, </t>
    </r>
    <r>
      <rPr>
        <rFont val="Arial"/>
        <i/>
        <color theme="1"/>
      </rPr>
      <t>forageassist 2</t>
    </r>
  </si>
  <si>
    <t>Debugging the cart. Wasn't very motivated. Bias towards the left port as well as arms 11 and 1. Spent lots of time resting/ grooming in outer arms without much motivation to complete goals</t>
  </si>
  <si>
    <r>
      <rPr>
        <rFont val="Arial"/>
        <b/>
        <color theme="1"/>
      </rPr>
      <t>Goal! 1 outer</t>
    </r>
    <r>
      <rPr>
        <rFont val="Arial"/>
        <color theme="1"/>
      </rPr>
      <t xml:space="preserve"> rewarded, 15 outerreps. 30 s lockout. 1 s white noise </t>
    </r>
    <r>
      <rPr>
        <rFont val="Arial"/>
        <b/>
        <color theme="1"/>
      </rPr>
      <t>delay 1000-2500 ms</t>
    </r>
    <r>
      <rPr>
        <rFont val="Arial"/>
        <color theme="1"/>
      </rPr>
      <t xml:space="preserve">, </t>
    </r>
    <r>
      <rPr>
        <rFont val="Arial"/>
        <i/>
        <color theme="1"/>
      </rPr>
      <t>forageassist 2</t>
    </r>
  </si>
  <si>
    <t xml:space="preserve">Trouble tracking throughout. still a slight bias towards arm 11. Better but still present lick artifact at the home port. Abput 55 mins in became significantly less motivated to go to the outer arms and stayed y to receive the home and left right port rewards. Started visiting other arms and did fairly well. Keeps working so I don't really want to stop him after 1:20. </t>
  </si>
  <si>
    <r>
      <rPr>
        <rFont val="Arial"/>
        <b/>
        <color theme="1"/>
      </rPr>
      <t>Goal! 1 outer</t>
    </r>
    <r>
      <rPr>
        <rFont val="Arial"/>
        <color theme="1"/>
      </rPr>
      <t xml:space="preserve"> rewarded, 15 outerreps. 30 s lockout. 1 s white noise </t>
    </r>
    <r>
      <rPr>
        <rFont val="Arial"/>
        <b/>
        <color theme="1"/>
      </rPr>
      <t>delay 1000-3000 ms</t>
    </r>
    <r>
      <rPr>
        <rFont val="Arial"/>
        <color theme="1"/>
      </rPr>
      <t xml:space="preserve">, </t>
    </r>
    <r>
      <rPr>
        <rFont val="Arial"/>
        <i/>
        <color theme="1"/>
      </rPr>
      <t>forageassist 2</t>
    </r>
  </si>
  <si>
    <t>first goal is arm 2 - found once right in the beginning and then neverr went back! tried hard and consistently though</t>
  </si>
  <si>
    <r>
      <rPr>
        <rFont val="Arial"/>
        <b/>
        <color theme="1"/>
      </rPr>
      <t>Goal! 1 outer</t>
    </r>
    <r>
      <rPr>
        <rFont val="Arial"/>
        <color theme="1"/>
      </rPr>
      <t xml:space="preserve"> rewarded, 15 outerreps. 30 s lockout. 1 s white noise </t>
    </r>
    <r>
      <rPr>
        <rFont val="Arial"/>
        <b/>
        <color theme="1"/>
      </rPr>
      <t>delay 1000-3000 ms</t>
    </r>
    <r>
      <rPr>
        <rFont val="Arial"/>
        <color theme="1"/>
      </rPr>
      <t xml:space="preserve">, </t>
    </r>
    <r>
      <rPr>
        <rFont val="Arial"/>
        <i/>
        <color theme="1"/>
      </rPr>
      <t>forageassist 2</t>
    </r>
  </si>
  <si>
    <t>first goal is one. forgot to record score, reporting from memory</t>
  </si>
  <si>
    <r>
      <rPr>
        <rFont val="Arial"/>
        <b/>
        <color theme="1"/>
      </rPr>
      <t>Goal! 1 outer</t>
    </r>
    <r>
      <rPr>
        <rFont val="Arial"/>
        <color theme="1"/>
      </rPr>
      <t xml:space="preserve"> rewarded, 15 outerreps. 30 s lockout. 1 s white noise </t>
    </r>
    <r>
      <rPr>
        <rFont val="Arial"/>
        <b/>
        <color theme="1"/>
      </rPr>
      <t>delay 1000-3000 ms</t>
    </r>
    <r>
      <rPr>
        <rFont val="Arial"/>
        <color theme="1"/>
      </rPr>
      <t xml:space="preserve">, </t>
    </r>
    <r>
      <rPr>
        <rFont val="Arial"/>
        <i/>
        <color theme="1"/>
      </rPr>
      <t>forageassist 2</t>
    </r>
  </si>
  <si>
    <t>First goal is arm 3. Tried really hard, but didn't do amazing. Def noticed the LO3.</t>
  </si>
  <si>
    <r>
      <rPr>
        <rFont val="Arial"/>
        <b/>
        <color theme="1"/>
      </rPr>
      <t>Goal! 1 outer</t>
    </r>
    <r>
      <rPr>
        <rFont val="Arial"/>
        <color theme="1"/>
      </rPr>
      <t xml:space="preserve"> rewarded, 15 outerreps. 30 s lockout. 1 s white noise </t>
    </r>
    <r>
      <rPr>
        <rFont val="Arial"/>
        <b/>
        <color theme="1"/>
      </rPr>
      <t>delay 1000-3000 ms</t>
    </r>
    <r>
      <rPr>
        <rFont val="Arial"/>
        <color theme="1"/>
      </rPr>
      <t xml:space="preserve">, </t>
    </r>
    <r>
      <rPr>
        <rFont val="Arial"/>
        <i/>
        <color theme="1"/>
      </rPr>
      <t>forageassist 2</t>
    </r>
  </si>
  <si>
    <t>Started w/ 30min sleep session (not recorded). REcorded run sesssion, referenced, trodes version 1.9) First goal arm 7. rec file also includes 30 min sleep session (no video)</t>
  </si>
  <si>
    <t>Sleep1 = DELETED</t>
  </si>
  <si>
    <t>running trodes 2.1.1, referenced tet12 for can 1 becuase 16 had a unit</t>
  </si>
  <si>
    <r>
      <rPr>
        <rFont val="Arial"/>
        <b/>
        <color theme="1"/>
      </rPr>
      <t>Goal! 1 outer</t>
    </r>
    <r>
      <rPr>
        <rFont val="Arial"/>
        <color theme="1"/>
      </rPr>
      <t xml:space="preserve"> rewarded, 15 outerreps. 30 s lockout. 1 s white noise </t>
    </r>
    <r>
      <rPr>
        <rFont val="Arial"/>
        <b/>
        <color theme="1"/>
      </rPr>
      <t>delay 1000-3000 ms</t>
    </r>
    <r>
      <rPr>
        <rFont val="Arial"/>
        <color theme="1"/>
      </rPr>
      <t xml:space="preserve">, </t>
    </r>
    <r>
      <rPr>
        <rFont val="Arial"/>
        <i/>
        <color theme="1"/>
      </rPr>
      <t>forageassist 2</t>
    </r>
  </si>
  <si>
    <t>Started with arms 6/7 rewarded for forage assist. first goal arm 6. then 7. Reflection on arm seven causes ring to jump of tracking bobby onto refelection of arm eight.   Ended after ~50min because realized that the cammod and main trodes times were out of sync.</t>
  </si>
  <si>
    <t xml:space="preserve">sleep1 </t>
  </si>
  <si>
    <t>running trodes 1.9, changed everything to 30khz sampling, camera ptp not working (uncalibrated),</t>
  </si>
  <si>
    <r>
      <rPr>
        <rFont val="Arial"/>
        <b/>
        <color theme="1"/>
      </rPr>
      <t>Goal! 1 outer</t>
    </r>
    <r>
      <rPr>
        <rFont val="Arial"/>
        <color theme="1"/>
      </rPr>
      <t xml:space="preserve"> rewarded, 15 outerreps. 30 s lockout. 1 s white noise </t>
    </r>
    <r>
      <rPr>
        <rFont val="Arial"/>
        <b/>
        <color theme="1"/>
      </rPr>
      <t>delay 1000-3000 ms</t>
    </r>
    <r>
      <rPr>
        <rFont val="Arial"/>
        <color theme="1"/>
      </rPr>
      <t xml:space="preserve">, </t>
    </r>
    <r>
      <rPr>
        <rFont val="Arial"/>
        <i/>
        <color theme="1"/>
      </rPr>
      <t>forageassist 2</t>
    </r>
  </si>
  <si>
    <t xml:space="preserve"> first goal arm 8, ledring cable got disconnected 13min into recording. Exhibiting behavior where he will approach the correct goal arm nearly get to the port stop and then return home. Approximately 95 minutes into recroding. </t>
  </si>
  <si>
    <t>trodes 1.9; 30kHz; PTP uncalibrated</t>
  </si>
  <si>
    <t>sleep2</t>
  </si>
  <si>
    <t>Sleep1</t>
  </si>
  <si>
    <r>
      <rPr>
        <rFont val="Arial"/>
        <color theme="1"/>
      </rPr>
      <t xml:space="preserve">Goal! 1 outer rewarded, 15 outerreps. 30 s lockout. 1 s white noise delay 1000-3000 ms, </t>
    </r>
    <r>
      <rPr>
        <rFont val="Arial"/>
        <i/>
        <color theme="1"/>
      </rPr>
      <t>NO FORAGEASSIST</t>
    </r>
  </si>
  <si>
    <t>First reward arm 1. PTP failed somewher in the recording.(uncalibrated)</t>
  </si>
  <si>
    <t>PTP not working (uncalibrated)</t>
  </si>
  <si>
    <r>
      <rPr>
        <rFont val="Arial"/>
        <color theme="1"/>
      </rPr>
      <t xml:space="preserve">Goal! 1 outer rewarded, 15 outerreps. 30 s lockout. 1 s white noise delay 1000-3000 ms, </t>
    </r>
    <r>
      <rPr>
        <rFont val="Arial"/>
        <i/>
        <color theme="1"/>
      </rPr>
      <t>NO FORAGEASSIST</t>
    </r>
  </si>
  <si>
    <t>Ptp uncalibrated. First goal arm 3. seond was arm 2, which he might not be able to enter? I haven't seen him go down this arm yet. After ~45min on this I'm just gonna stop him.</t>
  </si>
  <si>
    <t>sleep3</t>
  </si>
  <si>
    <t>Ptp uncalibrated</t>
  </si>
  <si>
    <t xml:space="preserve">30khz </t>
  </si>
  <si>
    <r>
      <rPr>
        <rFont val="Arial"/>
        <color theme="1"/>
      </rPr>
      <t>Goal! 1 outer rewarded, 15 outerreps. 30 s lockout. 1 s white noise</t>
    </r>
    <r>
      <rPr>
        <rFont val="Arial"/>
        <b/>
        <color theme="1"/>
      </rPr>
      <t xml:space="preserve"> delay 1000-3250 ms,</t>
    </r>
    <r>
      <rPr>
        <rFont val="Arial"/>
        <color theme="1"/>
      </rPr>
      <t xml:space="preserve"> </t>
    </r>
    <r>
      <rPr>
        <rFont val="Arial"/>
        <i/>
        <color theme="1"/>
      </rPr>
      <t>NO FORAGEASSIST</t>
    </r>
  </si>
  <si>
    <t>30khz starting him on arm 2 trail of milk to get him going! Concern of his superstition and hesitance to go down arm 2. Stopped going down arm2, had to kinda direct him down arm2. lots of noise in arm2. Did go down arm 2 times, but still only got 4 goals.</t>
  </si>
  <si>
    <r>
      <rPr>
        <rFont val="Arial"/>
        <color theme="1"/>
      </rPr>
      <t>Goal! 1 outer rewarded, 15 outerreps. 30 s lockout. 1 s white noise</t>
    </r>
    <r>
      <rPr>
        <rFont val="Arial"/>
        <b/>
        <color theme="1"/>
      </rPr>
      <t xml:space="preserve"> delay 1000-3250 ms,</t>
    </r>
    <r>
      <rPr>
        <rFont val="Arial"/>
        <color theme="1"/>
      </rPr>
      <t xml:space="preserve"> </t>
    </r>
    <r>
      <rPr>
        <rFont val="Arial"/>
        <i/>
        <color theme="1"/>
      </rPr>
      <t>NO FORAGEASSIST</t>
    </r>
  </si>
  <si>
    <t xml:space="preserve">30khz. First goal arm 7. voluntarily visited arm2 multiple times! </t>
  </si>
  <si>
    <t>Sleep3</t>
  </si>
  <si>
    <r>
      <rPr>
        <rFont val="Arial"/>
        <color theme="1"/>
      </rPr>
      <t>Goal! 1 outer rewarded, 15 outerreps. 30 s lockout. 1 s white noise</t>
    </r>
    <r>
      <rPr>
        <rFont val="Arial"/>
        <b/>
        <color theme="1"/>
      </rPr>
      <t xml:space="preserve"> delay 1000-3500 ms,</t>
    </r>
    <r>
      <rPr>
        <rFont val="Arial"/>
        <color theme="1"/>
      </rPr>
      <t xml:space="preserve"> </t>
    </r>
    <r>
      <rPr>
        <rFont val="Arial"/>
        <i/>
        <color theme="1"/>
      </rPr>
      <t>NO FORAGEASSIST</t>
    </r>
  </si>
  <si>
    <t xml:space="preserve">first goal arm 4, then 1. still a little home well lick artifact. </t>
  </si>
  <si>
    <t>1"57</t>
  </si>
  <si>
    <r>
      <rPr>
        <rFont val="Arial"/>
        <color theme="1"/>
      </rPr>
      <t>Goal! 1 outer rewarded, 15 outerreps. 30 s lockout. 1 s white noise</t>
    </r>
    <r>
      <rPr>
        <rFont val="Arial"/>
        <b/>
        <color theme="1"/>
      </rPr>
      <t xml:space="preserve"> delay 2000-3500 ms,</t>
    </r>
    <r>
      <rPr>
        <rFont val="Arial"/>
        <color theme="1"/>
      </rPr>
      <t xml:space="preserve"> </t>
    </r>
    <r>
      <rPr>
        <rFont val="Arial"/>
        <i/>
        <color theme="1"/>
      </rPr>
      <t>NO FORAGEASSIST</t>
    </r>
  </si>
  <si>
    <t xml:space="preserve">first goal arm 3. next goal, Arm 4, doesnt light up may be failing at 23mins runtime -&gt; unplugged and replugged ethernet cable from port and it fixed it. did so well! </t>
  </si>
  <si>
    <t>Trode Version 2.4.2, 20khz</t>
  </si>
  <si>
    <t>PTP not calibrated.</t>
  </si>
  <si>
    <t>First goal arm 8. PTP not calibrated. Track geometry might be messed up in this version of trodes. - stopped and deleted files while debugging tracking issues</t>
  </si>
  <si>
    <t>deleted</t>
  </si>
  <si>
    <t xml:space="preserve"> PTP not calibrated. First goal arm 8. tracking still bad - not respecting zones - so stiopping, deleting,switching back to 1.9</t>
  </si>
  <si>
    <r>
      <rPr>
        <rFont val="Arial"/>
        <color theme="1"/>
      </rPr>
      <t>Goal! 1 outer rewarded, 15 outerreps. 30 s lockout. 1 s white noise</t>
    </r>
    <r>
      <rPr>
        <rFont val="Arial"/>
        <b/>
        <color theme="1"/>
      </rPr>
      <t xml:space="preserve"> </t>
    </r>
    <r>
      <rPr>
        <rFont val="Arial"/>
        <color theme="1"/>
      </rPr>
      <t>delay 2000-3500 ms</t>
    </r>
    <r>
      <rPr>
        <rFont val="Arial"/>
        <b/>
        <color theme="1"/>
      </rPr>
      <t>,</t>
    </r>
    <r>
      <rPr>
        <rFont val="Arial"/>
        <color theme="1"/>
      </rPr>
      <t xml:space="preserve"> </t>
    </r>
    <r>
      <rPr>
        <rFont val="Arial"/>
        <i/>
        <color theme="1"/>
      </rPr>
      <t>NO FORAGEASSIST</t>
    </r>
  </si>
  <si>
    <r>
      <rPr>
        <rFont val="Arial"/>
        <color theme="1"/>
      </rPr>
      <t xml:space="preserve">Trodes 1.9, 20khz, PTP still not calibrated - </t>
    </r>
    <r>
      <rPr>
        <rFont val="Arial"/>
        <b/>
        <color theme="1"/>
      </rPr>
      <t xml:space="preserve">timing is off! recorded time on trodes main was 1hr, actual time (on camera) was about 40min </t>
    </r>
    <r>
      <rPr>
        <rFont val="Arial"/>
        <color theme="1"/>
      </rPr>
      <t xml:space="preserve"> turned out headstage had reset itself to 30khz</t>
    </r>
  </si>
  <si>
    <t xml:space="preserve">reset everything to 30khz, trodes 1.9 </t>
  </si>
  <si>
    <r>
      <rPr>
        <rFont val="Arial"/>
        <color theme="1"/>
      </rPr>
      <t>Goal! 1 outer rewarded, 15 outerreps. 30 s lockout. 1 s white noise</t>
    </r>
    <r>
      <rPr>
        <rFont val="Arial"/>
        <b/>
        <color theme="1"/>
      </rPr>
      <t xml:space="preserve"> </t>
    </r>
    <r>
      <rPr>
        <rFont val="Arial"/>
        <color theme="1"/>
      </rPr>
      <t>delay 2000-3500 ms</t>
    </r>
    <r>
      <rPr>
        <rFont val="Arial"/>
        <b/>
        <color theme="1"/>
      </rPr>
      <t>,</t>
    </r>
    <r>
      <rPr>
        <rFont val="Arial"/>
        <color theme="1"/>
      </rPr>
      <t xml:space="preserve"> </t>
    </r>
    <r>
      <rPr>
        <rFont val="Arial"/>
        <i/>
        <color theme="1"/>
      </rPr>
      <t>NO FORAGEASSIST</t>
    </r>
  </si>
  <si>
    <t>First goal arm 4. Popped wire off at 82min in. Stopped him then.</t>
  </si>
  <si>
    <t xml:space="preserve">Sleep1 </t>
  </si>
  <si>
    <r>
      <rPr>
        <rFont val="Arial"/>
        <color theme="1"/>
      </rPr>
      <t>Goal! 1 outer rewarded, 15 outerreps. 30 s lockout. 1 s white noise</t>
    </r>
    <r>
      <rPr>
        <rFont val="Arial"/>
        <b/>
        <color theme="1"/>
      </rPr>
      <t xml:space="preserve"> delay 2250-4000 ms</t>
    </r>
  </si>
  <si>
    <t xml:space="preserve">PTP not calibrated. First goal arm2. </t>
  </si>
  <si>
    <t>Sleep2</t>
  </si>
  <si>
    <r>
      <rPr>
        <rFont val="Arial"/>
        <color theme="1"/>
      </rPr>
      <t>Goal! 1 outer rewarded, 15 outerreps. 30 s lockout. 1 s white noise</t>
    </r>
    <r>
      <rPr>
        <rFont val="Arial"/>
        <b/>
        <color theme="1"/>
      </rPr>
      <t xml:space="preserve"> delay 2500-4000 ms</t>
    </r>
  </si>
  <si>
    <t xml:space="preserve">First goal arm 6. light cable unplugged at approx. 74mins runtime </t>
  </si>
  <si>
    <t xml:space="preserve">Sleep 3 </t>
  </si>
  <si>
    <t>PTP calibrated today!  (first 3 sessions)</t>
  </si>
  <si>
    <r>
      <rPr>
        <rFont val="Arial"/>
        <color theme="1"/>
      </rPr>
      <t>Goal! 1 outer rewarded, 15 outerreps. 30 s lockout. 1 s white noise</t>
    </r>
    <r>
      <rPr>
        <rFont val="Arial"/>
        <b/>
        <color theme="1"/>
      </rPr>
      <t xml:space="preserve"> delay 2500-4500 ms</t>
    </r>
  </si>
  <si>
    <t>first goal arm 4 - tried hard but really struggled with delay so ended early (shifted distribution to make it harder and made it too hard! - lower times for next session)</t>
  </si>
  <si>
    <r>
      <rPr>
        <rFont val="Arial"/>
        <color theme="1"/>
      </rPr>
      <t>Goal! 1 outer rewarded, 15 outerreps. 30 s lockout. 1 s white noise</t>
    </r>
    <r>
      <rPr>
        <rFont val="Arial"/>
        <b/>
        <color theme="1"/>
      </rPr>
      <t xml:space="preserve"> delay 2500-4250 ms</t>
    </r>
  </si>
  <si>
    <t>shift delay times to shorter options. first goal arm 6</t>
  </si>
  <si>
    <r>
      <rPr>
        <rFont val="Arial"/>
        <color theme="1"/>
      </rPr>
      <t>Goal! 1 outer rewarded, 15 outerreps. 30 s lockout. 1 s white noise</t>
    </r>
    <r>
      <rPr>
        <rFont val="Arial"/>
        <b/>
        <color theme="1"/>
      </rPr>
      <t xml:space="preserve"> delay 2500-4250 ms</t>
    </r>
  </si>
  <si>
    <t>ptp not calibrated. reverted delay times to yesterday/s distribution first goal is on 5 , then 8, then 4. still having trouble waiting at r/w, but better</t>
  </si>
  <si>
    <t>s4</t>
  </si>
  <si>
    <t>PTP not calibrated</t>
  </si>
  <si>
    <r>
      <rPr>
        <rFont val="Arial"/>
        <color theme="1"/>
      </rPr>
      <t>Goal! 1 outer rewarded, 15 outerreps. 30 s lockout. 1 s white noise</t>
    </r>
    <r>
      <rPr>
        <rFont val="Arial"/>
        <b/>
        <color theme="1"/>
      </rPr>
      <t xml:space="preserve"> </t>
    </r>
    <r>
      <rPr>
        <rFont val="Arial"/>
        <color theme="1"/>
      </rPr>
      <t>delay 2500-4250 ms</t>
    </r>
  </si>
  <si>
    <t>Arm 3 first reward, ptp not calibrated.</t>
  </si>
  <si>
    <r>
      <rPr>
        <rFont val="Arial"/>
        <color theme="1"/>
      </rPr>
      <t>Goal! 1 outer rewarded, 15 outerreps. 30 s lockout. 1 s white noise</t>
    </r>
    <r>
      <rPr>
        <rFont val="Arial"/>
        <b/>
        <color theme="1"/>
      </rPr>
      <t xml:space="preserve"> delay 2500-4500 ms</t>
    </r>
  </si>
  <si>
    <t>Arm 6 first rewarded. PTP not calibrated. Weird slowdowns happening with the computer. Camera module crashed 32min in to recording. Seems fine now? Will restart though.</t>
  </si>
  <si>
    <r>
      <rPr>
        <rFont val="Arial"/>
        <color theme="1"/>
      </rPr>
      <t>Goal! 1 outer rewarded, 15 outerreps. 30 s lockout. 1 s white noise</t>
    </r>
    <r>
      <rPr>
        <rFont val="Arial"/>
        <b/>
        <color theme="1"/>
      </rPr>
      <t xml:space="preserve"> delay 2500-4500 ms</t>
    </r>
  </si>
  <si>
    <t>Second? goal is arm 3. PTP not calibrated</t>
  </si>
  <si>
    <r>
      <rPr>
        <rFont val="Arial"/>
        <color theme="1"/>
      </rPr>
      <t>1 outer rewarded, 15 outerreps. 30 s lockout. 1 s white noise</t>
    </r>
    <r>
      <rPr>
        <rFont val="Arial"/>
        <b/>
        <color theme="1"/>
      </rPr>
      <t xml:space="preserve"> delay 2750-4750 ms</t>
    </r>
  </si>
  <si>
    <t xml:space="preserve">PTP not calibrated. First goal arm 8. After 1hr still hasn't visited the correct arm. </t>
  </si>
  <si>
    <r>
      <rPr>
        <rFont val="Arial"/>
        <color theme="1"/>
      </rPr>
      <t>1 outer rewarded, 15 outerreps. 30 s lockout. 1 s white noise</t>
    </r>
    <r>
      <rPr>
        <rFont val="Arial"/>
        <b/>
        <color theme="1"/>
      </rPr>
      <t xml:space="preserve"> delay 2750-4750 ms</t>
    </r>
  </si>
  <si>
    <t>PTP Working first goal = 3</t>
  </si>
  <si>
    <t>Ptp not calibrated</t>
  </si>
  <si>
    <t>ptp in and out of calib</t>
  </si>
  <si>
    <r>
      <rPr>
        <rFont val="Arial"/>
        <color theme="1"/>
      </rPr>
      <t>1 outer rewarded, 15 outerreps. 30 s lockout. 1 s white noise</t>
    </r>
    <r>
      <rPr>
        <rFont val="Arial"/>
        <b/>
        <color theme="1"/>
      </rPr>
      <t xml:space="preserve"> delay 3000-5000 ms</t>
    </r>
  </si>
  <si>
    <t xml:space="preserve">first goal arm 6, then 2. frustrated with the wait times, but still trying. </t>
  </si>
  <si>
    <r>
      <rPr>
        <rFont val="Arial"/>
        <color theme="1"/>
      </rPr>
      <t>1 outer rewarded, 15 outerreps. 30 s lockout. 1 s white noise</t>
    </r>
    <r>
      <rPr>
        <rFont val="Arial"/>
        <b/>
        <color theme="1"/>
      </rPr>
      <t xml:space="preserve"> delay 3000-5000 ms</t>
    </r>
  </si>
  <si>
    <t>first goal arm 7, then 1 (found v quickly). 35 mins in, trodes&amp;camera very laggy - crashed abt 50 min in. stopped session, pulled him off, restarted cammod. blue light on top of computer was flickering wildly - what does this mean? is solid/occaisional  flashes when things are working nromally</t>
  </si>
  <si>
    <r>
      <rPr>
        <rFont val="Arial"/>
        <color theme="1"/>
      </rPr>
      <t>1 outer rewarded, 15 outerreps. 30 s lockout. 1 s white noise</t>
    </r>
    <r>
      <rPr>
        <rFont val="Arial"/>
        <b/>
        <color theme="1"/>
      </rPr>
      <t xml:space="preserve"> delay 3000-5000 ms</t>
    </r>
  </si>
  <si>
    <t>restarted w 1 as goal (this means he get extrra short delay trials). sneezing fit after half hour, didn't get back to work after. datadrive ran out of disk space at end. Lots of milk on pumps, lost motivation, got diahrea at end - comp slowdown may have caused sc to deliver extra milk?</t>
  </si>
  <si>
    <r>
      <rPr>
        <rFont val="Arial"/>
        <color theme="1"/>
      </rPr>
      <t>1 outer rewarded, 15 outerreps. 30 s lockout. 1 s white noise</t>
    </r>
    <r>
      <rPr>
        <rFont val="Arial"/>
        <b/>
        <color theme="1"/>
      </rPr>
      <t xml:space="preserve"> delay 3000-5000 ms</t>
    </r>
  </si>
  <si>
    <t>PTP not calibrated. First goal arm 2. Not doing well. He's getting a lot of type3 errors, which I think confuses him about what part of the task he is in.</t>
  </si>
  <si>
    <r>
      <rPr>
        <rFont val="Arial"/>
        <color theme="1"/>
      </rPr>
      <t>1 outer rewarded, 15 outerreps. 30 s lockout. 1 s white noise</t>
    </r>
    <r>
      <rPr>
        <rFont val="Arial"/>
        <b/>
        <color theme="1"/>
      </rPr>
      <t xml:space="preserve"> delay 3000-5000 ms</t>
    </r>
  </si>
  <si>
    <t xml:space="preserve">PTP not calibrated. First goal arm 7. Struggling despite easier spread for timing. 1hr in and he's about 50/50 on visiting any arm. Only 15 correct goal visits. </t>
  </si>
  <si>
    <t xml:space="preserve">PTP not calibrated </t>
  </si>
  <si>
    <r>
      <rPr>
        <rFont val="Arial"/>
        <color theme="1"/>
      </rPr>
      <t>1 outer rewarded,</t>
    </r>
    <r>
      <rPr>
        <rFont val="Arial"/>
        <b/>
        <color theme="1"/>
      </rPr>
      <t xml:space="preserve"> 10 outerreps</t>
    </r>
    <r>
      <rPr>
        <rFont val="Arial"/>
        <color theme="1"/>
      </rPr>
      <t>. 30 s lockout. 1 s white noise</t>
    </r>
    <r>
      <rPr>
        <rFont val="Arial"/>
        <b/>
        <color theme="1"/>
      </rPr>
      <t xml:space="preserve"> delay 2000-4000 ms</t>
    </r>
  </si>
  <si>
    <t>PTP not calibrated 8 first goal arm</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</si>
  <si>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</si>
  <si>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PTP not calibrated, first goal arm 5 Camera module crash 71min into recording. saved as _03_ epoch</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</si>
  <si>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</si>
  <si>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 xml:space="preserve">PTP not calibrated, first goal arm 1. </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</si>
  <si>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</si>
  <si>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PTP not calibrated. Restarted camera module to hopefully avoid it crashing again. First goal arm 4.</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</si>
  <si>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</si>
  <si>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 xml:space="preserve">PTP not calibrated. First goal arm 1. Really did not do well. Might be because of long break. </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</si>
  <si>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</si>
  <si>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PTP not calibrated. FIrst goal arm 6. Home well stuck? Not sure what happened. 22min in. Home well died. had to replace. Starting over</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</si>
  <si>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</si>
  <si>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 xml:space="preserve">PTP not calibrated. First goal arm 8. </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</si>
  <si>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</si>
  <si>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 xml:space="preserve">PTP not calibrated. First goal arm 7. Camera Module crashed 11:34 </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</si>
  <si>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</si>
  <si>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 xml:space="preserve">PTP not calibrated First Goal arm 5 </t>
  </si>
  <si>
    <t xml:space="preserve">PTP not calibrated. Inclusion area not loaded. Do not trust the position data. </t>
  </si>
  <si>
    <r>
      <rPr>
        <rFont val="Arial"/>
        <color theme="1"/>
      </rPr>
      <t>1 outer rewarded,</t>
    </r>
    <r>
      <rPr>
        <rFont val="Arial"/>
        <color theme="1"/>
      </rPr>
      <t xml:space="preserve"> 10 outerreps</t>
    </r>
    <r>
      <rPr>
        <rFont val="Arial"/>
        <color theme="1"/>
      </rPr>
      <t>. 30 s lockout. 1 s white noise</t>
    </r>
    <r>
      <rPr>
        <rFont val="Arial"/>
        <color theme="1"/>
      </rPr>
      <t xml:space="preserve"> delay 2000-4000 ms</t>
    </r>
  </si>
  <si>
    <t>PTP not calibrated. First goal arm 3</t>
  </si>
  <si>
    <r>
      <rPr>
        <rFont val="Arial"/>
        <color theme="1"/>
      </rPr>
      <t xml:space="preserve">1 outer rewarded, 10 outerreps. 30 s lockout. 1 s white noise </t>
    </r>
    <r>
      <rPr>
        <rFont val="Arial"/>
        <b/>
        <color theme="1"/>
      </rPr>
      <t>delay 1000-3000 ms</t>
    </r>
  </si>
  <si>
    <t>PTP not calibrated. First goal arm 8</t>
  </si>
  <si>
    <t xml:space="preserve">s3 </t>
  </si>
  <si>
    <r>
      <rPr>
        <rFont val="Arial"/>
        <color theme="1"/>
      </rPr>
      <t xml:space="preserve">1 outer rewarded, 10 outerreps. 30 s lockout. 1 s white noise </t>
    </r>
    <r>
      <rPr>
        <rFont val="Arial"/>
        <b/>
        <color theme="1"/>
      </rPr>
      <t>delay 1000-3000 ms</t>
    </r>
  </si>
  <si>
    <t xml:space="preserve">first goal 4 (new?) lick artifact at arm4 port lick artifact at arm 2 </t>
  </si>
  <si>
    <r>
      <rPr>
        <rFont val="Arial"/>
        <color theme="1"/>
      </rPr>
      <t xml:space="preserve">1 outer rewarded, 10 outerreps. 30 s lockout. 1 s white noise </t>
    </r>
    <r>
      <rPr>
        <rFont val="Arial"/>
        <b/>
        <color theme="1"/>
      </rPr>
      <t>delay 1000-3000 ms</t>
    </r>
  </si>
  <si>
    <t>some tracking issues - arm 7 getting missed up with arm 8</t>
  </si>
  <si>
    <r>
      <rPr>
        <rFont val="Arial"/>
        <color theme="1"/>
      </rPr>
      <t xml:space="preserve">1 outer rewarded, 10 outerreps. 30 s lockout. 1 s white noise </t>
    </r>
    <r>
      <rPr>
        <rFont val="Arial"/>
        <color theme="1"/>
      </rPr>
      <t>delay 1000-3000 ms</t>
    </r>
  </si>
  <si>
    <t xml:space="preserve">PTP not calibrated. First goal arm 2. </t>
  </si>
  <si>
    <r>
      <rPr>
        <rFont val="Arial"/>
        <color theme="1"/>
      </rPr>
      <t xml:space="preserve">1 outer rewarded, 10 outerreps. 30 s lockout. 1 s white noise </t>
    </r>
    <r>
      <rPr>
        <rFont val="Arial"/>
        <color theme="1"/>
      </rPr>
      <t>delay 1000-3000 ms</t>
    </r>
  </si>
  <si>
    <t xml:space="preserve">PTP not calibrated. First goal arm 7. </t>
  </si>
  <si>
    <r>
      <rPr>
        <rFont val="Arial"/>
        <color theme="1"/>
      </rPr>
      <t xml:space="preserve">1 outer rewarded, </t>
    </r>
    <r>
      <rPr>
        <rFont val="Arial"/>
        <b/>
        <color theme="1"/>
      </rPr>
      <t>4-12 outerreps</t>
    </r>
    <r>
      <rPr>
        <rFont val="Arial"/>
        <color theme="1"/>
      </rPr>
      <t xml:space="preserve">. 30 s lockout. 1 s white noise </t>
    </r>
    <r>
      <rPr>
        <rFont val="Arial"/>
        <b/>
        <color theme="1"/>
      </rPr>
      <t>delay 500-1000 ms</t>
    </r>
  </si>
  <si>
    <t>Ptp not calibrated. First goal arm 3</t>
  </si>
  <si>
    <t>1 outer rewarded, 4-12 outerreps. 30 s lockout. 1 s white noise delay 500-1000 ms</t>
  </si>
  <si>
    <t>PTP synchronized. First goal arm 2. Did really well today. By end of this run he was probably full. Weighed a lot when taken home.</t>
  </si>
  <si>
    <t>PTP not calibrated. First goal arm 1</t>
  </si>
  <si>
    <t>PTP not calibrated. First goal arm 6. Seems to be getting pretty full by the end, which leads to lots of LO2</t>
  </si>
  <si>
    <t>PTP synchronized.</t>
  </si>
  <si>
    <t xml:space="preserve">PTP not calibrated, First goal arm 4, cart ju,[ed off track at 54 mins </t>
  </si>
  <si>
    <t xml:space="preserve">ptp not calibrated </t>
  </si>
  <si>
    <t>ptp not calibrated.</t>
  </si>
  <si>
    <t>First goal arm 2. PTP not calibrated. Was doing so well we stopped him early so he could still get a good 2nd session</t>
  </si>
  <si>
    <t>PTP not calibrated. Giving him an extra 30min of sleep to get hungry</t>
  </si>
  <si>
    <t>PTP calibrated. First goal arm 7. Camera module died right as i took him out</t>
  </si>
  <si>
    <t xml:space="preserve">PTP calibrated. </t>
  </si>
  <si>
    <t>has decided that he hates the left well (!?) will not go to it. stopped session to investigate, files deleted (actually just renamed to be a useful short run example but not for main analysis</t>
  </si>
  <si>
    <t>restarted with same goal (7) being totally back to normal at center wells. stopped at abt 75 mins because he was losing motivation</t>
  </si>
  <si>
    <t>PTP calibrated. First goal arm 5.</t>
  </si>
  <si>
    <t>Probably stuck</t>
  </si>
  <si>
    <t>unitrode, ch1, ch2, and ch3 dead</t>
  </si>
  <si>
    <t>unitrode, ch2, ch3, and ch4 dead (really quiet?)</t>
  </si>
  <si>
    <t>Delayed mover?</t>
  </si>
  <si>
    <t>tritrode? ch4 dead</t>
  </si>
  <si>
    <t>stereotrode, ch1 and ch3 dead</t>
  </si>
  <si>
    <t>tritrode, ch4 dead</t>
  </si>
  <si>
    <t>unitrode, ch1, ch2, and ch4 dead</t>
  </si>
  <si>
    <t>no tet</t>
  </si>
  <si>
    <t>tet ripped out</t>
  </si>
  <si>
    <t>tritrode, ch2 dead</t>
  </si>
  <si>
    <t>delayed mover</t>
  </si>
  <si>
    <t>turns unevenly</t>
  </si>
  <si>
    <t>in at 5.5</t>
  </si>
  <si>
    <t>almost in</t>
  </si>
  <si>
    <t>in at 7? (quiet)</t>
  </si>
  <si>
    <t>got louder around 7.5</t>
  </si>
  <si>
    <t>in at 6.5</t>
  </si>
  <si>
    <t>in at 7 (after the fact)</t>
  </si>
  <si>
    <t>in at 7.25</t>
  </si>
  <si>
    <t>in at 6.75</t>
  </si>
  <si>
    <t>in at 6.25</t>
  </si>
  <si>
    <t>in at 7.5</t>
  </si>
  <si>
    <t>in at 7</t>
  </si>
  <si>
    <t>in at 5</t>
  </si>
  <si>
    <t>almost in?</t>
  </si>
  <si>
    <t>got quiet at 6</t>
  </si>
  <si>
    <t>in at 7.25 (probably should be 6.25)</t>
  </si>
  <si>
    <t>in at 5.75</t>
  </si>
  <si>
    <t>still not in at 7.5</t>
  </si>
  <si>
    <t xml:space="preserve">close to in at 7? </t>
  </si>
  <si>
    <t>in right at 5</t>
  </si>
  <si>
    <t>noisy at first then normal, in right at 6</t>
  </si>
  <si>
    <t xml:space="preserve">in at 7 </t>
  </si>
  <si>
    <t>in at 4</t>
  </si>
  <si>
    <t>in right at 7</t>
  </si>
  <si>
    <t>still not in at 6</t>
  </si>
  <si>
    <t>still not in at 7</t>
  </si>
  <si>
    <t xml:space="preserve">in right at 6 </t>
  </si>
  <si>
    <t>still not in after 6</t>
  </si>
  <si>
    <t>in right at 6</t>
  </si>
  <si>
    <t>maybe close but still not in at 6</t>
  </si>
  <si>
    <t>in at 4.75 nice fuzz</t>
  </si>
  <si>
    <t>try to get all in</t>
  </si>
  <si>
    <t>hashy, c +.5 louder</t>
  </si>
  <si>
    <t>sounds in, hashy c +.5 no clear change</t>
  </si>
  <si>
    <t xml:space="preserve">sounds in! c+ +.5 no change </t>
  </si>
  <si>
    <t xml:space="preserve">hashy, maybe in? +.5 no hcange +.5 still same </t>
  </si>
  <si>
    <t>probably in? +.5 x2 no clear change</t>
  </si>
  <si>
    <t xml:space="preserve">very quiet but sounds in, +.5 </t>
  </si>
  <si>
    <t xml:space="preserve">hashy, quiet +.5 fuzz louder c </t>
  </si>
  <si>
    <t>hashy, q +.5 no change/maybe even quieter</t>
  </si>
  <si>
    <t>hashy, q +.5 x2 no change</t>
  </si>
  <si>
    <t xml:space="preserve">q +.5 no change +.5 big fuzz c+ </t>
  </si>
  <si>
    <t xml:space="preserve">q +.5 x2 louder? c </t>
  </si>
  <si>
    <t>q +.5 x2 no change</t>
  </si>
  <si>
    <t xml:space="preserve">hashy c +.5 new c </t>
  </si>
  <si>
    <t>c, +.5, def change, new c+</t>
  </si>
  <si>
    <t>spindle, q, +.5 no change</t>
  </si>
  <si>
    <t>q + .5, no change, +.5 no change</t>
  </si>
  <si>
    <t>qq, very different from neighbors, +.5 no change +.5, no change</t>
  </si>
  <si>
    <t>q, +.5 no change, +.5, no change but spindles</t>
  </si>
  <si>
    <t>qq, +.5, nc, +.5 nc, +.5 nc</t>
  </si>
  <si>
    <t>qq, +.5 nc, +.5 nc</t>
  </si>
  <si>
    <t>qq, +.5 , nc +.5</t>
  </si>
  <si>
    <t>q, +.5 louder, +.5 louder</t>
  </si>
  <si>
    <t>qq, +.5 nc, +.5 nc, +.5 nc</t>
  </si>
  <si>
    <t>distant c, +.5 louder, +.5 hashy</t>
  </si>
  <si>
    <t>q, +.5 nc, +.5, nc, nc</t>
  </si>
  <si>
    <t>q, +.5 nc, +.5 maybe louder, +.5 louder</t>
  </si>
  <si>
    <t>q +.5, nc, +.5 nc</t>
  </si>
  <si>
    <t>def in, spindles c, +.5 nc</t>
  </si>
  <si>
    <t>def in hashy  spindles +.5, nc</t>
  </si>
  <si>
    <t xml:space="preserve">c+, light spindles, +.5 </t>
  </si>
  <si>
    <t>hashy, spindles, +.5 k def in</t>
  </si>
  <si>
    <t>hashy spindles, +.5 c</t>
  </si>
  <si>
    <t>c, spindles, +.5 c+</t>
  </si>
  <si>
    <t>qq, +.5 nc, +.5, nc, +.5 c, spindles, probably just got in</t>
  </si>
  <si>
    <t>c++ spindles, +.5 c++ change</t>
  </si>
  <si>
    <t>c, spindles, +.5 new c</t>
  </si>
  <si>
    <t>q, +.5 distant hash? +.5 nc, +.5 obvious k, def in, c++ spindles</t>
  </si>
  <si>
    <t>c+ spindles, +.5 fuzz</t>
  </si>
  <si>
    <t>q, might have come out, +.5 nc, +.5 nc, +.5 nc, +.5 nc</t>
  </si>
  <si>
    <t>hashy spindles, +.5 louder c+</t>
  </si>
  <si>
    <t>q no spindles, +.5 nc, +.5 c++, +.5 k probably just got back in</t>
  </si>
  <si>
    <t>qq might have come out+.5x2 pop, louder+.5 x2 now c+</t>
  </si>
  <si>
    <t>c+ +.5 fuzz c++</t>
  </si>
  <si>
    <t>hashy c +.5 fuzz k</t>
  </si>
  <si>
    <t xml:space="preserve">q,  might have come out +.5 x2 huge fuzz clearly popped in </t>
  </si>
  <si>
    <t>hashy +.5 louder? +.5 fuzz c++</t>
  </si>
  <si>
    <t xml:space="preserve">qq not in +.5 x3 no change +.5 now in! c+ </t>
  </si>
  <si>
    <t xml:space="preserve">q mihgt not be in +.5 nc +.5x2 huge fuzz popped in c++ </t>
  </si>
  <si>
    <t>qq +.5 x5 no change, still not in</t>
  </si>
  <si>
    <t xml:space="preserve">qq, looks just like 56 +.5 x3  </t>
  </si>
  <si>
    <t>qq +.5 x 3 big fuzz now c and spindles</t>
  </si>
  <si>
    <t xml:space="preserve">qq +.5 x6 no change </t>
  </si>
  <si>
    <t xml:space="preserve">q,hashy +.5 x2 louder tinyc </t>
  </si>
  <si>
    <t>qq +.5 x7 starting to hear signs, fuzz, now smal c</t>
  </si>
  <si>
    <t xml:space="preserve">qq +.5 x6 finally in! huge fuzz </t>
  </si>
  <si>
    <t>q maybe came out? +.5 x4 maybe slightly louder? no clear change, looks liks 6, no spindles</t>
  </si>
  <si>
    <t xml:space="preserve">qq +.5 x7 no change </t>
  </si>
  <si>
    <t xml:space="preserve">if no ripples, go +.5 on all; if red, would be good to listen for change (at least on ~5 tets time permitting) </t>
  </si>
  <si>
    <t>Hashy +.5 c-</t>
  </si>
  <si>
    <t>c- +.5 c--</t>
  </si>
  <si>
    <t>c- +.5 c</t>
  </si>
  <si>
    <t>hashy +.5 louder</t>
  </si>
  <si>
    <t>q +.5 hashy</t>
  </si>
  <si>
    <t>q +.5 q</t>
  </si>
  <si>
    <t>c+ +.5 q</t>
  </si>
  <si>
    <t>qq +.5 qq</t>
  </si>
  <si>
    <t>qq +.5 hashy</t>
  </si>
  <si>
    <t>C+ +.5 c+</t>
  </si>
  <si>
    <t>Hashy +.5 c--</t>
  </si>
  <si>
    <t>Lost ch2, hashy +.5 hashy</t>
  </si>
  <si>
    <t>c+ +.5 c++</t>
  </si>
  <si>
    <t>c- +.5 hashy</t>
  </si>
  <si>
    <t>Hashy, +.5</t>
  </si>
  <si>
    <t>c+, +.5</t>
  </si>
  <si>
    <t>q +.5</t>
  </si>
  <si>
    <t>hashy +.5</t>
  </si>
  <si>
    <t>q +.5 c--</t>
  </si>
  <si>
    <t>down +.5, hashy</t>
  </si>
  <si>
    <t>Hashy +.5 q</t>
  </si>
  <si>
    <t>c +.5 hashy</t>
  </si>
  <si>
    <t>c+ +.5 c-</t>
  </si>
  <si>
    <t>c+ +.5 hashy</t>
  </si>
  <si>
    <t>hashy +.5 q</t>
  </si>
  <si>
    <t>q +.5 c-</t>
  </si>
  <si>
    <t>Hashy +.5 quiet</t>
  </si>
  <si>
    <t>hashy +.5 c++</t>
  </si>
  <si>
    <t>q +.5 c</t>
  </si>
  <si>
    <t>q, +.5 distant c</t>
  </si>
  <si>
    <t>c++ +.5 c+</t>
  </si>
  <si>
    <t>c++ +.5 hashy</t>
  </si>
  <si>
    <t>hashy, +.5 c</t>
  </si>
  <si>
    <t>q +.5 qq</t>
  </si>
  <si>
    <t>Hashy +.5 hashy</t>
  </si>
  <si>
    <t>c +.5 c</t>
  </si>
  <si>
    <t>c +.5 c+</t>
  </si>
  <si>
    <t>Just listening today</t>
  </si>
  <si>
    <t>Hashy</t>
  </si>
  <si>
    <t>c</t>
  </si>
  <si>
    <t>c+</t>
  </si>
  <si>
    <t>c-</t>
  </si>
  <si>
    <t>c++</t>
  </si>
  <si>
    <t>hashy</t>
  </si>
  <si>
    <t>ch 2 returned? q</t>
  </si>
  <si>
    <t>c--</t>
  </si>
  <si>
    <t>try to get stuck ones to move</t>
  </si>
  <si>
    <t xml:space="preserve">c hashy +.5 fuzz </t>
  </si>
  <si>
    <t xml:space="preserve">tiny c +.5 quieter? +. 5 no ckear change but maybe c moved </t>
  </si>
  <si>
    <t>c+ +.5 x2 no change</t>
  </si>
  <si>
    <t>c+ on ch1 +.5 x2 no hcange</t>
  </si>
  <si>
    <t>q +.5 x2 no change +1 no hcnage</t>
  </si>
  <si>
    <t xml:space="preserve">q +.5 x 2 no change +1 +.5 still same.maybe sparse on ch4  </t>
  </si>
  <si>
    <t>q +.5 x 2 no change +.5 same</t>
  </si>
  <si>
    <t>qq +.5 x4 no change</t>
  </si>
  <si>
    <t>qq +.5 x 4 maybe tiny c coming on ch4</t>
  </si>
  <si>
    <t xml:space="preserve">c++ +.5 fuzz </t>
  </si>
  <si>
    <t>q hashy +.5 x 4 no change</t>
  </si>
  <si>
    <t>q hashy +.5 x4 no chage</t>
  </si>
  <si>
    <t xml:space="preserve"> c on ch4 +.5 x2 no change</t>
  </si>
  <si>
    <t>c++ +.5 no hcange</t>
  </si>
  <si>
    <t>c+ on ch2 +.5 x2 no clear change</t>
  </si>
  <si>
    <t>hashy +.5 x2 no change</t>
  </si>
  <si>
    <t>c+ +.5 fuzz</t>
  </si>
  <si>
    <t xml:space="preserve">c+ on ch1 +.5 x2 </t>
  </si>
  <si>
    <t xml:space="preserve">qqq +.5  x4 </t>
  </si>
  <si>
    <t>qq +.5 x4 no change, up/small spindles only</t>
  </si>
  <si>
    <t>hashy +.5 x4 no clear change</t>
  </si>
  <si>
    <t>hashy q +.5 x4 no change</t>
  </si>
  <si>
    <t xml:space="preserve">c++ +.5 k! </t>
  </si>
  <si>
    <t>qqq +.5 x4 no change</t>
  </si>
  <si>
    <t>hashy +.5 x3 no change</t>
  </si>
  <si>
    <t>hashy +.5 x4 c- no solid spindles</t>
  </si>
  <si>
    <t xml:space="preserve">hashy +.5 x4 </t>
  </si>
  <si>
    <t>hashy c on ch2 +.5 x4 no change</t>
  </si>
  <si>
    <t>q hashy +.5 x4 no change</t>
  </si>
  <si>
    <t>c, +1, fuzz c</t>
  </si>
  <si>
    <t>c--, +2, c--</t>
  </si>
  <si>
    <t>hashy/c-, +1, fuzz, hashy/c-</t>
  </si>
  <si>
    <t xml:space="preserve">hashy/c, +1, big fuzz, hashy/c </t>
  </si>
  <si>
    <t>hashy, +1, big fuzz, c</t>
  </si>
  <si>
    <t>c--, +1, fuzz, hashy/q</t>
  </si>
  <si>
    <t>hashy/c, +1.5, c? maybe slightly louder?</t>
  </si>
  <si>
    <t>hashy/c, +0.5, c+</t>
  </si>
  <si>
    <t>c+, +1, fuzz, hashy</t>
  </si>
  <si>
    <t>q/hashy, +1, little louder</t>
  </si>
  <si>
    <t>q, +1.5, distant c</t>
  </si>
  <si>
    <t>hashy/c, +1, big fuzz, c++</t>
  </si>
  <si>
    <t>c++, +1 big fuzz, c++</t>
  </si>
  <si>
    <t>hashy/c +1.5, hashy/c but seemed to change</t>
  </si>
  <si>
    <t>c, +1, c++ (really delayed movement)</t>
  </si>
  <si>
    <t>hashy, +1, big fuzz, c++</t>
  </si>
  <si>
    <t>c/c+, +1, c+</t>
  </si>
  <si>
    <t>c, +2, no change, c</t>
  </si>
  <si>
    <t>c+, +0.5, big fuzz, c+</t>
  </si>
  <si>
    <t>c +1.5, big fuzz (had really delayed movement), c++</t>
  </si>
  <si>
    <t xml:space="preserve">hashy, +1, fuzz, hashy </t>
  </si>
  <si>
    <t>c, +1, c no change</t>
  </si>
  <si>
    <t>q, +2, q no change</t>
  </si>
  <si>
    <t>c +1, fuzz, c+</t>
  </si>
  <si>
    <t>c++ +1, big fuzz, c</t>
  </si>
  <si>
    <t>hashy, +1, fuzz, hashy, passby of a distant cell</t>
  </si>
  <si>
    <t>c+, +.5 no change c+</t>
  </si>
  <si>
    <t>c +.5 big fuzz, c+</t>
  </si>
  <si>
    <t>q/hashy +2 no change</t>
  </si>
  <si>
    <t>qq +2 qq no change</t>
  </si>
  <si>
    <t>hashy, +1 fuzz, k, ends hashy</t>
  </si>
  <si>
    <t>hashy, +1 nc, +1 nc, +.5 nc</t>
  </si>
  <si>
    <t>q, +.5 nc</t>
  </si>
  <si>
    <t>q, +.5 nc, +.5 nc, +.5nc, +.5</t>
  </si>
  <si>
    <t>q, +1 nc</t>
  </si>
  <si>
    <t>qq, +1 nc +1 nc</t>
  </si>
  <si>
    <t>c+, +.5 fuzz, +.5 K, hashy, c++</t>
  </si>
  <si>
    <t>q, +1 nc, +1nc</t>
  </si>
  <si>
    <t>q +1, nc +1 nc</t>
  </si>
  <si>
    <t>c-, +.5 nc</t>
  </si>
  <si>
    <t>hashy, +.5 c-, +.5 hashy</t>
  </si>
  <si>
    <t>hashy +.5 c--, +.5 nc</t>
  </si>
  <si>
    <t>q, +1 nc +1 nc</t>
  </si>
  <si>
    <t>c++, +.5 k, hashy</t>
  </si>
  <si>
    <t>q, +.5 nc, +.5 nc</t>
  </si>
  <si>
    <t>hashy +.5nc, +.5 nc</t>
  </si>
  <si>
    <t>q, +1, nc, +1 nc</t>
  </si>
  <si>
    <t>c, +1  fuzz, hashy, +1 fuzz, c++, +.5 k, fuzz. c++</t>
  </si>
  <si>
    <t>c--, +.5 nc, +.5 nc</t>
  </si>
  <si>
    <t>q, +.5 nc, +.5 q</t>
  </si>
  <si>
    <t>hashy, +.5 delayed fuzz</t>
  </si>
  <si>
    <t xml:space="preserve">c+, +.5 nc </t>
  </si>
  <si>
    <t>c+, +.5 hashy</t>
  </si>
  <si>
    <t>q, +.5 k, q</t>
  </si>
  <si>
    <t>q, +1 nc, +1 nc</t>
  </si>
  <si>
    <t>hashy, +.5 nc, +.5 nc, +.5 nc</t>
  </si>
  <si>
    <t>c-, +.5 nc, +.5 nc</t>
  </si>
  <si>
    <t>c++, +.5 nc</t>
  </si>
  <si>
    <t>c--, +.5 nc, +.5 k, q</t>
  </si>
  <si>
    <t xml:space="preserve">c+, +.5 nc, </t>
  </si>
  <si>
    <t xml:space="preserve">hashy, +.5 nc, </t>
  </si>
  <si>
    <t>c- +.5 nc +.5 nc</t>
  </si>
  <si>
    <t>q +.5 nc +.5 nc</t>
  </si>
  <si>
    <t>hashy, +.5, nc +.5 fuzz k q</t>
  </si>
  <si>
    <t>c+, +.5 nc</t>
  </si>
  <si>
    <t xml:space="preserve">c, +.5 nc, </t>
  </si>
  <si>
    <t>q +.5, nc +.5 nc +.5nc +.5 nc</t>
  </si>
  <si>
    <t>hashy, +.5, fuzz, c</t>
  </si>
  <si>
    <t xml:space="preserve">c++, +.5 nc, </t>
  </si>
  <si>
    <t>c++, +.5 nc, +.5 nc +.5 different cell</t>
  </si>
  <si>
    <t>hashy, +.5 c-</t>
  </si>
  <si>
    <t>q, +.5 nc, +.5 nc, +1 nc</t>
  </si>
  <si>
    <t>hashy +.5 x2 fuzz c</t>
  </si>
  <si>
    <t>q hashy +1 nc</t>
  </si>
  <si>
    <t>hashy c +.5 x4</t>
  </si>
  <si>
    <t>hashy +.5 x2 nc</t>
  </si>
  <si>
    <t xml:space="preserve">hashy c on ch1  +.5 x3 nc </t>
  </si>
  <si>
    <t>q +.5 x3 nc maybe c coming ch3?</t>
  </si>
  <si>
    <t>q +.5 x4 nc</t>
  </si>
  <si>
    <t>c+ +.5 fuzz hashy c</t>
  </si>
  <si>
    <t>q tiny c on ch3 +.5 x4 nc</t>
  </si>
  <si>
    <t xml:space="preserve">c+ +.5x3 nc </t>
  </si>
  <si>
    <t>c+ +.5x2 nc</t>
  </si>
  <si>
    <t>c++ +.5 nc</t>
  </si>
  <si>
    <t>q +.5 x4 good spindles nc</t>
  </si>
  <si>
    <t>c++ +.5 fuzz hashy</t>
  </si>
  <si>
    <t>hashy c- +.5 x5</t>
  </si>
  <si>
    <t>hashy +.5 x2 sparce c on ch2</t>
  </si>
  <si>
    <t>qq +.5 x4 nc</t>
  </si>
  <si>
    <t>hashy +.5 x4 nc</t>
  </si>
  <si>
    <t>c+ +.5 x2 nc</t>
  </si>
  <si>
    <t>hashy, +.5 nc +.5 c+++</t>
  </si>
  <si>
    <t>q, +.5 nc +.5 nc</t>
  </si>
  <si>
    <t>hashy, +.5 big fuzz, c+</t>
  </si>
  <si>
    <t>hashy, c+, +.5 fuzz, +.5, new cell c+</t>
  </si>
  <si>
    <t>c, +.5 fuzz, lost cell</t>
  </si>
  <si>
    <t>q, +.5 nc +.5 nc +.5 nc, +.5 nc</t>
  </si>
  <si>
    <t>c+, +.5 nc +.5 big fuzz and k!</t>
  </si>
  <si>
    <t>c++, +.5 big fuzz!</t>
  </si>
  <si>
    <t>c+, +.5 nc +.5 nc</t>
  </si>
  <si>
    <t>c++, +.5 nc +.5 nc</t>
  </si>
  <si>
    <t>hashy/c- +.5 nc +.5 fuzz? maybe no change though</t>
  </si>
  <si>
    <t>hashy, +.5 nc +.5 nc</t>
  </si>
  <si>
    <t>c, +.5 nc +.5 nc</t>
  </si>
  <si>
    <t>hashy/c-, +.5 nc</t>
  </si>
  <si>
    <t xml:space="preserve">hashy/c, +1, fuzz! </t>
  </si>
  <si>
    <t>c, +.5, nc</t>
  </si>
  <si>
    <t>q/hashy, +1, nc</t>
  </si>
  <si>
    <t>q, +2, nc</t>
  </si>
  <si>
    <t>c-, +1, cell moving around between the channels, c+</t>
  </si>
  <si>
    <t>c++, +1 nc</t>
  </si>
  <si>
    <t>c+, +.5, nc</t>
  </si>
  <si>
    <t>c+, +1, nc</t>
  </si>
  <si>
    <t>hashy/c, +1, nc</t>
  </si>
  <si>
    <t>q, +2 nc</t>
  </si>
  <si>
    <t>qq, +2 nc</t>
  </si>
  <si>
    <t>2 ripple channels!</t>
  </si>
  <si>
    <t>c+, +1, kill, +0.5, hashy</t>
  </si>
  <si>
    <t>q/hashy +1 nc +1 nc</t>
  </si>
  <si>
    <t>hashy, +2, nc, +1, nc</t>
  </si>
  <si>
    <t>q/hashy, +1, nc, +0.5, nc</t>
  </si>
  <si>
    <t>hashy, +2, nc</t>
  </si>
  <si>
    <t>hashy?, +1, c (sparse firing)</t>
  </si>
  <si>
    <t>q,+2.5, nc</t>
  </si>
  <si>
    <t>q/hashy, +2, nc</t>
  </si>
  <si>
    <t>qq +2 nc</t>
  </si>
  <si>
    <t>q/hashy, +1, deflections, fuzz, c</t>
  </si>
  <si>
    <t>qq, +2, nc</t>
  </si>
  <si>
    <t>c+++, +1, nc, 0.5 x3, nc</t>
  </si>
  <si>
    <t>q/hashy, +1, nc, +1, nc</t>
  </si>
  <si>
    <t>hashy/c, +1, nc, +1, nc</t>
  </si>
  <si>
    <t>hashy, +1, nc, +1, nc</t>
  </si>
  <si>
    <t>c++ +1 k, hashy</t>
  </si>
  <si>
    <t>c +1 c</t>
  </si>
  <si>
    <t xml:space="preserve">qq +.5 x4 nc </t>
  </si>
  <si>
    <t>hashy +.5  big fuzz +.5 c +.5 k +.5 q +1 ripples!  and a c</t>
  </si>
  <si>
    <t>c+ +.5 x4 nc</t>
  </si>
  <si>
    <t>hashy  +.5 x4 nc</t>
  </si>
  <si>
    <t>c+ +.5 x6 nc</t>
  </si>
  <si>
    <t>c++ (mostly on 3), +1, multiple fuzzes, hashy</t>
  </si>
  <si>
    <t>c--?, +2, nc</t>
  </si>
  <si>
    <t>c+, +1, fuzz, hashy/q</t>
  </si>
  <si>
    <t>c+, +05, big fuzz, +0.5, c+++ on 3 (possibly dying?)</t>
  </si>
  <si>
    <t>c, +1, kill?, q/hashy, c</t>
  </si>
  <si>
    <t>q/hashy, +1, fuzz, c, +0.5, big fuzz (kill?), hashy</t>
  </si>
  <si>
    <t>c, +1, q, +0.5, kill</t>
  </si>
  <si>
    <t>hashy (c-?), +1, kill</t>
  </si>
  <si>
    <t>c, +2, nc (still see spindles), +1, nc</t>
  </si>
  <si>
    <t>q, +2, nc (in cc?)</t>
  </si>
  <si>
    <t>c++, +1, nc, +1, nc</t>
  </si>
  <si>
    <t>q, +1, nc, +0.5</t>
  </si>
  <si>
    <t>q/hashy, +3, hashy now c +1 nc +1 nc +1 nc pushed a s scout but didnt do anything</t>
  </si>
  <si>
    <t>q/hahsy, +1 nc</t>
  </si>
  <si>
    <t>hashy/c, +0.5 deflections/fuzz, q/hashy?, very delayed movement, c++</t>
  </si>
  <si>
    <t>q/hashy, +1 nc</t>
  </si>
  <si>
    <t>q, +1 deflections, q/hashy?</t>
  </si>
  <si>
    <t>q, +.5 nc +0.5 nc</t>
  </si>
  <si>
    <t>q, +1 small fuzz (deflections on 4), still quiet</t>
  </si>
  <si>
    <t>c++, +1 nc, +1 nc</t>
  </si>
  <si>
    <t>c-, +0.5 fuzz (kill on 3), +0.5,  q, delayed movement, c+</t>
  </si>
  <si>
    <t>c-, +0.5 big fuzz, +0.5 big fuzz c+ +1 fuzz q now new c k +1 fuzz now q with r-- spindles def changed, wider now</t>
  </si>
  <si>
    <t>qq, +1 small fuzz? (probably just him moving) +1 nc</t>
  </si>
  <si>
    <t>hashy +.5 fuzz, +.5 hashy</t>
  </si>
  <si>
    <t xml:space="preserve">q +.5 nc +.5 nc </t>
  </si>
  <si>
    <t>hashy +2 nc</t>
  </si>
  <si>
    <t>hashy +1  nc</t>
  </si>
  <si>
    <t>c +.5 nc +.5 nc</t>
  </si>
  <si>
    <t>q +2 nc</t>
  </si>
  <si>
    <t>c++ +.5 nc +.5 nc</t>
  </si>
  <si>
    <t>q +.5x4  nc</t>
  </si>
  <si>
    <t>c +.5 x4 nc still sparse c</t>
  </si>
  <si>
    <t xml:space="preserve">hashy +1 nc </t>
  </si>
  <si>
    <t>r+ WAY down leave for now</t>
  </si>
  <si>
    <t>c+ +.5 x4 nc still c+</t>
  </si>
  <si>
    <t xml:space="preserve">hashy +.5 x4 nc </t>
  </si>
  <si>
    <t>hashy looks a lot more like ca1 +.5 nc +.5 maybe r---</t>
  </si>
  <si>
    <t>c+ +.5x4 nc</t>
  </si>
  <si>
    <t xml:space="preserve">c+ +.5x4 nc </t>
  </si>
  <si>
    <t xml:space="preserve">hashy +.5 fuzz +.5 fuzz q  </t>
  </si>
  <si>
    <t xml:space="preserve">c- +.5 x4 nc </t>
  </si>
  <si>
    <t xml:space="preserve">hashy +.5 fuzz +.5 fuzz q  - possible reference? </t>
  </si>
  <si>
    <t xml:space="preserve">hashy c- +.5 fuzz k q +.5 k </t>
  </si>
  <si>
    <t>c++ +.5 k fuzz +.5 fuzz q +.5 fuzz k q</t>
  </si>
  <si>
    <t>hashy c +.5 fuzz k q +.5 delayed fuzz</t>
  </si>
  <si>
    <t>q +.5 x2 nc</t>
  </si>
  <si>
    <t xml:space="preserve">hashy +.5 x2 fuzz r---? </t>
  </si>
  <si>
    <t xml:space="preserve">hashy +.5 fuzz +.5 fuzz k  </t>
  </si>
  <si>
    <t>hashy c- +.5x4 nc looks way diff from neighbors</t>
  </si>
  <si>
    <t>qq +.5 x2 nc leave</t>
  </si>
  <si>
    <t>c++ +.5 x2 nc 15</t>
  </si>
  <si>
    <t>qq r--?? +.25 definitely r-</t>
  </si>
  <si>
    <t xml:space="preserve">q hashy +.5 x4 nc </t>
  </si>
  <si>
    <t>hashy +.5 nc +.5 nc</t>
  </si>
  <si>
    <t>c++ +.5 k c</t>
  </si>
  <si>
    <t>c++ +.5 fuzz, k</t>
  </si>
  <si>
    <t>c-- +.5 c-</t>
  </si>
  <si>
    <t>q +.25 nc</t>
  </si>
  <si>
    <t>c++ +2 nc</t>
  </si>
  <si>
    <t>c+ +.5 nc +.5 nc</t>
  </si>
  <si>
    <t>c- +.25 x3 fuzz now solid ripples</t>
  </si>
  <si>
    <t>r---? +.25x2 nc but def r-</t>
  </si>
  <si>
    <t xml:space="preserve">q +.5 x4 nc </t>
  </si>
  <si>
    <t>hashy +.5 x6</t>
  </si>
  <si>
    <t xml:space="preserve">hashy +2 nc </t>
  </si>
  <si>
    <t xml:space="preserve">sparse  c +.5 x4 nc still c  </t>
  </si>
  <si>
    <t xml:space="preserve">qq +3 nc </t>
  </si>
  <si>
    <t>c+ +.5 x2 +.25x4 c moving maybe r---</t>
  </si>
  <si>
    <t>c+  +2 nc</t>
  </si>
  <si>
    <t>c++ +3 nc</t>
  </si>
  <si>
    <t>q +1 nc +1 c on ch4  still spindly</t>
  </si>
  <si>
    <t>hashy c- +.5 fuzz r--- +.25 fuzz +.25 def r-</t>
  </si>
  <si>
    <t>q +2 nc still splindly</t>
  </si>
  <si>
    <t xml:space="preserve">c +3 nc </t>
  </si>
  <si>
    <t xml:space="preserve">hashy +3 nc </t>
  </si>
  <si>
    <t xml:space="preserve">q +3 nc </t>
  </si>
  <si>
    <t>q +.5x4 nx</t>
  </si>
  <si>
    <t xml:space="preserve">c+ +3 nc </t>
  </si>
  <si>
    <t xml:space="preserve">qq +.5x4 </t>
  </si>
  <si>
    <t xml:space="preserve">hashy c +1 x2 nc </t>
  </si>
  <si>
    <t>hashy c +2 nc</t>
  </si>
  <si>
    <t xml:space="preserve">hashy c +2 nc </t>
  </si>
  <si>
    <t>hashy/c- +.5 big fuzz hashy r-- +.25 fuzz r-- +.125 big fuzz +.125</t>
  </si>
  <si>
    <t>c- +.5 x4 nc</t>
  </si>
  <si>
    <t>c, +.5 big fuzz</t>
  </si>
  <si>
    <t>c, +.125 x2 little fuzz, .125x2 c+, +.25 big fuzz</t>
  </si>
  <si>
    <t>c-, +.5 fuzz, +.25</t>
  </si>
  <si>
    <t xml:space="preserve">hashy, +.25 x 2 big fuzz and kill, +.25 another big fuzz and kill </t>
  </si>
  <si>
    <t>q/hashy +2 nc</t>
  </si>
  <si>
    <t>q, +.25x2, c-, +.25 r-- +.25 r-</t>
  </si>
  <si>
    <t>hashy/c-, +.25 c, +.25 x3 new c</t>
  </si>
  <si>
    <t>q, +.25x8 nc</t>
  </si>
  <si>
    <t>qq, potential reference, didnt move</t>
  </si>
  <si>
    <t>c+++, +.5x4 nc</t>
  </si>
  <si>
    <t>looks close, r--, +.125x2, r-, +.125, r/r-</t>
  </si>
  <si>
    <t>hashy, +2 nc</t>
  </si>
  <si>
    <t>maybe close, hashy, +.125x8, c-, +.5</t>
  </si>
  <si>
    <t>c++, +.5 x2 c+++ and kill</t>
  </si>
  <si>
    <t>hashy, +.5 x2 nc</t>
  </si>
  <si>
    <t>c++, +.5, +.25 big fuzz, k, +.25 big fuzz, k, hashy</t>
  </si>
  <si>
    <t>c--, +.5, +.25, hashy</t>
  </si>
  <si>
    <t>q +3 nc</t>
  </si>
  <si>
    <t>c-, +.5 x2 nc</t>
  </si>
  <si>
    <t>maybe close, q/hashy, +.5 x2, c-, +.5 nc</t>
  </si>
  <si>
    <t>hashy, +.25x4 +.5 nc +1 (still very spindly) nc</t>
  </si>
  <si>
    <t>qq +3 nc</t>
  </si>
  <si>
    <t>16,5</t>
  </si>
  <si>
    <t>started finding more rips, greying out dead/stuck channels to focus on good movers</t>
  </si>
  <si>
    <t>r-- +.25 r--, +.25 r</t>
  </si>
  <si>
    <t>hashy +.5 x4 nc +.5 x2 nc</t>
  </si>
  <si>
    <t>r- c++ +1/8 x4 nc</t>
  </si>
  <si>
    <t>q +.25 r+</t>
  </si>
  <si>
    <t xml:space="preserve">c++ +1 r-! </t>
  </si>
  <si>
    <t>c- +2 nc</t>
  </si>
  <si>
    <t>c+ +.5 x2 new c now r-</t>
  </si>
  <si>
    <t>r- +1/8 x4 def sounding closer</t>
  </si>
  <si>
    <t xml:space="preserve">r- c on ch2 +1/8 x4 c smaller r closer   </t>
  </si>
  <si>
    <t xml:space="preserve">c++ +.25x4 qq now r-! </t>
  </si>
  <si>
    <t xml:space="preserve">r- +1/8 </t>
  </si>
  <si>
    <t xml:space="preserve">c+ +.25 x 3 r-! </t>
  </si>
  <si>
    <t>hashy sparse c +2  nc</t>
  </si>
  <si>
    <t>qq, but not confident that it is in cc . 58 is a better ref option. +3 nc</t>
  </si>
  <si>
    <t xml:space="preserve">c++ +2 </t>
  </si>
  <si>
    <t>r/r- +1/8 sounding closer</t>
  </si>
  <si>
    <t xml:space="preserve">very spindly +3 nc </t>
  </si>
  <si>
    <t xml:space="preserve">c esp on ch4 still kinda spindly +.5 x 4 nc </t>
  </si>
  <si>
    <t xml:space="preserve">qq +2 nc </t>
  </si>
  <si>
    <t xml:space="preserve">hashy +1 deflections, c coming +.25 x2 c gone </t>
  </si>
  <si>
    <t xml:space="preserve">hashy +1 nc+1 nc, still spindly +.5 q  </t>
  </si>
  <si>
    <t xml:space="preserve">c on ch1 +1 fuzz now qq +.25 </t>
  </si>
  <si>
    <t>small c on ch 1&amp;4 +1 nc, still very spindly +1 nc</t>
  </si>
  <si>
    <t xml:space="preserve">c- on ch2 +2 nc +1 still nc </t>
  </si>
  <si>
    <t>qq prob cc? maybe good ref?</t>
  </si>
  <si>
    <t xml:space="preserve">c+ +2 nc </t>
  </si>
  <si>
    <t xml:space="preserve">hashy/q +.25 x3 r--? </t>
  </si>
  <si>
    <t>hashy +2 nc , stuck in ctx</t>
  </si>
  <si>
    <t>r+, 200 splash +1/8 nc leave</t>
  </si>
  <si>
    <t xml:space="preserve">qq +2 nc actaully moved much later, big fuzz, when moving 60 +1 nc </t>
  </si>
  <si>
    <t xml:space="preserve">get rips bigger </t>
  </si>
  <si>
    <t xml:space="preserve">r- +1/8 x2 getting bigger </t>
  </si>
  <si>
    <t>c++ r- +1/8 spread growing, 300uv</t>
  </si>
  <si>
    <t>r+ +1/8 +1/16x2 sounding bigger? no change otherwise</t>
  </si>
  <si>
    <t>r+ (down), moving up, -1/4 x 11, r++ flat</t>
  </si>
  <si>
    <t>c++ (interneuron) r, +1/16 x4</t>
  </si>
  <si>
    <t xml:space="preserve">c+ (interneuron) r- +1/8 +1/16 x2 </t>
  </si>
  <si>
    <t xml:space="preserve">r +1/8 +1/16 x3 </t>
  </si>
  <si>
    <t xml:space="preserve">r+ +1/16 x3 nc </t>
  </si>
  <si>
    <t xml:space="preserve">r+ +1/16 x4 nc </t>
  </si>
  <si>
    <t>r+ +1/16 x 4</t>
  </si>
  <si>
    <t xml:space="preserve">r+! +1/8 +1/16 growing </t>
  </si>
  <si>
    <t xml:space="preserve">r+ +1/8 +1/16 x2 sounds nice but still wimpy splash </t>
  </si>
  <si>
    <t>r-- +1/8 x4 small c on ch4</t>
  </si>
  <si>
    <t xml:space="preserve">c++ r- 300 splash +1/16 x3 </t>
  </si>
  <si>
    <t>maybe r---? leave for today but continue to monitor</t>
  </si>
  <si>
    <t>hashy +1/8 x3 clear small r</t>
  </si>
  <si>
    <t xml:space="preserve">r+ +1/16 x4   nc </t>
  </si>
  <si>
    <t>r-- +1/4, sounds louder, +1/8 x2, r</t>
  </si>
  <si>
    <t>c++ r- +1/8 x6, c++, r-</t>
  </si>
  <si>
    <t>r, +1/8 x2, 200 spread, +1/8 x 2</t>
  </si>
  <si>
    <t>600 spread, leaving</t>
  </si>
  <si>
    <t>c, r-, +1/8 x3, r</t>
  </si>
  <si>
    <t xml:space="preserve">r, +1/8 x3, r </t>
  </si>
  <si>
    <t>r- +1/8 x4 growing splash</t>
  </si>
  <si>
    <t>r- small splash +1/8 x3 r</t>
  </si>
  <si>
    <t>r- small splash +1/8 x3 c+</t>
  </si>
  <si>
    <t>r- +1/8 x2 c-- +1/16 x4 nc</t>
  </si>
  <si>
    <t>r c++ +1/16 x3 r+</t>
  </si>
  <si>
    <t>r- small splash +1/8 x4 r louder cells incoming</t>
  </si>
  <si>
    <t>r-- +1/8 x8 c+</t>
  </si>
  <si>
    <t>c++ 280 splash +1/16 x3 splash changing</t>
  </si>
  <si>
    <t>looks good</t>
  </si>
  <si>
    <t>r--  +1/8 x5 louder rips</t>
  </si>
  <si>
    <t>r- +1/8 x4 nc</t>
  </si>
  <si>
    <t>r-, +1/8 x2, sounds louder, +1/16, r, 150 spread, +1/8 x6, 450 spread</t>
  </si>
  <si>
    <t>c+, +1/8 x9, c+, +1/2 x2</t>
  </si>
  <si>
    <t>r-, 1/16 x4, r, 200 spread, +1/8 x5, 250 spread, growing</t>
  </si>
  <si>
    <t>700 spread, leaving</t>
  </si>
  <si>
    <t>sparse c+, r-, +1/8 x8, r, 350 spread</t>
  </si>
  <si>
    <t>r-, +1/8 x8, r, 600 spread</t>
  </si>
  <si>
    <t>r-, +1/8 x6, r, 150 splash, 200 splash</t>
  </si>
  <si>
    <t>r-, +1/8 x8, r, caught an interneuron c+</t>
  </si>
  <si>
    <t xml:space="preserve">r, +1/16 x10, 200 splash, +1/8 x5 </t>
  </si>
  <si>
    <t>r-, +1/8 x4, +1/16 x2, r, +1/16 x3, 250 splash growing</t>
  </si>
  <si>
    <t>r-, +1/8 x3 +1/16 x2, r, +1/8, +1/16, 250 splash growing</t>
  </si>
  <si>
    <t>r, +1/16 x4, r, 200 spread, +1/8 x2, +1/16, 200 splash growing</t>
  </si>
  <si>
    <t>r--, +1/8 x8, nc, 300 splash, +1/16, +1/8 x8, nc</t>
  </si>
  <si>
    <t>c++ +1/8 x2, killed two interneurons, +1/8 x6, r</t>
  </si>
  <si>
    <t>r-, +1/8 x3, r, 200 splash, +1/16 x3, growing</t>
  </si>
  <si>
    <t>r, +1/16 x4, 200 splash, +1/16 x12</t>
  </si>
  <si>
    <t>400 spread, r+ (center/down), leaving</t>
  </si>
  <si>
    <t>might be stuck? let's be aggressive, +1/8x16</t>
  </si>
  <si>
    <t>400 spread, r+ (center), leaving for now</t>
  </si>
  <si>
    <t>600 spread, r+ (center), leaving</t>
  </si>
  <si>
    <t>r+ (center/down), super defined spread, 700 spread, leaving</t>
  </si>
  <si>
    <t>r+ (center/down), super defined spread, 700+ spread, leaving</t>
  </si>
  <si>
    <t>r+ (center), 400 spread, leaving for now</t>
  </si>
  <si>
    <t>r+ (center/up), 250 spread, leaving for now</t>
  </si>
  <si>
    <t>r+ (center/up), 300 spread, +1/16, new growth!</t>
  </si>
  <si>
    <t>r (up), +1/16 x3</t>
  </si>
  <si>
    <t>r (up), +1/16 x2, 250 spread growing</t>
  </si>
  <si>
    <t>r+ (center/up), 500 spread, leaving for now</t>
  </si>
  <si>
    <t>push, might be stuck?, +1/8 x8, +1/8 x8</t>
  </si>
  <si>
    <t>r/r-, push, +1/16 x6, r</t>
  </si>
  <si>
    <t>r+ (center/up), 700 spread, leaving for now (maybe add 1/16 in the next days)</t>
  </si>
  <si>
    <t>r, push, +1/16 x4</t>
  </si>
  <si>
    <t>r+ (down), 250 spread, leaving</t>
  </si>
  <si>
    <t>r+ (center), 500 spread, nice separation, leaving</t>
  </si>
  <si>
    <t>r+ (center), 600 spread, decent separation, leaving</t>
  </si>
  <si>
    <t>r+ (center/down), 800 spread, super defined, leaving</t>
  </si>
  <si>
    <t>r+ (center), 400 spread, leaving</t>
  </si>
  <si>
    <t>r+ (center/up), 450 spread, decent separation, leaving</t>
  </si>
  <si>
    <t>r+ (slight up), 600 spread, leaving</t>
  </si>
  <si>
    <t>r+ (center/up) 300 spread, +1/16 x2</t>
  </si>
  <si>
    <t>r+ (center/up), 400 spread, +1/16, grew to 600 spread!</t>
  </si>
  <si>
    <t>r+ (center/up), 600 spread, leaving</t>
  </si>
  <si>
    <t>c+, +1/8 x8 1/8 x8 up
trying to retract to unstick: -1/4 x4</t>
  </si>
  <si>
    <t>r (up), 200 splash with some defined cells, +1/16 x4</t>
  </si>
  <si>
    <t>r+ (center/up), 550 spread, +1/16</t>
  </si>
  <si>
    <t>D16</t>
  </si>
  <si>
    <t>starting to retract some</t>
  </si>
  <si>
    <t xml:space="preserve">r+ (down), 300 spread, move up, -1 x4 -3/4 now up and quieter </t>
  </si>
  <si>
    <t>r+ (center), 800 spread, nice separation, leaving</t>
  </si>
  <si>
    <t>r+ (center), 450 spread, leaving</t>
  </si>
  <si>
    <t>r (down), 450 spread, moving up -1/4 x5 up and flat, changin spread</t>
  </si>
  <si>
    <t>r (down), 500 spread, moving up -1/4 x2 -1/8 x1 flat and up, spread changing</t>
  </si>
  <si>
    <t>r+ (center), 500 spread, leaving</t>
  </si>
  <si>
    <t>r+ (center), 900 spread, good separation, leaving</t>
  </si>
  <si>
    <t>r+ (center), 800 spread, good separation, leaving</t>
  </si>
  <si>
    <t>r+ (center), 1000 spread, leaving</t>
  </si>
  <si>
    <t>r+ (center), 700 spread, leaving</t>
  </si>
  <si>
    <t>r+ (down), 400 splash, -1/4 x1 up now, growing spread</t>
  </si>
  <si>
    <t>r (up), 200 splash with some defined cells, +1/16 x1</t>
  </si>
  <si>
    <t>r+ (center), 500 spread, good separation, leaving</t>
  </si>
  <si>
    <t>r (center/up), 300 splash, +1/16 x3</t>
  </si>
  <si>
    <t>r+ up no splash, +1/16 x4 nc leaving to marinate</t>
  </si>
  <si>
    <t>r+ centered 800 spread leaving</t>
  </si>
  <si>
    <t>r+ centered 400 spread leaving</t>
  </si>
  <si>
    <t>r+ center 500 spread good separation, leaving</t>
  </si>
  <si>
    <t>r+ center 650 spread leaving</t>
  </si>
  <si>
    <t>r+ center/down, 450 spread leaving</t>
  </si>
  <si>
    <t>r+ center 900 spread leaving</t>
  </si>
  <si>
    <t>r+ center 600 spread leaving</t>
  </si>
  <si>
    <t>r+ 600 spread leaving</t>
  </si>
  <si>
    <t>r+ center 800 spread leaving</t>
  </si>
  <si>
    <t>r+ center 500 spread leaving</t>
  </si>
  <si>
    <t>r+ center/up. 300 splash, leaving</t>
  </si>
  <si>
    <t>Looks good</t>
  </si>
  <si>
    <t>r+ centered, 450 splash leaving</t>
  </si>
  <si>
    <t>r+ up, one big cell, move down ~2/16, +1/16 x4 nc letting marinate</t>
  </si>
  <si>
    <t xml:space="preserve">r small and up, no splash +1/16x5, r maybe louder? not clear </t>
  </si>
  <si>
    <t>great r centered 800 spread leave</t>
  </si>
  <si>
    <t>r+ centered/down 400 splash leave</t>
  </si>
  <si>
    <t>r+ nice spread 800 leavel</t>
  </si>
  <si>
    <t>r+ centered/down 550 spread -1/16 x6</t>
  </si>
  <si>
    <t>r+ centered/down 400 splash leave for today</t>
  </si>
  <si>
    <t>beautiful 1200 spread leave</t>
  </si>
  <si>
    <t>500 spread r+ centered/ down leave</t>
  </si>
  <si>
    <t xml:space="preserve">800 spread leave nice and clustery </t>
  </si>
  <si>
    <t xml:space="preserve">750 spread leave </t>
  </si>
  <si>
    <t>400 splash r centered/down leave for today</t>
  </si>
  <si>
    <t xml:space="preserve">r+ up 300 splash +1/16 growing </t>
  </si>
  <si>
    <t>good</t>
  </si>
  <si>
    <t>r+ r up still 250 splash +1/16 x3 no clear change</t>
  </si>
  <si>
    <t>r (up), very small (100), +1/16x5, r maybe louder? not clear</t>
  </si>
  <si>
    <t>r+ (center), 860 spread, great!, leave</t>
  </si>
  <si>
    <t>r+ (center/down), 400 splash, leave</t>
  </si>
  <si>
    <t>r+ (center/down), 1200 spread!!, so cool!! leave</t>
  </si>
  <si>
    <t>r+ (center/down), 600 spread, leave</t>
  </si>
  <si>
    <t>r+ (center/down), 500 splash, leave</t>
  </si>
  <si>
    <t>r+ (center), 1300 spread!!, leave</t>
  </si>
  <si>
    <t>r+ (center/down), 500 spread, really clustery!, leave</t>
  </si>
  <si>
    <t>r+ (center), 800 spread, very nice, leave</t>
  </si>
  <si>
    <t>r+ (center), 1100 spread!! so pretty!! leave</t>
  </si>
  <si>
    <t>r (center/up), 200 splash, +1/16 x3 no clear change</t>
  </si>
  <si>
    <t>r+ (up) very small (100) +1/16, sounds louder, +1/16 x2, definitely sounds louder</t>
  </si>
  <si>
    <t>r+ (center), 1000 spread, great!! leave</t>
  </si>
  <si>
    <t>r+ (center/down), 1100 spread, great! leave</t>
  </si>
  <si>
    <t>r+ (down) 400 spread, moving up -1/4x2, -1/8x4, center, growing spread, 550+</t>
  </si>
  <si>
    <t>r+ (center), 1000 spread, great! leave</t>
  </si>
  <si>
    <t>r+ (center/down), 500 spread, less clustery, leave</t>
  </si>
  <si>
    <t>r+ (center), 650 spread, very nice, leave</t>
  </si>
  <si>
    <t>r+ (center), 900 spread, very nice, leave</t>
  </si>
  <si>
    <t>r+ (center/down), 300 splash, moving up -1/4, a little more center, -1/4 (center), seems pretty responsive to upward movement in general, -1/4 definite kill, spread growing! 500+</t>
  </si>
  <si>
    <t>r+ (center), 1050 spread, so pretty! leave</t>
  </si>
  <si>
    <t>r+ (down), 300 splash, moving up -1/8x16 -1/8x4, r+ (up!)</t>
  </si>
  <si>
    <t>r (center/up), 200 splash, +1/16x2, sounds nice</t>
  </si>
  <si>
    <t>r+ (center/up) 160 splash, +1/16 x8, no clear change, might be stuck</t>
  </si>
  <si>
    <t>r+ (center), 800 spread, beautiful clusters, leave</t>
  </si>
  <si>
    <t>r+ (center/down), 400 splash, kind of clustery, leave</t>
  </si>
  <si>
    <t>r+ (center/down), 800 spread,  still pretty but smaller than yesterday, leave</t>
  </si>
  <si>
    <t>r+ (center), 800 spread, pretty, leave</t>
  </si>
  <si>
    <t>r+ (center/down), 700 spread, leave</t>
  </si>
  <si>
    <t>r+ (down), 700 spread, still pretty but smaller than yesterday, leave</t>
  </si>
  <si>
    <t>r+ (down), 500 spread, a little clustery, moving up, -1/8 x14, center/up</t>
  </si>
  <si>
    <t>r+ (center), 650 spread, clustery, leave</t>
  </si>
  <si>
    <t>r+ (center), 950 spread, very nice, leave</t>
  </si>
  <si>
    <t>r+ (center), 500 spread but not great, try moving up a bit more, moving up -1/16 x2, no clear change, -1/16 x2, no clear change</t>
  </si>
  <si>
    <t>r+ (center/down), 1000 spread, pretty, leave</t>
  </si>
  <si>
    <t xml:space="preserve">r+ (center/up), +1/8 x2 +1/16x5, slightly less up? maybe? </t>
  </si>
  <si>
    <t>r (center/up), +1/16 x5, no clear change, might be stuck</t>
  </si>
  <si>
    <t>r+ enter/up, super wimpy splash still +1/16 x 6 no change</t>
  </si>
  <si>
    <t xml:space="preserve">r+, down 400 splash, kind of clustery, pull up -1/8 big fuz  -1/16 spread changing </t>
  </si>
  <si>
    <t>r+ 700 spread down, clustery</t>
  </si>
  <si>
    <t>r+ down, 700 spread, but not very clustery</t>
  </si>
  <si>
    <t>r+ 600 spread and nice clusters, but very down</t>
  </si>
  <si>
    <t>500 splash and one interneuron , r centered leave</t>
  </si>
  <si>
    <t>r+ down 550 spread clustery</t>
  </si>
  <si>
    <t>900 spread leave</t>
  </si>
  <si>
    <t>r up now, still 400 spread leave</t>
  </si>
  <si>
    <t>def has clearer cell on ch3 but no r channel 1 still fine</t>
  </si>
  <si>
    <t xml:space="preserve">r+ center/up 350 splash maybe stuck +1/16 4x2 big fuzz! still small splash tho +1/16x2 </t>
  </si>
  <si>
    <t>r center/up 300 splash +1/16 x6 no change</t>
  </si>
  <si>
    <t>r+ (center/up) 100ish splash, might be stuck +1/16 x8 no change</t>
  </si>
  <si>
    <t>r+ (center), 600 spread, clustery, leave</t>
  </si>
  <si>
    <t xml:space="preserve">r+ (down), 400 spread, clustery, pull up -1/8 x6 big fuzz, r more centered </t>
  </si>
  <si>
    <t>r+ (center), 850 spread, pretty, leave</t>
  </si>
  <si>
    <t>r+ down, 700 spread, but not very clustery, leave</t>
  </si>
  <si>
    <t>r+ 400 spread and nice clusters, but very down pullling up -1/8 x 9 def moving changing, more centered</t>
  </si>
  <si>
    <t>r+ down 500 spread clustery, leave</t>
  </si>
  <si>
    <t>r+ (center/down) 750 spread, very clustery, leave</t>
  </si>
  <si>
    <t xml:space="preserve">r center/up, 300 splash, push down +1/8 x3 more centered </t>
  </si>
  <si>
    <t>r+ (down), 1000 spread, pretty, leave</t>
  </si>
  <si>
    <t>r+ (center) 400 splash, leave</t>
  </si>
  <si>
    <t>r (center/up) 300 splash, might be stuck</t>
  </si>
  <si>
    <t>seems like something global happend bc all tets (incl ref) moved down substantially</t>
  </si>
  <si>
    <t xml:space="preserve">r look bigger and more centered, 250 splash - maybe actually moved? +1/8x2 no change </t>
  </si>
  <si>
    <t>r+ WAY down, 300 splash pull up -1/8 x5 more centered</t>
  </si>
  <si>
    <t>450 splash r still centered/down - pull up more -1/8x5 more centered</t>
  </si>
  <si>
    <t>r really down 500 spread, -1/8 x8 still down -1/8 x2 maybe slightly better?</t>
  </si>
  <si>
    <t xml:space="preserve">r way down, 300 splash pull up -1/8 x 16 more centered, spread growing </t>
  </si>
  <si>
    <t xml:space="preserve"> nice and clustery but oly 500 srpead r down -1/8 x4  </t>
  </si>
  <si>
    <t>550 spread r down, pull up -1/8 x3 now more centered spread growing big fuzz</t>
  </si>
  <si>
    <t>r super down 400 spread, clustery. pull up -1/8 x18 still kinda down but spread growing?</t>
  </si>
  <si>
    <t>700 spread, clustery, r down, leave</t>
  </si>
  <si>
    <t>now r down, wimpy splash. -1/8 x5 growing a r more centered</t>
  </si>
  <si>
    <t xml:space="preserve">spread much worse(400 splash) pull up , r super down -1/8x8 -1/8 now cenetered, spread growing </t>
  </si>
  <si>
    <t>cell is now bigger and on ch 2 - time to pull up -1/8 x24 c got bigger then smaller - 1 aditional turn  still there but tiny -1/2 wierd pop now c gone</t>
  </si>
  <si>
    <t xml:space="preserve">now super down! 400 splash -1/8 x 8 still way down - another turn, big fuzz r up/centered </t>
  </si>
  <si>
    <t xml:space="preserve">r down and now 800 splash! </t>
  </si>
  <si>
    <t>r+ centered 850 spread</t>
  </si>
  <si>
    <t>r+ centered 1000 spread</t>
  </si>
  <si>
    <t>r centered 600 spread</t>
  </si>
  <si>
    <t>r centered, someitmes down. 700 spread</t>
  </si>
  <si>
    <t>r centered/down, 600 spread</t>
  </si>
  <si>
    <t>r down, sometimes centered, 500 spread but really clustered</t>
  </si>
  <si>
    <t>r centered/down, 550 spread</t>
  </si>
  <si>
    <t>r down, 500 spread but super clustery</t>
  </si>
  <si>
    <t>r centered, 400 splash +1/16 x2 spread changing.</t>
  </si>
  <si>
    <t>650 spread r flat/down</t>
  </si>
  <si>
    <t>nice and clean!</t>
  </si>
  <si>
    <t>r up/centered 300 splash +1/16 x4 picked up cell</t>
  </si>
  <si>
    <t>r up, 900 spread</t>
  </si>
  <si>
    <t>r+ cemtered, 830 spread</t>
  </si>
  <si>
    <t>r+ centered, 900 spread</t>
  </si>
  <si>
    <t>r centered, 700 spread</t>
  </si>
  <si>
    <t>r down, 500 spread but looks nice</t>
  </si>
  <si>
    <t>r down. 500 spread but good</t>
  </si>
  <si>
    <t>r centered 400 splash +1/16 x8 nc</t>
  </si>
  <si>
    <t>r centered/down, 1100 spread</t>
  </si>
  <si>
    <t>r up/centered, 300 splash +1/16 x8 nc</t>
  </si>
  <si>
    <t>r centered 1000 spread</t>
  </si>
  <si>
    <t>retraction after</t>
  </si>
  <si>
    <t>no r, just 60hz -16 no change</t>
  </si>
  <si>
    <t xml:space="preserve">60 hz -16 </t>
  </si>
  <si>
    <t>most 60 hz -16 no audible change</t>
  </si>
  <si>
    <t xml:space="preserve">pure 60hz no audible change 20.5 </t>
  </si>
  <si>
    <t>pulling up mostly 60hz -no change detectable -23</t>
  </si>
  <si>
    <t>break</t>
  </si>
  <si>
    <t>Tet broken - at shuttle</t>
  </si>
  <si>
    <t>Guide tube broke away from UV Epoxy</t>
  </si>
  <si>
    <r>
      <rPr>
        <rFont val="Arial"/>
        <color theme="1"/>
      </rPr>
      <t xml:space="preserve">goal, forageassistOFF. 25 s lockout, delay 1500-3000 ms, 15 outerreps, </t>
    </r>
    <r>
      <rPr>
        <rFont val="Arial"/>
        <b/>
        <color theme="1"/>
      </rPr>
      <t>firstGoal=[4]</t>
    </r>
  </si>
  <si>
    <t>carriage doesn't move well side-to-side, consider replacing the wires.
was able to find the goal and turn around, but mostly just wanted to sit/nap. Was capable of moving, but needed a lot of nudges</t>
  </si>
  <si>
    <r>
      <rPr>
        <rFont val="Arial"/>
        <color theme="1"/>
      </rPr>
      <t xml:space="preserve">goal, forageassistOFF. 25 s lockout, delay 1500-3000 ms, 15 outerreps, </t>
    </r>
    <r>
      <rPr>
        <rFont val="Arial"/>
        <b/>
        <color theme="1"/>
      </rPr>
      <t>firstGoal=[6]</t>
    </r>
  </si>
  <si>
    <t>went down arms 6 and 1 of his own accord, no nudging . Ended up sleeping in Arm 1. Gave him a nudge to leave and go back to home, but eventually went back to Arm1 to sleep. Took home at that point.</t>
  </si>
  <si>
    <r>
      <rPr>
        <rFont val="Arial"/>
        <color theme="1"/>
      </rPr>
      <t xml:space="preserve">goal, forageassistOFF. 25 s lockout, delay 1500-3000 ms, 15 outerreps, </t>
    </r>
    <r>
      <rPr>
        <rFont val="Arial"/>
        <b/>
        <color theme="1"/>
      </rPr>
      <t>firstGoal=[6]</t>
    </r>
  </si>
  <si>
    <t>Went down arm 7 and just hung out. Would return to home if nudgedGot him to go down reward arm when guided.</t>
  </si>
  <si>
    <r>
      <rPr>
        <rFont val="Arial"/>
        <color theme="1"/>
      </rPr>
      <t xml:space="preserve">goal, forageassistOFF. 25 s lockout, delay 1500-3000 ms, 15 outerreps, </t>
    </r>
    <r>
      <rPr>
        <rFont val="Arial"/>
        <b/>
        <color theme="1"/>
      </rPr>
      <t>firstGoal=[6]</t>
    </r>
  </si>
  <si>
    <t>explored 3 different arms mostly on his own and then really hit a wall. had a lot of trouble turning around in each arm</t>
  </si>
  <si>
    <r>
      <rPr>
        <rFont val="Arial"/>
        <color theme="1"/>
      </rPr>
      <t xml:space="preserve">goal, forageassistOFF. 25 s lockout, delay 1500-3000 ms, 15 outerreps, </t>
    </r>
    <r>
      <rPr>
        <rFont val="Arial"/>
        <b/>
        <color theme="1"/>
      </rPr>
      <t>firstGoal=[9]</t>
    </r>
  </si>
  <si>
    <t>changed first goal to arm 6 (to make things a little easier for him maybe?)
similarly went down arm 7 and just hung out there for a while, had to turn him around.. went back to home and then back down arm 7 - turned around by himself!!, explored arm 8, backed out; explored arm 5 and turned around by himself again! almost went down arm 6 but got a little stuck and decided no. explored arm 3 (got a little stuck on the vertical piece) turned him around and he just went down arm 2 to sleep, tried to get him out and prevent him from going to more arms (tried to get back to home) but he wasn't having it... putting him back</t>
  </si>
  <si>
    <r>
      <rPr>
        <rFont val="Arial"/>
        <color theme="1"/>
      </rPr>
      <t xml:space="preserve">goal, forageassistOFF. 25 s lockout, delay 1500-3000 ms, 15 outerreps, </t>
    </r>
    <r>
      <rPr>
        <rFont val="Arial"/>
        <b/>
        <color theme="1"/>
      </rPr>
      <t>firstGoal=[9]</t>
    </r>
  </si>
  <si>
    <t>needed quite a few nudges to keep going but explored multiple arms incl goal arm</t>
  </si>
  <si>
    <r>
      <rPr>
        <rFont val="Arial"/>
        <color theme="1"/>
      </rPr>
      <t xml:space="preserve">goal, forageassistOFF. 25 s lockout, delay 1500-3000 ms, 15 outerreps, </t>
    </r>
    <r>
      <rPr>
        <rFont val="Arial"/>
        <b/>
        <color theme="1"/>
      </rPr>
      <t>firstGoal=[11]</t>
    </r>
  </si>
  <si>
    <t>set new first goal arm, but still should be a fav one. Keeps getting wrong well for rip or wait. then goes down arm 7 and falls asleep. Got him moving with some encouragement. Got him to go down arm8 by using a reward trail. Sort of worked. Did ok in the end! Finished right at 15 goal.</t>
  </si>
  <si>
    <r>
      <rPr>
        <rFont val="Arial"/>
        <color theme="1"/>
      </rPr>
      <t xml:space="preserve">goal, forageassistOFF. 25 s lockout, delay 1500-3000 ms, 15 outerreps, </t>
    </r>
    <r>
      <rPr>
        <rFont val="Arial"/>
        <b/>
        <color theme="1"/>
      </rPr>
      <t>firstGoal=[4]</t>
    </r>
  </si>
  <si>
    <t>Didn't do super great. Needed a lot of help. But, kept working which is great</t>
  </si>
  <si>
    <r>
      <rPr>
        <rFont val="Arial"/>
        <color theme="1"/>
      </rPr>
      <t xml:space="preserve">goal, forageassistOFF. 25 s lockout, delay 1500-3000 ms, 15 outerreps, </t>
    </r>
    <r>
      <rPr>
        <rFont val="Arial"/>
        <b/>
        <color theme="1"/>
      </rPr>
      <t>firstGoal=[5]</t>
    </r>
  </si>
  <si>
    <t>he's gotten so much better at turning around! quickly found goal arm, is doing the home loop sometimes, a clap and a nudge to stop him, lots of claps to prevent home loop (worked pretty well), going down a lot of arms but rarely the goal one, losing motivation ~30 min in, did some nudges, motivated again, had a long grooming break but started back up on his own. 
tldr: was pretty self-motivated throughout, minimal nudges (maybe 3-4 during middle stretch)! definitely prefers right side of maze over left side so that made this goal difficult, still attempting some home loops but clapping helps</t>
  </si>
  <si>
    <r>
      <rPr>
        <rFont val="Arial"/>
        <color theme="1"/>
      </rPr>
      <t xml:space="preserve">goal, forageassistOFF. </t>
    </r>
    <r>
      <rPr>
        <rFont val="Arial"/>
        <b/>
        <color theme="1"/>
      </rPr>
      <t>30</t>
    </r>
    <r>
      <rPr>
        <rFont val="Arial"/>
        <color theme="1"/>
      </rPr>
      <t xml:space="preserve"> s lockout, delay 1500-3000 ms, 15 outerreps, </t>
    </r>
    <r>
      <rPr>
        <rFont val="Arial"/>
        <b/>
        <color theme="1"/>
      </rPr>
      <t>firstGoal=[8]</t>
    </r>
  </si>
  <si>
    <t>was super well-motivated for 30 min but wasn't repeating to the goal, so started trying to redirect him. was successful once but then the next times I think I scared him :( and now he's sticking to sitting in the arms :/
he really doesn't like to be touched to get redirected, BUT using a stick works better
once he was directed towards the correct goal arm, he eventually started going back on his own! with some precision errors (neighboring arms)
goal switched to 7, never found it but explored other arms once prev goal arm was no longer rewarded!</t>
  </si>
  <si>
    <t xml:space="preserve">Trodes 2.5.3, PTP synchronized, </t>
  </si>
  <si>
    <r>
      <rPr>
        <rFont val="Arial"/>
        <color theme="1"/>
      </rPr>
      <t xml:space="preserve">goal, forageassistOFF. </t>
    </r>
    <r>
      <rPr>
        <rFont val="Arial"/>
        <b/>
        <color theme="1"/>
      </rPr>
      <t>30</t>
    </r>
    <r>
      <rPr>
        <rFont val="Arial"/>
        <color theme="1"/>
      </rPr>
      <t xml:space="preserve"> s lockout, delay 1500-3000 ms, 15 outerreps, </t>
    </r>
    <r>
      <rPr>
        <rFont val="Arial"/>
        <b/>
        <color theme="1"/>
      </rPr>
      <t>firstGoal=[10]</t>
    </r>
  </si>
  <si>
    <t>got goal on first trial - lick artifact on that arm, should ground them all. didn't repeat, kept exploring other arms. messing with tracking settings, need to make sure that track_reggie zone is on before sesion - then works pretty well (thresh218/ring37). being kinda silly with l/r wells. exploring well, good motivation, but no repeating. very biased to arms 5&amp; 6. intervened once to deflect from home loop and nudge down goal arm. last 10 mins, led him with the stick to the goal arm for 4 trials (from both l and r) but still didnt repeat after that. good effort throughout entire ep tho</t>
  </si>
  <si>
    <r>
      <rPr>
        <rFont val="Arial"/>
        <color theme="1"/>
      </rPr>
      <t xml:space="preserve">goal, forageassistOFF. </t>
    </r>
    <r>
      <rPr>
        <rFont val="Arial"/>
        <b/>
        <color theme="1"/>
      </rPr>
      <t>30</t>
    </r>
    <r>
      <rPr>
        <rFont val="Arial"/>
        <color theme="1"/>
      </rPr>
      <t xml:space="preserve"> s lockout, delay 1500-3000 ms, 15 outerreps, </t>
    </r>
    <r>
      <rPr>
        <rFont val="Arial"/>
        <b/>
        <color theme="1"/>
      </rPr>
      <t>firstGoal=[4]</t>
    </r>
  </si>
  <si>
    <t>good exploring, found goal early and didnt repeat. led him there many times after first 30 min, only a couple visits were independent, still a lot of claps and leading. still just very biased to arms 5,6,7 and also doing the home loop often. fially started repeating at end, but then goal had changed. next goal 6 but he never found it</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</si>
  <si>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firstGoal=[5], increase goal reward to 300 microliters</t>
    </r>
  </si>
  <si>
    <t>rarely visited the goal arm and so wasn't learning anything and getting frustrated and doing the home loop (not even responding to clapping sometimes, might need to start physically intervening :/ ). did not intervene besides clapping / yelling. restarting with an arm he visits more often for the next 45 min with the hopes of not having to intervene.</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</si>
  <si>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firstGoal=[9], increase goal reward to 300 microliters</t>
    </r>
  </si>
  <si>
    <t>finally got arm 6 at 11:57! did not repeat :( (went to arm 7 on the next one). pretty much exclusively going down arm 1 from the left well (I wonder if that's leftover from ending on arm 1 yesterday?), BUT on every right arm after that he's repeated!!! still getting confused when it's not the 'correct' center well, but really solid on the 'correct' one! and tried some crossover attempts but landed in wrong arm (arm 7 twice, arm 5 once). switched to new goal arm --&gt; arm 3 ([6]) (going to be tricky for him because it's the other well) might want to set outerreps to 10 next time so he doesn't get as attached to one arm / has more time with new goal, never found new goal arm. explored some others but did go back to 6 a bunch. no interventions besides clapping! jk just found it!! trying but gettting impatient and that's messing him up. I think it's time.</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</si>
  <si>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firstGoal=[6], increase goal reward to 300 microliters</t>
    </r>
  </si>
  <si>
    <t>5 min grooming session at the beginning, found goal arm at 2:00. still really attached to arm 6 (especially from right well). but did just have one trial where he started going down 6 and turned around halfway through and went down arm 5 instead... one hour in and not doing well :( seems frustrated, sometimes off by 1, has gotten 7 goals but not very consistently / convincingly; taking a nap; 3:17 --&gt; intervened to nudge him awake out of the arm., was being silly post-nap</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</si>
  <si>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firstGoal=[5], increase goal reward to 300 microliters</t>
    </r>
  </si>
  <si>
    <t>starting w [5] again to encourage arms on the left side of the maze, if really bad after 30 min, will update to [11] for remainder of session
at 10:38, has explored every arm except 7 and 2 (and hasn't repeated any of these yet); tends to try the home loop from the left well. clapped once at 10:38. has now explored every arm except 2, with 1 twice :/ maybe arm 2 was a bad choice?
also realized at the end that tracking wasn't on</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</si>
  <si>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firstGoal=[11], increase goal reward to 300 microliters</t>
    </r>
  </si>
  <si>
    <t>clapping at 10:57, 11:00.11:03. no more clapping this session :(. ugh at 11:22 he still hasn't found the goal and is just getting frustrated, going to intervene. sad that in the first session he did so much good exploring but then didn't get rewarded at all for that :/ not ideal. and now he's gone to arm 2 multiple times in this session.... so silly. led him to the goal once from the left well (11:26), did not repeat, went to arm 2 (face palm).
led him to the goal 3 times total using the stick and then he got it (from both wells!).
new goal is arm 6 ([9]). (11:54) kept going back to 8, didn't explore anything else.</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</si>
  <si>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firstGoal=[5], increase goal reward to 300 microliters</t>
    </r>
  </si>
  <si>
    <t>forgot to prime pumps so first 3 min of neural recording are doing that
found goal on first one!
has gone back a couple of times but not consistent. clapped at 1:03. led him to the goal 3 times but he's not getting it. drive ran out of storage around 1:20, so recording paused, lots of leading him with stick. he's so bad at arm 2 :( keeps going down arm 1 or 3. he eventually got to 15 (with maybe the last 5 or so on his own) but very inconsistently. new goal is arm 4 ([7]). has gone back to 2 a good number of times</t>
  </si>
  <si>
    <t>had to transfer data so started this an hour after recording finished</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</si>
  <si>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firstGoal=[10], increase goal reward to 300 microliters</t>
    </r>
  </si>
  <si>
    <t>found the goal at 10:39! (had previously tried 6 and 8) has also tried arm 3 multiple times. keeps going to arms 6 and 8 but not 7
11:00 - had only visited arm 7 once on his own so led him to arm 7 with the stick, once from right center and once from left
after about 5 goal visits (2 led, rest solo), he did a couple more repeats and then lost the pattern, he still sometimes goes for arms 6 and 8... 
getting frustrated. going to try a new approach of more help for the rest of this session since the tough love hasn't led to improvement recently
led him for rest of block. NOTE: forgot to turn tracking on until around this part
new goal = arm 1. as soon as it switched, he successfully did an arm 7 crossover on his own... hadn't found arm 1 on his own, led him to it once from each well, did the rest of block on his own after that, including many successful crossovers
new goal = arm 8, but stopped him before he got there</t>
  </si>
  <si>
    <t>Note: quantifying 'precision' errors (one-off) errors in the repeat phase could be interesting for these old guys, beyond just repeat efficiency</t>
  </si>
  <si>
    <r>
      <rPr>
        <rFont val="Arial"/>
        <color theme="1"/>
      </rPr>
      <t xml:space="preserve">goal, forageassistOFF. </t>
    </r>
    <r>
      <rPr>
        <rFont val="Arial"/>
        <b/>
        <color theme="1"/>
      </rPr>
      <t>45</t>
    </r>
    <r>
      <rPr>
        <rFont val="Arial"/>
        <color theme="1"/>
      </rPr>
      <t xml:space="preserve"> s lockout, delay 1500-3000 ms, 15 outerreps, </t>
    </r>
    <r>
      <rPr>
        <rFont val="Arial"/>
        <b/>
        <color theme="1"/>
      </rPr>
      <t>firstGoal=[11], increase goal reward to 300 microliters</t>
    </r>
  </si>
  <si>
    <t>found goal at 1:14. 4 leads to goal early in the block, 2 from each center well.
had a couple crossover triasl where he poked his head into 4 different arms before going to the goal one (just impressive)
a couple unfortunate trials where he had a lock3 error but then went to the goal arm and didn't get reward, but perservered and did the rest of block on his own!
1:45 - new goal = arm 4, which he hasn't had in a while</t>
  </si>
  <si>
    <t>would also be good to quantify how often he goes back to arms from most recently rewarded blocks</t>
  </si>
  <si>
    <t>(continuing w/ above)</t>
  </si>
  <si>
    <t>curr goal = arm 4
went back to arm 8 a lot, but also explored arm 3, 1:52 - backed out of arm 8 to try arm 6 after repeatedly trying arm 8, but still wasn't doing a good job of exploring
2:04 - 2:08: led to goal, 1 from each center well. (also turned tracking on, keep forgetting to do that :/)
2:17 - 2:19: 1 more lead to goal from left well (since kept having precision errors, going to arms 3 and 5)
a couple unfortunate trials where he had a lock3 error but then went to the goal arm and didn't get reward
after some more precision errors, gave up and not doing anything, taking him out</t>
  </si>
  <si>
    <r>
      <rPr>
        <rFont val="Arial"/>
        <b/>
        <color theme="1"/>
      </rPr>
      <t>3 goals</t>
    </r>
    <r>
      <rPr>
        <rFont val="Arial"/>
        <color theme="1"/>
      </rPr>
      <t xml:space="preserve">, </t>
    </r>
    <r>
      <rPr>
        <rFont val="Arial"/>
        <b/>
        <color theme="1"/>
      </rPr>
      <t>Exclude arm 1</t>
    </r>
    <r>
      <rPr>
        <rFont val="Arial"/>
        <color theme="1"/>
      </rPr>
      <t xml:space="preserve"> (well4) forageassistOFF. </t>
    </r>
    <r>
      <rPr>
        <rFont val="Arial"/>
        <b/>
        <color theme="1"/>
      </rPr>
      <t>45</t>
    </r>
    <r>
      <rPr>
        <rFont val="Arial"/>
        <color theme="1"/>
      </rPr>
      <t xml:space="preserve"> s lockout, delay 1500-3000 ms, 15 outerreps</t>
    </r>
  </si>
  <si>
    <t>goals 5, 9, 10. 30-45 min no intervention. Not referenced before 6min 30s into recording (before 10:30). Performed at chance for first 15min, then learned that 5 was rewarded. Stayed pretty focused on 5 for a while. Make sure next run session does not include 5 as goal. stopped early because the 3rd goal block included arm 5</t>
  </si>
  <si>
    <r>
      <rPr>
        <rFont val="Arial"/>
        <color theme="1"/>
      </rPr>
      <t xml:space="preserve">3 goals, </t>
    </r>
    <r>
      <rPr>
        <rFont val="Arial"/>
        <b/>
        <color theme="1"/>
      </rPr>
      <t>Exclude arm 2</t>
    </r>
    <r>
      <rPr>
        <rFont val="Arial"/>
        <color theme="1"/>
      </rPr>
      <t xml:space="preserve"> (well5) forageassistOFF. </t>
    </r>
    <r>
      <rPr>
        <rFont val="Arial"/>
        <b/>
        <color theme="1"/>
      </rPr>
      <t>45</t>
    </r>
    <r>
      <rPr>
        <rFont val="Arial"/>
        <color theme="1"/>
      </rPr>
      <t xml:space="preserve"> s lockout, delay 1500-3000 ms, 15 outerreps</t>
    </r>
  </si>
  <si>
    <t>first goals 6, 7, 9. cleaned wells before starting task. got arm 6 and repeated it regularly. 30min in he's at 9-23. 45min he's at 18-27, new goal block is 9,10,11. Nicely situated away from goals he was consistently getting earlier. repeating arm 10. I think he's ready for 2 arm version tomorrow. 64 min in 38-28, goal is still 10. Seems to have slowed down a bit, might be full. Seems full, ending and putting to sleep</t>
  </si>
  <si>
    <r>
      <rPr>
        <rFont val="Arial"/>
        <b/>
        <color theme="1"/>
      </rPr>
      <t>2 goals</t>
    </r>
    <r>
      <rPr>
        <rFont val="Arial"/>
        <color theme="1"/>
      </rPr>
      <t xml:space="preserve">, forageassistOFF. 45 s lockout, delay </t>
    </r>
    <r>
      <rPr>
        <rFont val="Arial"/>
        <b/>
        <color theme="1"/>
      </rPr>
      <t>1500-3250 ms</t>
    </r>
    <r>
      <rPr>
        <rFont val="Arial"/>
        <color theme="1"/>
      </rPr>
      <t>, 15 outerreps</t>
    </r>
  </si>
  <si>
    <t>first goals [5,11]. found 11 pretty quickly but didn't repeat; started repeating 11 better after a few visits! and even from the left well!  * was seeing huge lick artifact at outer wells and small artifact at home; was actually much better after disconnecting the milk grounds*  next goals [5,8] seemed extremely annoyed when 11 no longer was goal, perseverating there. Once he found goal 5 he repeated there really well too!! (altho possibly only from left wells, still perseverating at 11 from right) next goals are [9,10]</t>
  </si>
  <si>
    <r>
      <rPr>
        <rFont val="Arial"/>
        <b/>
        <color theme="1"/>
      </rPr>
      <t>2 goals</t>
    </r>
    <r>
      <rPr>
        <rFont val="Arial"/>
        <color theme="1"/>
      </rPr>
      <t xml:space="preserve">, forageassistOFF. 45 s lockout, delay </t>
    </r>
    <r>
      <rPr>
        <rFont val="Arial"/>
        <b/>
        <color theme="1"/>
      </rPr>
      <t>1750-3500 ms</t>
    </r>
    <r>
      <rPr>
        <rFont val="Arial"/>
        <color theme="1"/>
      </rPr>
      <t>, 15 outerreps</t>
    </r>
  </si>
  <si>
    <t>first goals [7,6] . this is going to be tough - these are probably his least favorite arms right now. has gone a few times, but is not repeating well and is definitely frustrated. at 35 mins in he was 4:21 but finally found 7 again and started repeating...kinda. sometimes reverting to the silly loop but generally trying hard. might be biased against these arms bc he gets stuck on the vertical plastic bar? ended a few mins early bc was not engaged</t>
  </si>
  <si>
    <t>cut plastic bars so catching the cable will no longer be an issue</t>
  </si>
  <si>
    <r>
      <rPr>
        <rFont val="Arial"/>
        <b/>
        <color theme="1"/>
      </rPr>
      <t>2 goals</t>
    </r>
    <r>
      <rPr>
        <rFont val="Arial"/>
        <color theme="1"/>
      </rPr>
      <t xml:space="preserve">, forageassistOFF. 45 s lockout, delay </t>
    </r>
    <r>
      <rPr>
        <rFont val="Arial"/>
        <b/>
        <color theme="1"/>
      </rPr>
      <t>2000-3750 ms</t>
    </r>
    <r>
      <rPr>
        <rFont val="Arial"/>
        <color theme="1"/>
      </rPr>
      <t>, 15 outerreps</t>
    </r>
  </si>
  <si>
    <t>first goals [4,6]; found 4 immediately but didnt repeat. lick artifact much better with grounds unplugged. computer ran out of disk space 20 mins in so stopped him and took him off</t>
  </si>
  <si>
    <r>
      <rPr>
        <rFont val="Arial"/>
        <b/>
        <color theme="1"/>
      </rPr>
      <t>2 goals</t>
    </r>
    <r>
      <rPr>
        <rFont val="Arial"/>
        <color theme="1"/>
      </rPr>
      <t xml:space="preserve">, forageassistOFF. 45 s lockout, delay </t>
    </r>
    <r>
      <rPr>
        <rFont val="Arial"/>
        <b/>
        <color theme="1"/>
      </rPr>
      <t>2000-3750 ms</t>
    </r>
    <r>
      <rPr>
        <rFont val="Arial"/>
        <color theme="1"/>
      </rPr>
      <t>, 15 outerreps</t>
    </r>
  </si>
  <si>
    <t>restarted with same goals. definitely went back to exploring after the interruption. did eventually find 4, but hasn't been repeating. found 6 at 11:00, but also has yet to repeat; seems drawn to 11 today. Is sorta repeating 6 now? I think he's having trouble crossing over. Including the first 20 minutes it's already been a fairly long session, but I want to keep going so that we can get into to a second goal block? second goals: [8, 9]; found 9 pretty quickly, eventually found 8 too, but still isn't really repeating (maybe is starting to repeat 8? - I'm worried about what that means for when we go down to 1 arm). Does seem to be repeating now,</t>
  </si>
  <si>
    <t xml:space="preserve">saved on desktop! </t>
  </si>
  <si>
    <t>I think this file never got successfully copied over from desktop (all the files are 0 bytes) so this data is lost :,( renaming files in banyan to reflect that</t>
  </si>
  <si>
    <t>oops extra long</t>
  </si>
  <si>
    <r>
      <rPr>
        <rFont val="Arial"/>
        <b/>
        <color theme="1"/>
      </rPr>
      <t>2 goals</t>
    </r>
    <r>
      <rPr>
        <rFont val="Arial"/>
        <color theme="1"/>
      </rPr>
      <t xml:space="preserve">, forageassistOFF. 45 s lockout, delay </t>
    </r>
    <r>
      <rPr>
        <rFont val="Arial"/>
        <b/>
        <color theme="1"/>
      </rPr>
      <t>2000-4000 ms</t>
    </r>
    <r>
      <rPr>
        <rFont val="Arial"/>
        <color theme="1"/>
      </rPr>
      <t>, 15 outerreps</t>
    </r>
  </si>
  <si>
    <t xml:space="preserve">first goals [5,10], 70min in and only has 6 goals. Seems to be struggling today. Didn't do great. </t>
  </si>
  <si>
    <r>
      <rPr>
        <rFont val="Arial"/>
        <b/>
        <color theme="1"/>
      </rPr>
      <t>2 goals</t>
    </r>
    <r>
      <rPr>
        <rFont val="Arial"/>
        <color theme="1"/>
      </rPr>
      <t xml:space="preserve">, forageassistOFF. 45 s lockout, delay </t>
    </r>
    <r>
      <rPr>
        <rFont val="Arial"/>
        <b/>
        <color theme="1"/>
      </rPr>
      <t>2000-4000 ms</t>
    </r>
    <r>
      <rPr>
        <rFont val="Arial"/>
        <color theme="1"/>
      </rPr>
      <t>, 15 outerreps</t>
    </r>
  </si>
  <si>
    <t>Note: originally started at 10:43, but realized forgot to switch the camera, so stopped recording, cleared those files, and restarted (kept statescript running)
first goals [9,8]; exploring many arms, found goal 8 at 10:54 - repeated 3 times right away, 2 times stopping for a pretty long time at the entrance to that arm (is he thinking?? leaving himself a poop trail??), found goal 9 at 11:00, sometimes repeated 8, now repeating 9
new goals [9,7] - definitely going to boost his confidence a bit wtih repeating 9
new goals [6,11] (11:34) - will take some unlearning of 9 (repeating it a lot). found 6 at 11:42 but did not repeat well, found 11 at 11:59. being a bit silly / frustrated. 
overall was well-motivated, but not sure how much skill he showed (since 9 repeated)</t>
  </si>
  <si>
    <r>
      <rPr>
        <rFont val="Arial"/>
        <b/>
        <color theme="1"/>
      </rPr>
      <t>2 goals</t>
    </r>
    <r>
      <rPr>
        <rFont val="Arial"/>
        <color theme="1"/>
      </rPr>
      <t xml:space="preserve">, forageassistOFF. 45 s lockout, delay </t>
    </r>
    <r>
      <rPr>
        <rFont val="Arial"/>
        <b/>
        <color theme="1"/>
      </rPr>
      <t>2000-4000 ms</t>
    </r>
    <r>
      <rPr>
        <rFont val="Arial"/>
        <color theme="1"/>
      </rPr>
      <t>, 15 outerreps</t>
    </r>
  </si>
  <si>
    <t>first goals [8,6], found 8 at 1:05, 6 at 1:11, very poor repetition of 6, 70 min in and only 10 goals. being silly / frustrated, lots of lock3 errors probably aren't helping :/ should we go back to slightly shorter delays to at least keep him in a flow?</t>
  </si>
  <si>
    <r>
      <rPr>
        <rFont val="Arial"/>
        <b/>
        <color theme="1"/>
      </rPr>
      <t>2 goals</t>
    </r>
    <r>
      <rPr>
        <rFont val="Arial"/>
        <color theme="1"/>
      </rPr>
      <t xml:space="preserve">, forageassistOFF. 45 s lockout, delay </t>
    </r>
    <r>
      <rPr>
        <rFont val="Arial"/>
        <b/>
        <color theme="1"/>
      </rPr>
      <t>2000-3750 ms</t>
    </r>
    <r>
      <rPr>
        <rFont val="Arial"/>
        <color theme="1"/>
      </rPr>
      <t>, 15 outerreps</t>
    </r>
  </si>
  <si>
    <t>lick artifact at the home and center wells at the beginning --&gt; unplugging the cleaning pumps seems to have fixed it and got rid of a lot of 60hz noise on some channels
first goals [7,9], found 7 at 10:10, found 9 at 10:21, repeated 7 once immediately after finding, now repeating 9
next goals [10,8] (10:38) - has yet to find the goal, and seems to be getting frustrated (10:51), found 10 at 10:57, but didn't manage to repeat over the next couple trials (did a home loop, and then went down 9 instead). Fround 10 again at 11:01, but still isn't really repeating (he did another home loop, and then a trip down 9, and a bunch of other stuff). Found 8 at 11:09, but didn't repeat, and is slowly looking more and more frustrated, so I'm going to take him out unless he finds something on his next trial (11:14)
Sorry, I totally should've thought of that with the cleaning pumps! The power supply has a big transformer in it that is always on, and basically acts as an antenna (this will still be true when we switch from the fancy power supply to a power brick)</t>
  </si>
  <si>
    <r>
      <rPr>
        <rFont val="Arial"/>
        <b/>
        <color theme="1"/>
      </rPr>
      <t>2 goals</t>
    </r>
    <r>
      <rPr>
        <rFont val="Arial"/>
        <color theme="1"/>
      </rPr>
      <t xml:space="preserve">, forageassistOFF. 45 s lockout, delay </t>
    </r>
    <r>
      <rPr>
        <rFont val="Arial"/>
        <b/>
        <color theme="1"/>
      </rPr>
      <t>2000-3750 ms</t>
    </r>
    <r>
      <rPr>
        <rFont val="Arial"/>
        <color theme="1"/>
      </rPr>
      <t>, 15 outerreps</t>
    </r>
  </si>
  <si>
    <t>first goals [10,6] found 10 at 1:00, found 6 at 1:03, slowly but surely repeated 6
next goals [4,7] (1:47) - looking pretty darn unmotivated at 1:57, trying more since then but at 2:21 still hasn't found either new goal
Note: he seems a little slower today than usual</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</si>
  <si>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</si>
  <si>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first goal options [11,5] - chose 11 at 10:08, repeating with low repeat efficiency at first but now (7 goals in, 10:26), seems to have gotten it!
next goal options [7,4] (10:38) - will be harder since both on the left side, chose 7 at 10:44, has repeated once but seems frustrated (11:00), 5 goals in, seems to have gotten it (11:12)! :') I'm so impressed
next goal options [5, 10] (11:27) but probably going to take him out once he doesn't get reward a couple times, just so he ends while he's ahead
seems to be moving faster than yesterday!</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</si>
  <si>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</si>
  <si>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first goal options [5,8] - chose 5 at 12:37, at 12:59 has not found it again and is frustrated (has done 18 others), finally found it again at 1:04 and now seems to have gotten it!
next goal options [11,10] (1:27) - 1:36 frustrated but still trying! chose 10 at 1:42, has not repeated as of 1:56, still hasn't found it again (2:02), he just seems frustrated, taking him out</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</si>
  <si>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</si>
  <si>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goals 10,7. being very silly in the beginning, lock2s etc. huge lick artifact at home, better once grounded. outer arms - lick artifact much worse when grounded, found 7 14 mins in. repeating ok from left, but still being pretty silly/frustrated. next options 5,8. not doing much other than home loops so taking him out</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</si>
  <si>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</si>
  <si>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 xml:space="preserve">goals 8,11. found arm 11 only 5 mins in, but not repeating reliably. finished first block in 45 mins, next options 8,4. pretty frustrated at 1 hr, reultacnt to go out and still perseverating at 11. finally found 4 at 70 mins, actually repeated very well! </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</si>
  <si>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</si>
  <si>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 xml:space="preserve">Pretty bad lick artifact on home well. At 11:50 he's not doing great, 3 goals and 26 other visits. Goal is arm 1[well4]. at 12:18 has 5 goals, 38 other. He's trying very hard but not doing well. Finally seems to get it at about 12:30. Letting him finish out block. </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</si>
  <si>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</si>
  <si>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First Goals 4, 6: found 6 fairly quickly! but isn't repeating yet (1:29). He found it again, and I think he's trying to repeat, but is bad at remembering which arm is 6 (he keeps missing by 1). Looks like he's gone back to foarging (1:39). Found 6 again (1:45), and I think he's figured it out now? It's still slow going, and I wouldn't say he's doing well, but he is making progress? (1:56)
He keeps bumping his head on things which is leading to really big artifacts. There also seems to be a lick artifact for the home/center wells.
2:17 seems to have figred out first goal. Has moved on and gotten a few for new goal. tempted to leave him in for a bit extra to get second goal block</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</si>
  <si>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</si>
  <si>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first goal options [8,10], chose 10 at 10:08, at 10:28 has gotten 4 reward, 14 others, seems frustrated, seems to have figured it out at 10:30ish
next goal options [4,5] (10:44) - chose 4 at 10:53, doing it with very poor repeat efficiency
next goal options [6,7] (11:30) - taking him out</t>
  </si>
  <si>
    <r>
      <rPr>
        <rFont val="Arial"/>
        <b/>
        <color theme="1"/>
      </rPr>
      <t>goal,</t>
    </r>
    <r>
      <rPr>
        <rFont val="Arial"/>
        <color theme="1"/>
      </rPr>
      <t xml:space="preserve"> </t>
    </r>
    <r>
      <rPr>
        <rFont val="Arial"/>
        <b/>
        <color theme="1"/>
      </rPr>
      <t>forageassist2</t>
    </r>
    <r>
      <rPr>
        <rFont val="Arial"/>
        <color theme="1"/>
      </rPr>
      <t xml:space="preserve">, </t>
    </r>
    <r>
      <rPr>
        <rFont val="Arial"/>
        <b/>
        <color theme="1"/>
      </rPr>
      <t>45</t>
    </r>
    <r>
      <rPr>
        <rFont val="Arial"/>
        <color theme="1"/>
      </rPr>
      <t xml:space="preserve"> s lockout, delay 2000-3750 ms, 15 outerreps</t>
    </r>
  </si>
  <si>
    <t>first goal options [11,7], chose 11 at 12:40
next goal options [8,10] at 1:20, chose 10 at 1:30
next goal options [5,8] at 2:09, chose 5 at 2:12, let him go for a bit longer but not repeating, so stopping him</t>
  </si>
  <si>
    <t>oops went long</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</si>
  <si>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</si>
  <si>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Forgot to change over camera source. Restarted. Dataset is now 03_r2. First goal well 8. After getting first goal he basically quit. Just did circles in home area. Chewed a bunch on home well. 50min in and he's at  
homeCount = 62
 waitCount = 18
 ripCount = 33
 locktype1 = 6
 locktype2 = 14
 locktype3 = 4
 goalCount = 0
 goalTotal = 12
 otherCount = 25
current goal is arm 1 (well 4)
I think he hasn't visited an outer well in the last 20min. Stopping him to start sleep. Home well looks in tact so maybe he's just grinding his teeth while his head is in the home well?</t>
  </si>
  <si>
    <t>NOTE: scrapping 02_r1 from this day and relabeling things to exclude that since we can't get position data if the wrong camera was recording</t>
  </si>
  <si>
    <r>
      <rPr>
        <rFont val="Arial"/>
        <b val="0"/>
        <color theme="1"/>
      </rPr>
      <t>goal,</t>
    </r>
    <r>
      <rPr>
        <rFont val="Arial"/>
        <b/>
        <color theme="1"/>
      </rPr>
      <t xml:space="preserve"> forageassist2, </t>
    </r>
    <r>
      <rPr>
        <rFont val="Arial"/>
        <b val="0"/>
        <color theme="1"/>
      </rPr>
      <t>45s lockout, delay 2000-3750,</t>
    </r>
    <r>
      <rPr>
        <rFont val="Arial"/>
        <b/>
        <color theme="1"/>
      </rPr>
      <t xml:space="preserve"> 4-12 outerreps</t>
    </r>
  </si>
  <si>
    <t>First goal well 9, for some reason he has only got 4 wait, 22rip count. No idea whats going on there? 1hr in he's at 
homeCount = 55
waitCount = 5
ripCount = 22
locktype1 = 19
locktype2 = 6
locktype3 = 9
goalCount = 6
goalTotal = 6
otherCount = 14
goal is still well 9. Finished this goal but didn't find next one.</t>
  </si>
  <si>
    <r>
      <rPr>
        <rFont val="Arial"/>
        <b val="0"/>
        <color theme="1"/>
      </rPr>
      <t>goal,</t>
    </r>
    <r>
      <rPr>
        <rFont val="Arial"/>
        <b/>
        <color theme="1"/>
      </rPr>
      <t xml:space="preserve"> forageassist2, </t>
    </r>
    <r>
      <rPr>
        <rFont val="Arial"/>
        <b val="0"/>
        <color theme="1"/>
      </rPr>
      <t>45s lockout, delay 2000-3750,</t>
    </r>
    <r>
      <rPr>
        <rFont val="Arial"/>
        <b/>
        <color theme="1"/>
      </rPr>
      <t xml:space="preserve"> 4-12 outerreps</t>
    </r>
  </si>
  <si>
    <t>first goals [9]. New powersupply for cleaning pump box makes a ton of noise, keep it unplugged. Pretty heavy bias towards rip(right) well, but don't want to disturb him by priming left well. Not as bad as yesterday, so doing better. 1hr in:
homeCount = 61
waitCount = 7
ripCount = 26
locktype1 = 21
locktype2 = 5
locktype3 = 6
goalCount = 0
goalTotal = 9
otherCount = 19
Second goal is [11]
Finished 2 goal blocks!</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</si>
  <si>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</si>
  <si>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[4]. 25min in and even left vs right ratio and finished 1st goal block! Completed 2 goals blocks and got 2 on next one. Final goal was [5]</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</si>
  <si>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</si>
  <si>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[10]. Took about 30min to find first goal, then failed to find the second one [11] for a while. He's still working very well, just not very successfully. Found it around 60min in, just started on 3rd block at end, final goal was [7].</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</si>
  <si>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</si>
  <si>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[5]. For some reason 15 min in he hasn't started working? Going to nudge. Started working after that, I guess he was a lil sleepy or something. Never really found the goal but kept working hard.</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</si>
  <si>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</si>
  <si>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7: found at 11:47, did not repeat. Large lick artifact at the home well. He's working hard! just not successfully (11:56). Crap, I forgot to switch the camera</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</si>
  <si>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</si>
  <si>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7: he's really struggling, and is starting to home-loop. Found the goal for the 2nd time at 1:44. I think he's finally starting to get it? (2:13), but unfortunately this first goal block was only 6 outreps long, so now the goal is 10. He found the goal at 2:16, I'm going to try to wait for him to be more successfully into the second goal block before I call it (but he definitely already seems to be confidently repeating!). He raced through the 2nd block! And the goal is now 5; I'm going to take him out after a couple more trials</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</si>
  <si>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</si>
  <si>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6: I think it's maybe just that he really struggles with the middle arms, cause this is very slow again (2 goals at 3:50). Second goal 10: kinda frustrating this is the same goal he did really well on in his first session. He hasn't really been doing well, but he is slowly making progress, and he just got to the third goal block. third goal 8: I think he's going to struggle with this one, and he's also already past 90 minutes, so I'm going to take him out soon. Ian came in right as he found the third goal, and then he kinda just froze, so I took him out</t>
  </si>
  <si>
    <t>I came in 2-3 minutes early, sorry</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</si>
  <si>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</si>
  <si>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9: found the goal a couple times, but isn't repeating yet; working hard though! (12:42). We're kinda too far in for this, but it looks like he's basically still just exploring. He's definitely frustrated now, he's spent several minutes at the home well just gnashing his teeth (1:06). 1:09: he found the goal a third time, and the immediately repeated! My excitement was maybe a little premature :'(, though I think most of his errors since have been off-by-1. We're not going to finish the first goal block, and he's still frustrated, so I'm taking him out</t>
  </si>
  <si>
    <r>
      <rPr>
        <rFont val="Arial"/>
        <b val="0"/>
        <color theme="1"/>
      </rPr>
      <t>goal,</t>
    </r>
    <r>
      <rPr>
        <rFont val="Arial"/>
        <b/>
        <color theme="1"/>
      </rPr>
      <t xml:space="preserve"> forageassist off, </t>
    </r>
    <r>
      <rPr>
        <rFont val="Arial"/>
        <b val="0"/>
        <color theme="1"/>
      </rPr>
      <t>45s lockout, delay 2000-3750,</t>
    </r>
    <r>
      <rPr>
        <rFont val="Arial"/>
        <b/>
        <color theme="1"/>
      </rPr>
      <t xml:space="preserve"> 4-12 outerreps</t>
    </r>
  </si>
  <si>
    <t>first goal [9]. I thought i'd makei t easy on him by keeping the same goal from last session, but it clearly didn't stick. 60min in and he's visited goal 5 times but not in a row. Still working well but not successful. Finally got whole goal block right at 90min in.</t>
  </si>
  <si>
    <t>long sleep</t>
  </si>
  <si>
    <t>REMEMBER TO TRANSFER DATA</t>
  </si>
  <si>
    <r>
      <rPr>
        <rFont val="Arial"/>
        <color theme="1"/>
      </rPr>
      <t xml:space="preserve">First day back to behavior post surgery. only 1 day of food restriction so not expecting much. Keeping sessions short to reintroduct behavior. </t>
    </r>
    <r>
      <rPr>
        <rFont val="Arial"/>
        <b/>
        <color theme="1"/>
      </rPr>
      <t>NOT RECORDING</t>
    </r>
  </si>
  <si>
    <r>
      <rPr>
        <rFont val="Arial"/>
        <color theme="1"/>
      </rPr>
      <t xml:space="preserve">goal, </t>
    </r>
    <r>
      <rPr>
        <rFont val="Arial"/>
        <b/>
        <color theme="1"/>
      </rPr>
      <t>forageassist2</t>
    </r>
    <r>
      <rPr>
        <rFont val="Arial"/>
        <color theme="1"/>
      </rPr>
      <t>. 30 s lockout, delay 1000-2500 ms, 15 outerreps</t>
    </r>
  </si>
  <si>
    <r>
      <rPr>
        <rFont val="Arial"/>
        <b/>
        <color theme="1"/>
      </rPr>
      <t>NOT RECORDING.</t>
    </r>
    <r>
      <rPr>
        <rFont val="Arial"/>
        <color theme="1"/>
      </rPr>
      <t xml:space="preserve"> First day back to behavior post surgery. only 1 day of food restriction so not expecting much. Keeping sessions short to reintroduct behavior.</t>
    </r>
  </si>
  <si>
    <r>
      <rPr>
        <rFont val="Arial"/>
        <b/>
        <color theme="1"/>
      </rPr>
      <t>NOT RECORDING</t>
    </r>
    <r>
      <rPr>
        <rFont val="Arial"/>
        <color theme="1"/>
      </rPr>
      <t xml:space="preserve"> 'sleep' session during maze setup</t>
    </r>
  </si>
  <si>
    <r>
      <rPr>
        <rFont val="Arial"/>
        <color theme="1"/>
      </rPr>
      <t xml:space="preserve">goal, </t>
    </r>
    <r>
      <rPr>
        <rFont val="Arial"/>
        <b/>
        <color theme="1"/>
      </rPr>
      <t>forageassist2</t>
    </r>
    <r>
      <rPr>
        <rFont val="Arial"/>
        <color theme="1"/>
      </rPr>
      <t>. 30 s lockout, delay 1000-2500 ms, 15 outerreps</t>
    </r>
  </si>
  <si>
    <r>
      <rPr>
        <rFont val="Arial"/>
        <b/>
        <color theme="1"/>
      </rPr>
      <t xml:space="preserve">NOT RECORDING
</t>
    </r>
    <r>
      <rPr>
        <rFont val="Arial"/>
        <b val="0"/>
        <color theme="1"/>
      </rPr>
      <t>first options [8,7]
Note: PTP calibrating with computer, cameramodule connection being weird, also lots of 60Hz noise in the signal, super crazy lick artifacts at home, but center wells are fine, much better when ungrounded
doing a good job moving around and exploring! but hasn't found either of the goal options
found 7 at 10:27, did not repeat, still exploring but slowing down</t>
    </r>
  </si>
  <si>
    <r>
      <rPr>
        <rFont val="Arial"/>
        <b/>
        <color theme="1"/>
      </rPr>
      <t>NOT RECORDING</t>
    </r>
    <r>
      <rPr>
        <rFont val="Arial"/>
        <color theme="1"/>
      </rPr>
      <t xml:space="preserve"> 'sleep' session during maze setup</t>
    </r>
  </si>
  <si>
    <r>
      <rPr>
        <rFont val="Arial"/>
        <color theme="1"/>
      </rPr>
      <t xml:space="preserve">goal, </t>
    </r>
    <r>
      <rPr>
        <rFont val="Arial"/>
        <b/>
        <color theme="1"/>
      </rPr>
      <t>forageassist2</t>
    </r>
    <r>
      <rPr>
        <rFont val="Arial"/>
        <color theme="1"/>
      </rPr>
      <t>. 30 s lockout, delay 1000-2500 ms, 15 outerreps</t>
    </r>
  </si>
  <si>
    <r>
      <rPr>
        <rFont val="Arial"/>
        <b/>
        <color theme="1"/>
      </rPr>
      <t xml:space="preserve">NOT RECORDING
</t>
    </r>
    <r>
      <rPr>
        <rFont val="Arial"/>
        <b val="0"/>
        <color theme="1"/>
      </rPr>
      <t>goal options [11, 10] - found 11 first try
big lick artifact on goal 5 (arm 2), but not on other arms?
being silly with center wells, exploring but very much in the wrong order, settled in around 10:10 and now doing great and repeating decently well and getting even better! doing good crossovers too :)
goal options [8, 5] (10:37) - didn't find it and now taking a nap, taking him out</t>
    </r>
  </si>
  <si>
    <t>Trodes 2.5.3, PTP synchronized, referenced</t>
  </si>
  <si>
    <r>
      <rPr>
        <rFont val="Arial"/>
        <color theme="1"/>
      </rPr>
      <t xml:space="preserve">goal, </t>
    </r>
    <r>
      <rPr>
        <rFont val="Arial"/>
        <b/>
        <color theme="1"/>
      </rPr>
      <t>forageassist2</t>
    </r>
    <r>
      <rPr>
        <rFont val="Arial"/>
        <color theme="1"/>
      </rPr>
      <t>. 30 s lockout, delay 1000-2500 ms, 15 outerreps</t>
    </r>
  </si>
  <si>
    <t>big lick artifact on arm 1, arm 5, arm 8, looks like all the arms --&gt; they were all ungrounded, just regrounded them (10:40) (he's been distracted by me futzing around with the grounds), still a little lick artifact on arm 4, really bad on arm 1... ungrounding again, much better when ungrounded
goal options [10,5] - found 5 at 10:45, explored a lot of other arms, repeated at 10:55, explored a bunch of others before repeating again at 11:05, has figured it out!
goal options [10,7] (11:15) - found 7 at 11:16, repeated at 11:19, has figured it out!, stopping early because of listening lunch</t>
  </si>
  <si>
    <r>
      <rPr>
        <rFont val="Arial"/>
        <color theme="1"/>
      </rPr>
      <t xml:space="preserve">goal, </t>
    </r>
    <r>
      <rPr>
        <rFont val="Arial"/>
        <b/>
        <color theme="1"/>
      </rPr>
      <t>forageassist2</t>
    </r>
    <r>
      <rPr>
        <rFont val="Arial"/>
        <color theme="1"/>
      </rPr>
      <t>. 30 s lockout, delay 1000-2500 ms, 15 outerreps</t>
    </r>
  </si>
  <si>
    <t>goal options [4,11] - chose 11 at 11:16 (right away), explored a lot and then found again at 11:24, started repeating at 11:27
goal options [7,4] (11:40) - chose 4 at 11:43
goal options [5,6] (11:59) - chose 5 at 11:59
goal options [9,8] (12:23) - chose 8 at 12:29
lick artifacts are still there on outer arms but worried grounding will make them worse, leaving for now :/
he did so so well :')</t>
  </si>
  <si>
    <r>
      <rPr>
        <rFont val="Arial"/>
        <color theme="1"/>
      </rPr>
      <t xml:space="preserve">goal, </t>
    </r>
    <r>
      <rPr>
        <rFont val="Arial"/>
        <b/>
        <color theme="1"/>
      </rPr>
      <t>forageassistOFF</t>
    </r>
    <r>
      <rPr>
        <rFont val="Arial"/>
        <color theme="1"/>
      </rPr>
      <t>. 30 s lockout, delay 1000-2500 ms, 15 outerreps</t>
    </r>
  </si>
  <si>
    <t>first goal 9 - found at 1:57
next goal 8 - struggling to find the goal (never found it)
def more frustrated / maybe less motivated than in the morning but still trying!</t>
  </si>
  <si>
    <r>
      <rPr>
        <rFont val="Arial"/>
        <color theme="1"/>
      </rPr>
      <t xml:space="preserve">goal, </t>
    </r>
    <r>
      <rPr>
        <rFont val="Arial"/>
        <b/>
        <color theme="1"/>
      </rPr>
      <t>forageassistOFF</t>
    </r>
    <r>
      <rPr>
        <rFont val="Arial"/>
        <color theme="1"/>
      </rPr>
      <t>. 30 s lockout, delay 1000-2500 ms, 15 outerreps</t>
    </r>
  </si>
  <si>
    <t>first goal [10]. at 11:48 inished first goal block. New goal [7]. 12:35 finished second goal block. Seemed pretty much done after this, didn't try super hard.</t>
  </si>
  <si>
    <r>
      <rPr>
        <rFont val="Arial"/>
        <color theme="1"/>
      </rPr>
      <t xml:space="preserve">goal, </t>
    </r>
    <r>
      <rPr>
        <rFont val="Arial"/>
        <b/>
        <color theme="1"/>
      </rPr>
      <t>forageassistOFF</t>
    </r>
    <r>
      <rPr>
        <rFont val="Arial"/>
        <color theme="1"/>
      </rPr>
      <t>. 30 s lockout, delay 1000-2500 ms, 15 outerreps</t>
    </r>
  </si>
  <si>
    <t>first goal [4]. 2:05 finished first goal block. New goal is [10]. Struggling with this one, got up to 26 type 3 errors at 2:28, 0 goals this block. Pretty much stopped working at 2:40. taking him home.</t>
  </si>
  <si>
    <r>
      <rPr>
        <rFont val="Arial"/>
        <color theme="1"/>
      </rPr>
      <t xml:space="preserve">goal, </t>
    </r>
    <r>
      <rPr>
        <rFont val="Arial"/>
        <b/>
        <color theme="1"/>
      </rPr>
      <t>forageassistOFF</t>
    </r>
    <r>
      <rPr>
        <rFont val="Arial"/>
        <color theme="1"/>
      </rPr>
      <t>. 30 s lockout, delay 1000-2500 ms, 15 outerreps</t>
    </r>
  </si>
  <si>
    <t>First goal [11]. 11:22 already got first block done. New goal [8]. I missed when but by 11:46 on next goal block with 2 goals, new goal is [4]. Easy day for him. Finished 3rd block at 11:58, new goal is [5].</t>
  </si>
  <si>
    <t>Just saw that the reference has not been applied for the last two sessions.</t>
  </si>
  <si>
    <r>
      <rPr>
        <rFont val="Arial"/>
        <color theme="1"/>
      </rPr>
      <t xml:space="preserve">goal, </t>
    </r>
    <r>
      <rPr>
        <rFont val="Arial"/>
        <b/>
        <color theme="1"/>
      </rPr>
      <t>forageassistOFF</t>
    </r>
    <r>
      <rPr>
        <rFont val="Arial"/>
        <color theme="1"/>
      </rPr>
      <t>. 30 s lockout, delay 1000-2500 ms, 15 outerreps</t>
    </r>
  </si>
  <si>
    <t>First goal [6]. 1:57 finished first block, new goal is [8]. Unfortunately seems to be getting into a schedule of doing very well on the first session, and poorly on this second one. 2:26 still only 1 goal on second block. Kinda just going in a loop at the home well. 19 type 3 errors just in this block, recommend increasing timeout to 45 seconds. Pulling him out early</t>
  </si>
  <si>
    <r>
      <rPr>
        <rFont val="Arial"/>
        <color theme="1"/>
      </rPr>
      <t xml:space="preserve">goal, </t>
    </r>
    <r>
      <rPr>
        <rFont val="Arial"/>
        <b/>
        <color theme="1"/>
      </rPr>
      <t>forageassistOFF</t>
    </r>
    <r>
      <rPr>
        <rFont val="Arial"/>
        <color theme="1"/>
      </rPr>
      <t xml:space="preserve">. </t>
    </r>
    <r>
      <rPr>
        <rFont val="Arial"/>
        <b/>
        <color theme="1"/>
      </rPr>
      <t>45 s lockout,</t>
    </r>
    <r>
      <rPr>
        <rFont val="Arial"/>
        <color theme="1"/>
      </rPr>
      <t xml:space="preserve"> delay 1000-2500 ms, 15 outerreps</t>
    </r>
  </si>
  <si>
    <t>first goal [5], found at 11:49, immediately started repeating with really good accuracy!! jk got to 11 in a row and then stopped repeating?, finally completed block at 12:31, next goal [11] he's working really hard! but not really getting it sadly, has already gotten 102 homes and 78 others, but only 15 goals (12:41), found [11] at 12:42, repeating well, speediest block I've ever seen, completed at 12:51. next goal [9], found immediately at 12:52, almost done w block but being silly, taking him out</t>
  </si>
  <si>
    <r>
      <rPr>
        <rFont val="Arial"/>
        <color theme="1"/>
      </rPr>
      <t xml:space="preserve">goal, </t>
    </r>
    <r>
      <rPr>
        <rFont val="Arial"/>
        <color theme="1"/>
      </rPr>
      <t>forageassistOFF</t>
    </r>
    <r>
      <rPr>
        <rFont val="Arial"/>
        <color theme="1"/>
      </rPr>
      <t xml:space="preserve">. </t>
    </r>
    <r>
      <rPr>
        <rFont val="Arial"/>
        <color theme="1"/>
      </rPr>
      <t>45 s lockout,</t>
    </r>
    <r>
      <rPr>
        <rFont val="Arial"/>
        <color theme="1"/>
      </rPr>
      <t xml:space="preserve"> delay 1000-2500 ms, 15 outerreps</t>
    </r>
  </si>
  <si>
    <t>first goal [6]. fiished around 70min in, 3:10. New goal [11]. Found it pretty quick. Wasn't able to finish it though. Way fewer errors</t>
  </si>
  <si>
    <r>
      <rPr>
        <rFont val="Arial"/>
        <color theme="1"/>
      </rPr>
      <t xml:space="preserve">goal, </t>
    </r>
    <r>
      <rPr>
        <rFont val="Arial"/>
        <b/>
        <color theme="1"/>
      </rPr>
      <t>forageassistOFF</t>
    </r>
    <r>
      <rPr>
        <rFont val="Arial"/>
        <color theme="1"/>
      </rPr>
      <t xml:space="preserve">. </t>
    </r>
    <r>
      <rPr>
        <rFont val="Arial"/>
        <b/>
        <color theme="1"/>
      </rPr>
      <t>45 s lockout,</t>
    </r>
    <r>
      <rPr>
        <rFont val="Arial"/>
        <color theme="1"/>
      </rPr>
      <t xml:space="preserve"> delay 1000-2500 ms, 15 outerreps</t>
    </r>
  </si>
  <si>
    <t>first goal [9] now chews on both center wells. repeated imperfectly but decently for first block. second goal 5, bad at repeating and getting frustrated laast goal was [4] but basicallynever found it</t>
  </si>
  <si>
    <r>
      <rPr>
        <rFont val="Arial"/>
        <color theme="1"/>
      </rPr>
      <t xml:space="preserve">goal, </t>
    </r>
    <r>
      <rPr>
        <rFont val="Arial"/>
        <color theme="1"/>
      </rPr>
      <t>forageassistOFF</t>
    </r>
    <r>
      <rPr>
        <rFont val="Arial"/>
        <color theme="1"/>
      </rPr>
      <t xml:space="preserve">. </t>
    </r>
    <r>
      <rPr>
        <rFont val="Arial"/>
        <color theme="1"/>
      </rPr>
      <t>45 s lockout,</t>
    </r>
    <r>
      <rPr>
        <rFont val="Arial"/>
        <color theme="1"/>
      </rPr>
      <t xml:space="preserve"> delay 1000-2500 ms, 15 outerreps</t>
    </r>
  </si>
  <si>
    <t>was going to consider increasing wait times but given his chewing on the center wells, decided not to.first goal[10], finished quickly! next [7] and repeating well too. third goal is [4]. finally repeating well right at end so giving him 5 extra mins</t>
  </si>
  <si>
    <t>REPLACED CENTER WELLS bc he'd chewed holes in them and liguid was getting into circuit -&gt; possible cause of increase lick artifact</t>
  </si>
  <si>
    <r>
      <rPr>
        <rFont val="Arial"/>
        <color theme="1"/>
      </rPr>
      <t xml:space="preserve">goal, </t>
    </r>
    <r>
      <rPr>
        <rFont val="Arial"/>
        <color theme="1"/>
      </rPr>
      <t>forageassistOFF</t>
    </r>
    <r>
      <rPr>
        <rFont val="Arial"/>
        <color theme="1"/>
      </rPr>
      <t xml:space="preserve">. </t>
    </r>
    <r>
      <rPr>
        <rFont val="Arial"/>
        <color theme="1"/>
      </rPr>
      <t>45 s lockout,</t>
    </r>
    <r>
      <rPr>
        <rFont val="Arial"/>
        <color theme="1"/>
      </rPr>
      <t xml:space="preserve"> delay 1000-2500 ms, 15 outerreps</t>
    </r>
  </si>
  <si>
    <t>first goal [8], found at 10:52, not repeating, still chewing on center wells, starting to repeat at 10:57, next goal [6] (11:08) - found at 11:11, next goal [5] (11:45) - found at 11:54, falling asleep at 12:09, taking him out</t>
  </si>
  <si>
    <r>
      <rPr>
        <rFont val="Arial"/>
        <color theme="1"/>
      </rPr>
      <t xml:space="preserve">goal, </t>
    </r>
    <r>
      <rPr>
        <rFont val="Arial"/>
        <color theme="1"/>
      </rPr>
      <t>forageassistOFF</t>
    </r>
    <r>
      <rPr>
        <rFont val="Arial"/>
        <color theme="1"/>
      </rPr>
      <t xml:space="preserve">. </t>
    </r>
    <r>
      <rPr>
        <rFont val="Arial"/>
        <color theme="1"/>
      </rPr>
      <t>45 s lockout,</t>
    </r>
    <r>
      <rPr>
        <rFont val="Arial"/>
        <color theme="1"/>
      </rPr>
      <t xml:space="preserve"> delay 1000-2500 ms, 15 outerreps</t>
    </r>
  </si>
  <si>
    <t>cart popped off the wheels (had to fix during beginning of recording before lowering him in), first goal [10], found immediately at 1:12 but is struggling... 1:40 and still has 1 goal but 36 others, finally found it again at 1:50 (with 49 others) and is getting it, next goal [9] (2:10) - found at 2:19, so motivated yet so silly</t>
  </si>
  <si>
    <r>
      <rPr>
        <rFont val="Arial"/>
        <color theme="1"/>
      </rPr>
      <t xml:space="preserve">goal, forageassistOFF. 45 s lockout, delay 1000-2500 ms, </t>
    </r>
    <r>
      <rPr>
        <rFont val="Arial"/>
        <b/>
        <color theme="1"/>
      </rPr>
      <t>10 outerreps</t>
    </r>
  </si>
  <si>
    <t>first goal [6]. being SO aggressively chewy and not very good at repeating (seems like a lot of neighbor errors). next goal [5], eventually repeating decently, next goal [7]</t>
  </si>
  <si>
    <r>
      <rPr>
        <rFont val="Arial"/>
        <color theme="1"/>
      </rPr>
      <t xml:space="preserve">goal, forageassistOFF. 45 s lockout, delay 1000-2500 ms, </t>
    </r>
    <r>
      <rPr>
        <rFont val="Arial"/>
        <b/>
        <color theme="1"/>
      </rPr>
      <t>10 outerreps</t>
    </r>
  </si>
  <si>
    <t xml:space="preserve">first goal [8]. 1:40 finished 1st goal block. second goal is [6]. 2:10 finished second block. 3rd goal is [5]. 2:35 finished. 4th goal is [4]. </t>
  </si>
  <si>
    <t>pump cleaner power source was plugged in for this session, so might more 60hz than usual</t>
  </si>
  <si>
    <r>
      <rPr>
        <rFont val="Arial"/>
        <color theme="1"/>
      </rPr>
      <t xml:space="preserve">goal, forageassistOFF. 45 s lockout, delay 1000-2500 ms, </t>
    </r>
    <r>
      <rPr>
        <rFont val="Arial"/>
        <b/>
        <color theme="1"/>
      </rPr>
      <t>10 outerreps</t>
    </r>
  </si>
  <si>
    <t>first goal [9] repeated perfectly! next goal [5] (10:59) repeated really well again! next goal [8] (11:12) - repeated pretty well again! next goal [6] (11:34) - did pretty well, next goal [11] (11:55ish) - completed at 12:11, stopping there. he did so well!!!!</t>
  </si>
  <si>
    <r>
      <rPr>
        <rFont val="Arial"/>
        <color theme="1"/>
      </rPr>
      <t xml:space="preserve">goal, forageassistOFF. 45 s lockout, delay 1000-2500 ms, </t>
    </r>
    <r>
      <rPr>
        <rFont val="Arial"/>
        <b/>
        <color theme="1"/>
      </rPr>
      <t>10 outerreps</t>
    </r>
  </si>
  <si>
    <t>first goal [7] - pretty smooth and speedy!, next goal [4] (2:06) - not as smooth... , next goal [10] (2:38) - back to being his silly self, next goal [8] (3:18) - 
I think the cart is off the wire on one of its wheels but doesn't seem to be affecting his movement? leaving as is so as not to interrupt the session</t>
  </si>
  <si>
    <t>loud ecu noise in the middle</t>
  </si>
  <si>
    <r>
      <rPr>
        <rFont val="Arial"/>
        <color theme="1"/>
      </rPr>
      <t xml:space="preserve">goal, forageassistOFF. 45 s lockout, delay 1000-2500 ms, </t>
    </r>
    <r>
      <rPr>
        <rFont val="Arial"/>
        <b/>
        <color theme="1"/>
      </rPr>
      <t>10 outerreps</t>
    </r>
  </si>
  <si>
    <t>first goal [4], next goal [5] (11:00), next goal [6] (11:16), next goal [9] (11:46)
did pretty well, above average for him</t>
  </si>
  <si>
    <r>
      <rPr>
        <rFont val="Arial"/>
        <color theme="1"/>
      </rPr>
      <t xml:space="preserve">goal, forageassistOFF. 45 s lockout, delay 1000-2500 ms, </t>
    </r>
    <r>
      <rPr>
        <rFont val="Arial"/>
        <b/>
        <color theme="1"/>
      </rPr>
      <t>10 outerreps</t>
    </r>
  </si>
  <si>
    <t>first goal [8], next goal [11] (2:13), next goal [6] (2:37), next goal [10] (2:56), next goal [5] (3:05), completed at 3:32, stopping there</t>
  </si>
  <si>
    <r>
      <rPr>
        <rFont val="Arial"/>
        <color theme="1"/>
      </rPr>
      <t xml:space="preserve">goal, forageassistOFF. 45 s lockout, delay 1000-2500 ms, </t>
    </r>
    <r>
      <rPr>
        <rFont val="Arial"/>
        <b/>
        <color theme="1"/>
      </rPr>
      <t>10 outerreps</t>
    </r>
  </si>
  <si>
    <t>first goal [4], next goal [5] (11:02), next goal [8] (11:16), next goal [10] (11:35), next goal [11] (11:59), taking him out</t>
  </si>
  <si>
    <r>
      <rPr>
        <rFont val="Arial"/>
        <color theme="1"/>
      </rPr>
      <t xml:space="preserve">goal, forageassistOFF. 45 s lockout, delay 1000-2500 ms, </t>
    </r>
    <r>
      <rPr>
        <rFont val="Arial"/>
        <b/>
        <color theme="1"/>
      </rPr>
      <t>10 outerreps</t>
    </r>
  </si>
  <si>
    <t>first goal [6], next goal [11] (2:13), next goal [9] (2:31), next goal [7] (2:47), next goal [8] (3:00), never found 8, slowed down at the end</t>
  </si>
  <si>
    <r>
      <rPr>
        <rFont val="Arial"/>
        <b val="0"/>
        <color theme="1"/>
      </rPr>
      <t>goal, forageassistOFF, 45s lockout, delay 1000-2500ms,</t>
    </r>
    <r>
      <rPr>
        <rFont val="Arial"/>
        <b/>
        <color theme="1"/>
      </rPr>
      <t xml:space="preserve"> 4-12 outerreps</t>
    </r>
  </si>
  <si>
    <t>first goal [10] (6 outerreps), next goal [5] (10 outerreps), next goal [9] (12 outerreps), next goal [6] (4 outerreps), next goal [11] (4 outerreps), next goal [8]</t>
  </si>
  <si>
    <r>
      <rPr>
        <rFont val="Arial"/>
        <b val="0"/>
        <color theme="1"/>
      </rPr>
      <t>goal, forageassistOFF, 45s lockout, delay 1000-2500ms,</t>
    </r>
    <r>
      <rPr>
        <rFont val="Arial"/>
        <b/>
        <color theme="1"/>
      </rPr>
      <t xml:space="preserve"> 4-12 outerreps</t>
    </r>
  </si>
  <si>
    <t>first goal [4] (9 outerreps), next goal [6] (12 outerreps), next goal [8] (10 outerreps), next goal [7], slowed down a lot this session, got more lazy and impatient</t>
  </si>
  <si>
    <t>** both center wells were chewed through so i replaced them</t>
  </si>
  <si>
    <r>
      <rPr>
        <rFont val="Arial"/>
        <b val="0"/>
        <color theme="1"/>
      </rPr>
      <t>goal, forageassistOFF, 45s lockout, delay 1000-2500ms,</t>
    </r>
    <r>
      <rPr>
        <rFont val="Arial"/>
        <b/>
        <color theme="1"/>
      </rPr>
      <t xml:space="preserve"> 4-12 outerreps</t>
    </r>
  </si>
  <si>
    <t>first goal [8], 9 outerreps. next [10] but struggling to repeat finished 4 reps. next [4] 12 reps. Next [7]. 8 reps. next [8]. got two more goal blocks.</t>
  </si>
  <si>
    <r>
      <rPr>
        <rFont val="Arial"/>
        <b val="0"/>
        <color theme="1"/>
      </rPr>
      <t>goal, forageassistOFF, 45s lockout, delay 1000-2500ms,</t>
    </r>
    <r>
      <rPr>
        <rFont val="Arial"/>
        <b/>
        <color theme="1"/>
      </rPr>
      <t xml:space="preserve"> 4-12 outerreps</t>
    </r>
  </si>
  <si>
    <t xml:space="preserve">first goal [7], 7 reps. new goal is [9]. Lost track, has 29 goals at 56 min, current goal [5]. 6 reps. new goal [10]. Just kinda sat at home well and napped. </t>
  </si>
  <si>
    <r>
      <rPr>
        <rFont val="Arial"/>
        <b val="0"/>
        <color theme="1"/>
      </rPr>
      <t>goal, forageassistOFF, 45s lockout, delay 1000-2500ms,</t>
    </r>
    <r>
      <rPr>
        <rFont val="Arial"/>
        <b/>
        <color theme="1"/>
      </rPr>
      <t xml:space="preserve"> 4-12 outerreps</t>
    </r>
  </si>
  <si>
    <t>first goal [10] (5 outerreps), next goal [5] (8 outerreps), next goal [6] (6 outerreps), next goal [11]
not timmy's best day... frustrated fellow</t>
  </si>
  <si>
    <r>
      <rPr>
        <rFont val="Arial"/>
        <b val="0"/>
        <color theme="1"/>
      </rPr>
      <t>goal, forageassistOFF, 45s lockout, delay 1000-2500ms,</t>
    </r>
    <r>
      <rPr>
        <rFont val="Arial"/>
        <b/>
        <color theme="1"/>
      </rPr>
      <t xml:space="preserve"> 4-12 outerreps</t>
    </r>
  </si>
  <si>
    <t>first goal [9] (8 outerreps), next goal [7] (12 outerreps), next goal [10] (12 outerreps), next goal [6] (6 outerreps), next goal [4]</t>
  </si>
  <si>
    <r>
      <rPr>
        <rFont val="Arial"/>
        <b val="0"/>
        <color theme="1"/>
      </rPr>
      <t>goal, forageassistOFF, 45s lockout, delay 1000-2500ms,</t>
    </r>
    <r>
      <rPr>
        <rFont val="Arial"/>
        <b/>
        <color theme="1"/>
      </rPr>
      <t xml:space="preserve"> 4-12 outerreps</t>
    </r>
  </si>
  <si>
    <t>goals: [11], [7], [6], [5]</t>
  </si>
  <si>
    <r>
      <rPr>
        <rFont val="Arial"/>
        <b val="0"/>
        <color theme="1"/>
      </rPr>
      <t>goal, forageassistOFF, 45s lockout, delay 1000-2500ms,</t>
    </r>
    <r>
      <rPr>
        <rFont val="Arial"/>
        <b/>
        <color theme="1"/>
      </rPr>
      <t xml:space="preserve"> 4-12 outerreps</t>
    </r>
  </si>
  <si>
    <t xml:space="preserve">goals: [8], [6], [11], [5], </t>
  </si>
  <si>
    <t>REMEMBER TO TRANSFER DATA and delete 'files' folder in the trash!</t>
  </si>
  <si>
    <t>probably stuck</t>
  </si>
  <si>
    <t>tritrode; channel 4 dead</t>
  </si>
  <si>
    <t>started noisy, got quiet at 2, went in at 5, moved to 5.5</t>
  </si>
  <si>
    <t>started noisy, got quiet at 1, went in at 5.25, moved to 6</t>
  </si>
  <si>
    <t>started noisy, got quiet at 2.5, went in at 5.5, moved to 6</t>
  </si>
  <si>
    <t>started quiet, got quieter at 2.5, moved to 7, not in. Trying again, moved to 10, on its way in</t>
  </si>
  <si>
    <t>started quiet, got quieter at 1.5, went in at 6.5, moved to 7</t>
  </si>
  <si>
    <t>started quiet, got quieter at 2, went in at 4.5, moved to 5.5</t>
  </si>
  <si>
    <t>started quiet, stayed quiet, moved to 7, not in. Trying again, in at 8.75, moved to 9</t>
  </si>
  <si>
    <t>started noisy, got quiet at .75, super quiet at 1.75, in at 6.75, moved to 7.5</t>
  </si>
  <si>
    <t>started noisy, got quiet at 4.5, in at 5.75, moved to 6.5</t>
  </si>
  <si>
    <t>started noisy, got quiet at 2.75, in at 6.75, moved to 7.5</t>
  </si>
  <si>
    <t>started noisy, quiet at 2.75, super quiet at 3.75, in at 6.75, moved to 7.5</t>
  </si>
  <si>
    <t>started quiet, in at 7.5, moved to 8</t>
  </si>
  <si>
    <t>started noisy, super quiet at 3, in at 7.5, moved to 8</t>
  </si>
  <si>
    <t>started noisy, quiet at 1.5, super quiet at 3, in at 7.25, moved to 8</t>
  </si>
  <si>
    <t>started quiet, in at 6, moved to 7</t>
  </si>
  <si>
    <t>started quiet, in at 7, moved to 7.5</t>
  </si>
  <si>
    <t xml:space="preserve">started noisy, quiet at 1.25 n at 6.5 moved to 7 </t>
  </si>
  <si>
    <t>started quiet, in at 6.5 moved to 7.5</t>
  </si>
  <si>
    <t>started noisy, quiet at 3.5, in at 7.5, moved to 8</t>
  </si>
  <si>
    <t>started quiet, in at 8, moved to 8.5</t>
  </si>
  <si>
    <t>started quiet, in at 7.25, moved to 8</t>
  </si>
  <si>
    <t>started quet, in at 7, moved to 8</t>
  </si>
  <si>
    <t>started noisy, quiet at 5, in at 7.5 moved to 8</t>
  </si>
  <si>
    <t>started quiet, in at 6.5, moved to 7.5</t>
  </si>
  <si>
    <t>started quiet, in at 5.75 moved to 6.5</t>
  </si>
  <si>
    <t>started noisy, quiet at 2, in at in at 6.75, moved to 7.5</t>
  </si>
  <si>
    <t>started quiet, in at 5.75, moved to 7</t>
  </si>
  <si>
    <t>started quiet, in at 8.25, moved to 9</t>
  </si>
  <si>
    <t>started quiet, in a 6.5, moved to 7.5</t>
  </si>
  <si>
    <t>sstarted quiet, in at 6.5 moveed to 7.5</t>
  </si>
  <si>
    <t>started quiet, in at 5, moved to 6</t>
  </si>
  <si>
    <t>started quiet, in at 5.25 , moved to 6</t>
  </si>
  <si>
    <t xml:space="preserve">started quiet, in a 4.25, moved to 5.5 </t>
  </si>
  <si>
    <t>started noisy, quiet at 0.5, in at 4, moved to 5</t>
  </si>
  <si>
    <t>started quiet, in at 6, moved to 6.5</t>
  </si>
  <si>
    <t>started quiet, in at 4.5, moved to 5</t>
  </si>
  <si>
    <t>started noisy, quiet at 1.5, in at 5.5, moved to 6</t>
  </si>
  <si>
    <t>started quiet, in at 5.5, moved to 6</t>
  </si>
  <si>
    <t>started noisy, quiet at 1.5, in at 4.5, moved to 6</t>
  </si>
  <si>
    <t>started quiet, in at 5.5, moved to 7</t>
  </si>
  <si>
    <t>started noisy, quiet at 1.25, in at 4.75, moved to 6</t>
  </si>
  <si>
    <t>started quiet, in at 5.5, moved to 6.5</t>
  </si>
  <si>
    <t>started quiet, in at 4.75, moved to 6</t>
  </si>
  <si>
    <t>started noisy, quiet at 2.5, in at 5.75, moved to 6.5</t>
  </si>
  <si>
    <t>stated quiet, in at 5.5, moved to 6</t>
  </si>
  <si>
    <t>started noisy, quiet at 1.5, in at 5, moved to 6.5</t>
  </si>
  <si>
    <t>started noisy, quiet at 1.5, in at 6, moved to 7</t>
  </si>
  <si>
    <t>started quiet, in at 6.5, moved to 7</t>
  </si>
  <si>
    <t>started noisy, quiet at 1.25, in at 7.25, moved to 8</t>
  </si>
  <si>
    <t>started noisy, quiet at 2.5, in at 6.25, moved to 7</t>
  </si>
  <si>
    <t>started noisy, quiet at 2, in at 7.5, moved to 8</t>
  </si>
  <si>
    <t>started quiet, in 6.5, moved to 7.5</t>
  </si>
  <si>
    <t>some movement on can 1, can 2 very quiet, can't hear movement, but big weird spindly things on both cans</t>
  </si>
  <si>
    <t xml:space="preserve"> +1/2 fuzz </t>
  </si>
  <si>
    <t>hashy tiny c +1/2 nc +1/2 nc</t>
  </si>
  <si>
    <t xml:space="preserve">def in c++ +1/4 fuzz </t>
  </si>
  <si>
    <t>c +1/2 nc +1/2 fuzz c+</t>
  </si>
  <si>
    <t>q hashy +1/2 x2 nc</t>
  </si>
  <si>
    <t xml:space="preserve">q tiny c +1/2 nc </t>
  </si>
  <si>
    <t>hashy +1/2 nc +1/2 c</t>
  </si>
  <si>
    <t>hashy +1/2 x2 nc</t>
  </si>
  <si>
    <t>hashy c +1/2 x2 nc</t>
  </si>
  <si>
    <t xml:space="preserve">hashy +1/2 fuzz c </t>
  </si>
  <si>
    <t xml:space="preserve">hashy +1/2 x2 fuzz c </t>
  </si>
  <si>
    <t>hashy +1/2 big fuzz c</t>
  </si>
  <si>
    <t xml:space="preserve">hashy +1/2 fuzz </t>
  </si>
  <si>
    <t>q hahsy +1/2 x2 nc</t>
  </si>
  <si>
    <t xml:space="preserve">hashy c +1/2 x2 moved </t>
  </si>
  <si>
    <t>hashy c +1/2 fuzz c+</t>
  </si>
  <si>
    <t>hashy +1 fuzz c</t>
  </si>
  <si>
    <t>hashy c +1/2 fuzz k</t>
  </si>
  <si>
    <t>hashy q +1 maybe c coming</t>
  </si>
  <si>
    <t xml:space="preserve">q hashy +1 nc </t>
  </si>
  <si>
    <t xml:space="preserve">hashy +1 maybe getting louder? </t>
  </si>
  <si>
    <t xml:space="preserve">hashy c +1 maybe tiny fuzz </t>
  </si>
  <si>
    <t>q +1 a little hashier</t>
  </si>
  <si>
    <t>q hashy +1 a little hashier?</t>
  </si>
  <si>
    <t>q +1 a little louder</t>
  </si>
  <si>
    <t>qq +1/2 x2 nc</t>
  </si>
  <si>
    <t xml:space="preserve">q +1/2 x2 nc </t>
  </si>
  <si>
    <t>qq +1/2 x2 slightly louder?</t>
  </si>
  <si>
    <t>q +1/2 x2 c coming</t>
  </si>
  <si>
    <t>q +1/2 x2 new c+</t>
  </si>
  <si>
    <t>qq +1/2x2  fuzz k</t>
  </si>
  <si>
    <t xml:space="preserve">no more massive spindles, more normal looking ones but suuuuper quiet esp on can 2. dug on several just to see movement. perhaps deswelled and tets came out of brain? </t>
  </si>
  <si>
    <t>q +2 louder tiny c</t>
  </si>
  <si>
    <t xml:space="preserve">q +1 nc </t>
  </si>
  <si>
    <t>hashy c+ +1 fuzz k c+</t>
  </si>
  <si>
    <t>qq +5 louder, c on ch1</t>
  </si>
  <si>
    <t>q hashy +1.5</t>
  </si>
  <si>
    <t>q +1 nc +1 louder new c?</t>
  </si>
  <si>
    <t>hashy +1 x2 nc</t>
  </si>
  <si>
    <t xml:space="preserve">hashy +1 </t>
  </si>
  <si>
    <t xml:space="preserve">qq +5 nc </t>
  </si>
  <si>
    <t>c+ +1 nc</t>
  </si>
  <si>
    <t>c++ +1/2 nc</t>
  </si>
  <si>
    <t xml:space="preserve">c++ +1 fuzz k </t>
  </si>
  <si>
    <t>q hashy +1.5 maybe louder</t>
  </si>
  <si>
    <t xml:space="preserve">hashy c +1 </t>
  </si>
  <si>
    <t xml:space="preserve">c++ +1/2 fuzz </t>
  </si>
  <si>
    <t>q hashy +1 c coming</t>
  </si>
  <si>
    <t>hashy c +1 moved fuzz c +</t>
  </si>
  <si>
    <t>hashy +1 c coming</t>
  </si>
  <si>
    <t xml:space="preserve">hashy +1 nc +1 </t>
  </si>
  <si>
    <t>q +1 c coming</t>
  </si>
  <si>
    <t>hashy +4 c coming</t>
  </si>
  <si>
    <t xml:space="preserve">q hashy +3 getting louder </t>
  </si>
  <si>
    <t xml:space="preserve">q +3 maybe louder? </t>
  </si>
  <si>
    <t xml:space="preserve">q +4 nc </t>
  </si>
  <si>
    <t>q +3</t>
  </si>
  <si>
    <t>q +6 nc</t>
  </si>
  <si>
    <t xml:space="preserve">qq +2 nc +3 nc </t>
  </si>
  <si>
    <t>hashy +4</t>
  </si>
  <si>
    <t>qq +3 fuzz c</t>
  </si>
  <si>
    <t xml:space="preserve">q hashy +3 nc </t>
  </si>
  <si>
    <t xml:space="preserve">qq +6 nc </t>
  </si>
  <si>
    <t>q +5 new c coming right at end</t>
  </si>
  <si>
    <t xml:space="preserve">q hashy +2 nc </t>
  </si>
  <si>
    <t>hashy +4 nc +5 now c+ finally moved</t>
  </si>
  <si>
    <t xml:space="preserve">qq +1 nc +5 big fuzz </t>
  </si>
  <si>
    <t xml:space="preserve">hashy +1nc +1 louder </t>
  </si>
  <si>
    <t>hashy +1 louder? +1/2 fuzz new c+</t>
  </si>
  <si>
    <t xml:space="preserve">q +1 nc +1/2 nc </t>
  </si>
  <si>
    <t>hashy +1 nc +1/2 fuzz k</t>
  </si>
  <si>
    <t xml:space="preserve">qq +1 nc </t>
  </si>
  <si>
    <t>hashy +1 nc +1 nc</t>
  </si>
  <si>
    <t>first can about where it was at yesterday, second can still very quiet, will be agressive (up to +5). Working theory is that the changes we made to the drive building process have affected the number of turns we should expect to do</t>
  </si>
  <si>
    <t>q +1x5 nc</t>
  </si>
  <si>
    <t>qq +1x5 nc</t>
  </si>
  <si>
    <t>qq +2 hashy +1 fuzz +1 c?</t>
  </si>
  <si>
    <t>c- +1 q/h</t>
  </si>
  <si>
    <t>qq +1x3 fuzz? c</t>
  </si>
  <si>
    <t>q +1x2 hints of a cell, definitely moving</t>
  </si>
  <si>
    <t>qqq +1x5 nc +1x4 nc</t>
  </si>
  <si>
    <t>q? +1x2 c (kill?)</t>
  </si>
  <si>
    <t>qq +1x6 q</t>
  </si>
  <si>
    <t>q +1x2 nc +1x5 big fuzz (kill) hashy</t>
  </si>
  <si>
    <t>q +1x5 fuzz c (possibly killed)</t>
  </si>
  <si>
    <t>qqq +1x2 nc</t>
  </si>
  <si>
    <t>q (h?) +1x2 hashy</t>
  </si>
  <si>
    <t>c++ +1x5 nc</t>
  </si>
  <si>
    <t>c+ +1x2 k</t>
  </si>
  <si>
    <t>q +1x5 np</t>
  </si>
  <si>
    <t>h? +1x5 nc</t>
  </si>
  <si>
    <t>c++ +1x2 fuzz</t>
  </si>
  <si>
    <t>q +1x7 nc - worried we're not in brain</t>
  </si>
  <si>
    <t>q with hints of a c, +1x3 c, +1 h, +1 c</t>
  </si>
  <si>
    <t>q +1x5 c</t>
  </si>
  <si>
    <t>q +3 nc +1x2 nc</t>
  </si>
  <si>
    <t>hashy +1x2 dying cell on ch3, otherwise hashy</t>
  </si>
  <si>
    <t>q +1x3 c +1x2 k</t>
  </si>
  <si>
    <t>q (h) +1 louder +1x4 deflections, small fuzz, +1 big fuzz, c+</t>
  </si>
  <si>
    <t>qq +1x6 hashy +1 big fuzz, hashy</t>
  </si>
  <si>
    <t>hashy +2 nc +1x3 nc</t>
  </si>
  <si>
    <t>q +1x2 c +1 h</t>
  </si>
  <si>
    <t>q +1x3 fuzz +1x2 hashy</t>
  </si>
  <si>
    <t>qq +1x4 c (k?) +1x3 big fuzz</t>
  </si>
  <si>
    <t>q +5 distant has +3</t>
  </si>
  <si>
    <t>qq +5 nc +2</t>
  </si>
  <si>
    <t>qq +5 nc +5 nc</t>
  </si>
  <si>
    <t>qq +5 nc</t>
  </si>
  <si>
    <t>q +5 mc</t>
  </si>
  <si>
    <t>q +5 nc</t>
  </si>
  <si>
    <t>q +3.25 def cell, +1.75 hashy</t>
  </si>
  <si>
    <t>hashy +1 nc +1 nc +1 c</t>
  </si>
  <si>
    <t>qq +5 c++ +1 k c++</t>
  </si>
  <si>
    <t>qq +5 nc +2 nc</t>
  </si>
  <si>
    <t xml:space="preserve">hashy +5 nc +2 nc </t>
  </si>
  <si>
    <t>hashy +5 nc</t>
  </si>
  <si>
    <t>hashy +1 c +1 hashy</t>
  </si>
  <si>
    <t>qq +3 kill q</t>
  </si>
  <si>
    <t>hashy +3 deflection k</t>
  </si>
  <si>
    <t>qq +5 got a little louder? nc</t>
  </si>
  <si>
    <t>hashy? +3 deflections/small fuzz +2 hashy?</t>
  </si>
  <si>
    <t>qq +7 nc</t>
  </si>
  <si>
    <t>qq +6 nc</t>
  </si>
  <si>
    <t>qqq +5 nc</t>
  </si>
  <si>
    <t>hashy +7 nc</t>
  </si>
  <si>
    <t>ended up backing a lot of tetrodes out after seeing ripples. other tetrodes were pushed more cautiously</t>
  </si>
  <si>
    <t>hashy +1 fuzz kill hashy</t>
  </si>
  <si>
    <t>q +1 x5 nc</t>
  </si>
  <si>
    <t>c-- +1/2 cell moved</t>
  </si>
  <si>
    <t>c+, +.5 k c-</t>
  </si>
  <si>
    <t>q +1 fuzz k q</t>
  </si>
  <si>
    <t>c++ +.5 lost cell c+</t>
  </si>
  <si>
    <t>r+ -4 q</t>
  </si>
  <si>
    <t xml:space="preserve">r+ down -2 r+ up -2 q </t>
  </si>
  <si>
    <t>c++ +.25 k c-</t>
  </si>
  <si>
    <t>qq +1 x2 nc</t>
  </si>
  <si>
    <t>hashy +.5 k fuzz c++</t>
  </si>
  <si>
    <t>q spindles +.5 q</t>
  </si>
  <si>
    <t>spindles, c+ +.5 nc</t>
  </si>
  <si>
    <t xml:space="preserve">c-- distant r? </t>
  </si>
  <si>
    <t>hashy spindles, +.5 nc</t>
  </si>
  <si>
    <t>c++ spindles +.5 nc</t>
  </si>
  <si>
    <t>qq +1 x2 hashy</t>
  </si>
  <si>
    <t>c- +.5 nc</t>
  </si>
  <si>
    <t xml:space="preserve">q +.5 fuzz </t>
  </si>
  <si>
    <t>c-- +.5 cells moved</t>
  </si>
  <si>
    <t xml:space="preserve">qq +.5 k </t>
  </si>
  <si>
    <t>r+ down, -2 k fuzz r up -2 q</t>
  </si>
  <si>
    <t>r+ down -2 fuzz, r center -2q, hashy? no r</t>
  </si>
  <si>
    <t>r-  up -2 nc -2 q</t>
  </si>
  <si>
    <t>r+ up -2 q r-- -1 q</t>
  </si>
  <si>
    <t>r++ down -2 k r- up -1</t>
  </si>
  <si>
    <t>q +0.5 nc</t>
  </si>
  <si>
    <t>q -5 (just to see what happens) nc - likely stuck</t>
  </si>
  <si>
    <t>h +0.5 nc</t>
  </si>
  <si>
    <t>c++ +0.5 possible kill?</t>
  </si>
  <si>
    <t xml:space="preserve">r+ down -2 c++ (maybe k?) -2 hashy </t>
  </si>
  <si>
    <t>q/h +0.5 nc</t>
  </si>
  <si>
    <t>qq +0.5 nc</t>
  </si>
  <si>
    <t>r/c -4 q/h</t>
  </si>
  <si>
    <t>r/c+ -2 q/h/r-- -2 q/h</t>
  </si>
  <si>
    <t>r-- -2 q</t>
  </si>
  <si>
    <t>r--/c+ -2 k hashy</t>
  </si>
  <si>
    <t>r-- -2 hashy</t>
  </si>
  <si>
    <t>c+ +0.5 q</t>
  </si>
  <si>
    <t>r--/hashy -2 hashy</t>
  </si>
  <si>
    <t>r--/hashy -2 q/h</t>
  </si>
  <si>
    <t>r- -4 hashy</t>
  </si>
  <si>
    <t>hashy +0.5 nc</t>
  </si>
  <si>
    <t>plan is to go slow and hopefully actually see the movement that's happening (especially in the second canula). Also, we're still seeing ripples on a lot of tetrodes, so we're going to back those out</t>
  </si>
  <si>
    <t>q/h +0.25 nc</t>
  </si>
  <si>
    <t>c spindles +0.5 cell fire rate maybe changed? spindles +0.5 c++</t>
  </si>
  <si>
    <t>c++ +0.25 nc</t>
  </si>
  <si>
    <t>q +0.25 nc saw spindles +0.5 spindles seem smaller</t>
  </si>
  <si>
    <t>q +0.25 maybe saw deflections? otherwise nc</t>
  </si>
  <si>
    <t>r -2 q</t>
  </si>
  <si>
    <t>c+ +0.25 nc - likely stuck</t>
  </si>
  <si>
    <t>h +0.25 nc</t>
  </si>
  <si>
    <t>c-- +.25 nc</t>
  </si>
  <si>
    <t>c +.25 nc</t>
  </si>
  <si>
    <t>c++ +.25 c++ cell moved</t>
  </si>
  <si>
    <t>spindles +.5 fuzz</t>
  </si>
  <si>
    <t>c++ spindles +.25 nc</t>
  </si>
  <si>
    <t>c+ +.25 c+ cells moved</t>
  </si>
  <si>
    <t>r+ up. -1 q -1 qq</t>
  </si>
  <si>
    <t>hashy +.5 c--</t>
  </si>
  <si>
    <t>c++ +.25 nc</t>
  </si>
  <si>
    <t>c+ +.25 nc</t>
  </si>
  <si>
    <t>r+ up -1 nc -1 r smaller -1 nc -1 nc might be stucl</t>
  </si>
  <si>
    <t>c++ spindles +.5 nc +.5 nc</t>
  </si>
  <si>
    <t>r+ up, -1 r smaller -1 k, q r--, -1 qq</t>
  </si>
  <si>
    <t>c++ +.25  fuzz</t>
  </si>
  <si>
    <t>c++ +.25 fuzz c++</t>
  </si>
  <si>
    <t>r+ up, -1 kr+, -1 r- -1 qq</t>
  </si>
  <si>
    <t>qq +.25 nc</t>
  </si>
  <si>
    <t>c- +.25  nc</t>
  </si>
  <si>
    <t>qq distant spindles +.25  nc</t>
  </si>
  <si>
    <t>q +0.25 nc</t>
  </si>
  <si>
    <t>q (h?) +.25 nc</t>
  </si>
  <si>
    <t>q spindles +0.5 nc</t>
  </si>
  <si>
    <t>spindles q +0.5 spindles are maybe smaller</t>
  </si>
  <si>
    <t>r- / c -2 q</t>
  </si>
  <si>
    <t>small spindles/hashy +0.5 nc</t>
  </si>
  <si>
    <t xml:space="preserve"> q +0.5 nc</t>
  </si>
  <si>
    <t>small spindles +0.5 nc</t>
  </si>
  <si>
    <t>spindles +0.5 nc</t>
  </si>
  <si>
    <t>r-- / c++ -2 hashy</t>
  </si>
  <si>
    <t>spindles / c++ +0.5 nc</t>
  </si>
  <si>
    <t>q/s +0.5 nc</t>
  </si>
  <si>
    <t>q/s +0.5 c--'</t>
  </si>
  <si>
    <t>q/s +0.5 q</t>
  </si>
  <si>
    <t>s/q +0.5 nc</t>
  </si>
  <si>
    <t>r+ -2 q</t>
  </si>
  <si>
    <t>s +0.5 nc</t>
  </si>
  <si>
    <t>s-/c+ +0.5 fuzz</t>
  </si>
  <si>
    <t>q/h? +0.25 nc</t>
  </si>
  <si>
    <t>Have a good ripple detector. Used it to identify channels that are close. Kept a feww in place that are getting close to having ripples. Moved others, lost most of our spindles from yesterday</t>
  </si>
  <si>
    <t>c- getting close</t>
  </si>
  <si>
    <t>c++ +.5 x2 probably stuck</t>
  </si>
  <si>
    <t>c-- +.25 q</t>
  </si>
  <si>
    <t>hashy +.25 nc</t>
  </si>
  <si>
    <t xml:space="preserve">qq </t>
  </si>
  <si>
    <t>c- +.25 nc</t>
  </si>
  <si>
    <t>distant ripps</t>
  </si>
  <si>
    <t>c- distant rips</t>
  </si>
  <si>
    <t xml:space="preserve">spindles +.25 </t>
  </si>
  <si>
    <t>hashy, +.25 nc</t>
  </si>
  <si>
    <t>hashy +.25 q</t>
  </si>
  <si>
    <t>qq +.25 qq</t>
  </si>
  <si>
    <t>c+ hashy, +.25 nc</t>
  </si>
  <si>
    <t xml:space="preserve">c- +.25 k </t>
  </si>
  <si>
    <t>qq + 1/8 nc</t>
  </si>
  <si>
    <t xml:space="preserve">r+ flat 750 spread  </t>
  </si>
  <si>
    <t>qq, c-- +.25 nc</t>
  </si>
  <si>
    <t>c++ +.25  nc</t>
  </si>
  <si>
    <t>c +.25 fuzz hashy</t>
  </si>
  <si>
    <t>q  +.25 nc</t>
  </si>
  <si>
    <t>qq +1/8 nc</t>
  </si>
  <si>
    <t>q +1/8 nc</t>
  </si>
  <si>
    <t>getting close</t>
  </si>
  <si>
    <t>q +.25 deflection</t>
  </si>
  <si>
    <t>qq +.25nc</t>
  </si>
  <si>
    <t>qq getting close</t>
  </si>
  <si>
    <t>r- up no cells</t>
  </si>
  <si>
    <t>Getting close</t>
  </si>
  <si>
    <t>c++ +.25 x2 nc</t>
  </si>
  <si>
    <t>hashy, c-- +.25 nc</t>
  </si>
  <si>
    <t>q c- +.25 nc</t>
  </si>
  <si>
    <t>Can hear distant ripples here</t>
  </si>
  <si>
    <t xml:space="preserve"> getting close</t>
  </si>
  <si>
    <t>q r--- +1/8</t>
  </si>
  <si>
    <t>c++ +.5 x3 nc</t>
  </si>
  <si>
    <t>tiny c on ch1 q +.5 x2 nc</t>
  </si>
  <si>
    <t xml:space="preserve">q +.5 +.25 nc </t>
  </si>
  <si>
    <t xml:space="preserve">qq +.5 +.25 c+ on ch3 </t>
  </si>
  <si>
    <t xml:space="preserve">qq +.5 +.25 r--- </t>
  </si>
  <si>
    <t>qq +.25 x3 tiny c on ch3</t>
  </si>
  <si>
    <t xml:space="preserve">qq +.5 deflection +.25 fuzz </t>
  </si>
  <si>
    <t xml:space="preserve">r-- +1/8 </t>
  </si>
  <si>
    <t xml:space="preserve">qq +.5 x2 nc </t>
  </si>
  <si>
    <t>q +.5 qq  maybe close to r- c coming on ch1</t>
  </si>
  <si>
    <t>q spindles +.5 x2    nc</t>
  </si>
  <si>
    <t xml:space="preserve">c on ch1 hashy spindles  +.5 x2 nc </t>
  </si>
  <si>
    <t>hashy q +.5 nc</t>
  </si>
  <si>
    <t>q +.5 x2 now r - coming</t>
  </si>
  <si>
    <t xml:space="preserve">hashy c spindles +.5x2 nc  </t>
  </si>
  <si>
    <t>q +.25 x4 maybe getting close to r-</t>
  </si>
  <si>
    <t xml:space="preserve">qq small spindles +.25x2 maybe spindles smaller  </t>
  </si>
  <si>
    <t>r++ 650 spread leave</t>
  </si>
  <si>
    <t xml:space="preserve">c+ spndly +.5 x3 nc </t>
  </si>
  <si>
    <t xml:space="preserve">qq +.25 nc ref candidate? </t>
  </si>
  <si>
    <t xml:space="preserve">c+ spindles +.25 x4 nc  </t>
  </si>
  <si>
    <t xml:space="preserve">hashy tiny c +.25 x2  </t>
  </si>
  <si>
    <t xml:space="preserve">q r--- +1/8x2 </t>
  </si>
  <si>
    <t xml:space="preserve">q r- +1/8 x2 </t>
  </si>
  <si>
    <t>q +.25 maybe r--</t>
  </si>
  <si>
    <t>q r- +1/8 x2 nc</t>
  </si>
  <si>
    <t>r-- tiny c +1/8 x2 nc</t>
  </si>
  <si>
    <t xml:space="preserve">clear r- but tet might still be moving up +1/8 x2 </t>
  </si>
  <si>
    <t xml:space="preserve">q spindles+.5 nc </t>
  </si>
  <si>
    <t>q spindles +.5 x2 nc</t>
  </si>
  <si>
    <t xml:space="preserve">q small spindles +.5 x2 </t>
  </si>
  <si>
    <t>spindles +.5 x3 nc</t>
  </si>
  <si>
    <t xml:space="preserve">q small spindles +.5 x2 nc </t>
  </si>
  <si>
    <t>qq +.5 x2 nc</t>
  </si>
  <si>
    <t xml:space="preserve">q +.25 x2 </t>
  </si>
  <si>
    <t>qq +.25  ref candidate</t>
  </si>
  <si>
    <t>qq +.25  +1/8 nc</t>
  </si>
  <si>
    <t>r+ centered some down leave</t>
  </si>
  <si>
    <t xml:space="preserve">q +.5 x2 nc </t>
  </si>
  <si>
    <t xml:space="preserve">small spindles +.5 x3 nc </t>
  </si>
  <si>
    <t xml:space="preserve">small spindles +.5 x4nc  </t>
  </si>
  <si>
    <t xml:space="preserve">q .25 x3 nc </t>
  </si>
  <si>
    <t xml:space="preserve">spindles c++ +.5 x4 nc </t>
  </si>
  <si>
    <t xml:space="preserve">q spindles +.5 x4 nc </t>
  </si>
  <si>
    <t xml:space="preserve">c on ch3 +.25 x3 </t>
  </si>
  <si>
    <t>q +.5 deflection maybe r---</t>
  </si>
  <si>
    <t xml:space="preserve">q spindles +.5 x4  </t>
  </si>
  <si>
    <t>q +.5 x3 nc</t>
  </si>
  <si>
    <t>clear r maybe even down leave</t>
  </si>
  <si>
    <t xml:space="preserve">q +.25 x3 </t>
  </si>
  <si>
    <t>c- hashy but r--- +1/8 x2</t>
  </si>
  <si>
    <t xml:space="preserve">r--- +1/8 </t>
  </si>
  <si>
    <t>r- +1/8 deflection r louder</t>
  </si>
  <si>
    <t>r--- +1/8 r--</t>
  </si>
  <si>
    <t>r--- +1/8 deflection</t>
  </si>
  <si>
    <t>q spindles +.5x2 nc</t>
  </si>
  <si>
    <t xml:space="preserve">q spindles +.5 x2 nc </t>
  </si>
  <si>
    <t xml:space="preserve">q spindles +.5 x2 </t>
  </si>
  <si>
    <t>q/hashy, +1/8, r---, maybe a little louder</t>
  </si>
  <si>
    <t>c++, spindles, +1/4x4 nc</t>
  </si>
  <si>
    <t>tiny c on ch2 q +1/4x2, fuzz, r--</t>
  </si>
  <si>
    <t>q, tiny c on ch4 +1/4 +1/8, nc</t>
  </si>
  <si>
    <t>q, tiny c, +1/8x3, r---</t>
  </si>
  <si>
    <t>q, tiny c on ch3, +1/8, cell dying, r-</t>
  </si>
  <si>
    <t>q, tiny c on ch1, +1/8x4, r---</t>
  </si>
  <si>
    <t>q, tiny c, +1/8x2, r---</t>
  </si>
  <si>
    <t>r--, +1/8, r-</t>
  </si>
  <si>
    <t>r---, +1/8, r-</t>
  </si>
  <si>
    <t>qq +1/4x4 nc, might be stuck</t>
  </si>
  <si>
    <t>c+, +1/8x3, nc maybe r-- but hard to hear</t>
  </si>
  <si>
    <t>spindles, +1/4x4, maybe smaller spindles?</t>
  </si>
  <si>
    <t>spindles, very hashy, +1/4x4, nc</t>
  </si>
  <si>
    <t>hashy q, +1/8x4, r---</t>
  </si>
  <si>
    <t>r- (up), +1/8x2, r-</t>
  </si>
  <si>
    <t>spindles, hashy, +1/4x2, fuzz! +1/4, r---</t>
  </si>
  <si>
    <t>small spindles, +1/4, +1/8x4, r---</t>
  </si>
  <si>
    <t>spindles, +1/4x2, little fuzz, +1/4x2</t>
  </si>
  <si>
    <t>r+ (center), 550 spread leave</t>
  </si>
  <si>
    <t>spindles, c+, +1/4x4, nc might be stuck</t>
  </si>
  <si>
    <t>c++ on ch3, +1/8x3, big cell going away!</t>
  </si>
  <si>
    <t>spindles, hashy, +1/4x3, smaller spindles?</t>
  </si>
  <si>
    <t>q hashy, +1/8x3, deflection, +1/8, tiny c on ch4, +1/8, r---</t>
  </si>
  <si>
    <t>r---, +1/8, deflection, +1/8, fuzz, +1/8, r--</t>
  </si>
  <si>
    <t>q hashy, r---, +1/8x4, tiny c, r--</t>
  </si>
  <si>
    <t>q, potential ref, leaving</t>
  </si>
  <si>
    <t>q, +1/8x4 nc</t>
  </si>
  <si>
    <t>q hashy, +1/8x3, nc</t>
  </si>
  <si>
    <t>spindles, +1/4x4, nc</t>
  </si>
  <si>
    <t>spindles, +1/4x6, slight deflection, otherwise nc</t>
  </si>
  <si>
    <t>small spindles, +1/4x4, nc</t>
  </si>
  <si>
    <t>spindles, +1/4x5, nc</t>
  </si>
  <si>
    <t>q, spindles, +1/4x5, nc</t>
  </si>
  <si>
    <t>qq +1/4x6, super quiet, nc, might be stuck</t>
  </si>
  <si>
    <t>q, +1/8x6, r---</t>
  </si>
  <si>
    <t>q, hashy, leave for now, but might not be best</t>
  </si>
  <si>
    <t>qq, maybe better ref candidate than 40, leave for now</t>
  </si>
  <si>
    <t>r- (center/up), +1/16, nc</t>
  </si>
  <si>
    <t>tiny c on ch1, q, +1/4x5, nc might be stuck</t>
  </si>
  <si>
    <t>q, small spindles, +1/2 +1/4x2, nc, might be stuck</t>
  </si>
  <si>
    <t>spindles, +1/2x3, nc might be stuck</t>
  </si>
  <si>
    <t>small spindles, +1/2x3, nc might be stuck</t>
  </si>
  <si>
    <t>q +1/8 +1/4 +1/8x3 nc</t>
  </si>
  <si>
    <t xml:space="preserve">small spindles, c++, +1/2x3 nc, might be stuck </t>
  </si>
  <si>
    <t>small spindles, +1/4x6, nc might be stuck</t>
  </si>
  <si>
    <t>q hashy, +1/4 +1/8x3, nc</t>
  </si>
  <si>
    <t>q hashy, +1/8x4, maybe r---</t>
  </si>
  <si>
    <t>spindles, +1/4x5, nc, might be stuck</t>
  </si>
  <si>
    <t>hashy, +1/8x4, r--</t>
  </si>
  <si>
    <t>small spindles, +1/4x3, nc</t>
  </si>
  <si>
    <t>r- center, leave for now</t>
  </si>
  <si>
    <t>small spindles, hashy, +1/4x2, +1/8x2, getting close</t>
  </si>
  <si>
    <t>small spindles, hashy, +1/4x3, r---</t>
  </si>
  <si>
    <t>q hashy, +1/8x4, r---</t>
  </si>
  <si>
    <t>r- (up), +1/16, r</t>
  </si>
  <si>
    <t>r--- q hashy, +1/8x2, r--</t>
  </si>
  <si>
    <t>q hashy, +1/8x3, r---</t>
  </si>
  <si>
    <t>small spindles, q hashy, +1/4, potential ref</t>
  </si>
  <si>
    <t>small spindles, q hashy, +1/4, potential ref, +1/4, nc, r---?</t>
  </si>
  <si>
    <t>q hashy, small spindles, +1/4x3, nc</t>
  </si>
  <si>
    <t>r- +1/8 +1/16 r growing?</t>
  </si>
  <si>
    <t>small spindles c+ +.25x4 nc</t>
  </si>
  <si>
    <t xml:space="preserve">clear r (up) +1/16 x2  </t>
  </si>
  <si>
    <t xml:space="preserve">leave for reference </t>
  </si>
  <si>
    <t>r-- +1/8 x2 r growing</t>
  </si>
  <si>
    <t>not perfect but leave as possible ref</t>
  </si>
  <si>
    <t>r-- +1/8 +1/16 growing</t>
  </si>
  <si>
    <t>r-- +1/8 x3 nc</t>
  </si>
  <si>
    <t>clear r- +1/16 x2</t>
  </si>
  <si>
    <t xml:space="preserve">r- +1/8 +1/16 </t>
  </si>
  <si>
    <t xml:space="preserve">qq +.25 x4 nc backup ref? </t>
  </si>
  <si>
    <t xml:space="preserve">clear r- c+ on ch1 +1/8x2  </t>
  </si>
  <si>
    <t>hashy small spindles +.25 x6 nc</t>
  </si>
  <si>
    <t xml:space="preserve">spindles. hashy +.25 x4 nc </t>
  </si>
  <si>
    <t>q r---- +1/8 x4 nc</t>
  </si>
  <si>
    <t xml:space="preserve">c on ch2 +1/8 x4 nc </t>
  </si>
  <si>
    <t>c- q  +1/8 x3 r-- growing</t>
  </si>
  <si>
    <t>r+ (down), 400 spread, leave, might want to pull up soon</t>
  </si>
  <si>
    <t>hashy, c+, +1/4x2, nc, not sure what's going on here, +1/4x2, maybe r-- in background? unclear</t>
  </si>
  <si>
    <t>r---, +1/16x6, nc</t>
  </si>
  <si>
    <t>r---, +1/8x2, r-- a little louder</t>
  </si>
  <si>
    <t>r--, +1/16x3, a little louder</t>
  </si>
  <si>
    <t>r--, +1/16x4, r- louder</t>
  </si>
  <si>
    <t>r- (up), +1/16, nc</t>
  </si>
  <si>
    <t>r--, +1/16x4, little louder</t>
  </si>
  <si>
    <t>r---, +1/16, +1/8x4, louder r--</t>
  </si>
  <si>
    <t>r--, +1/16x3, r--, a little louder</t>
  </si>
  <si>
    <t>r (up), +1/16, 200 spread and growing</t>
  </si>
  <si>
    <t>q spindles +1/4 x4 nc</t>
  </si>
  <si>
    <t>qq spindles +1/4 x4 nc</t>
  </si>
  <si>
    <t>q, spindles +1/4 x6 nc</t>
  </si>
  <si>
    <t>qq +1/4 x4 nc</t>
  </si>
  <si>
    <t>q +1/8 x2 r-- +1/16 x4 r-</t>
  </si>
  <si>
    <t>leaving for today possible ref</t>
  </si>
  <si>
    <t>c+ +1/8 x8 nc</t>
  </si>
  <si>
    <t>r (center/up) 300 splash, leave</t>
  </si>
  <si>
    <t>q +1/4 x4 nc</t>
  </si>
  <si>
    <t>qq small spindles +1/4 x4 nc</t>
  </si>
  <si>
    <t>spindles, +1/2 x2 nc</t>
  </si>
  <si>
    <t>small spindels +1/2 x2 nc</t>
  </si>
  <si>
    <t>r--- +1/4 x2 nc</t>
  </si>
  <si>
    <t>small spindles c++ +1/2 x2 nc</t>
  </si>
  <si>
    <t>small spindles +1/2 x2 nc</t>
  </si>
  <si>
    <t>getting close q +1/4 x1 +1/8 x3 r--</t>
  </si>
  <si>
    <t>getting close r--- +1/16 r-</t>
  </si>
  <si>
    <t>spindles +1/4 x4 mc</t>
  </si>
  <si>
    <t>r--- +1/8 2 nc</t>
  </si>
  <si>
    <t>small spindles, +1/4 x4 nc</t>
  </si>
  <si>
    <t>r (center/down), 200 splash, leave</t>
  </si>
  <si>
    <t>good ref candidate leaving</t>
  </si>
  <si>
    <t>c-- +1/8 x6 nc</t>
  </si>
  <si>
    <t>getting close r--- +1/8 r-- +1/16 x3 r--</t>
  </si>
  <si>
    <t>r (center/up), 300 splash, leave</t>
  </si>
  <si>
    <t>r-, +1/16 x3 c-- r</t>
  </si>
  <si>
    <t>q  r--- +1/8 x1 r--</t>
  </si>
  <si>
    <t>small spindles q +1/4 x4 nc</t>
  </si>
  <si>
    <t>qq small spindels +1/4 x4 nc</t>
  </si>
  <si>
    <t>qq small spindes +1/4 x3 nc</t>
  </si>
  <si>
    <t>adjusting in foege</t>
  </si>
  <si>
    <t xml:space="preserve">R- 1/16 x3  </t>
  </si>
  <si>
    <t>C+ 1/4 x4 bc</t>
  </si>
  <si>
    <t xml:space="preserve"> R+ 1200 spread leave </t>
  </si>
  <si>
    <t>Nice and q but tiny r——, leave for ref</t>
  </si>
  <si>
    <t>R+ 250 splash 1/16 x2</t>
  </si>
  <si>
    <t>R- 1/16x4</t>
  </si>
  <si>
    <t>Less good than 4, push +1/8 x 8 bc</t>
  </si>
  <si>
    <t>R +1/16 x4 sounds louder</t>
  </si>
  <si>
    <t>C+ 500 spread+1/16 x 8 bc, still stubborn intetneuron</t>
  </si>
  <si>
    <t>Nice r 300 splash +1/16 x2 louder</t>
  </si>
  <si>
    <t>R+ +1/16 growing</t>
  </si>
  <si>
    <t>Qq +1 nc</t>
  </si>
  <si>
    <t xml:space="preserve">Clear r+ +1/16 x2 growing </t>
  </si>
  <si>
    <t>Hasht c + +.25x 4 bc</t>
  </si>
  <si>
    <t>Spindle c+ +.25x4</t>
  </si>
  <si>
    <t xml:space="preserve">Qq +1/8 x8 nc </t>
  </si>
  <si>
    <t>r 600 spread, +1/16 growing</t>
  </si>
  <si>
    <t>c, small spindles, +1/4 x4, nc</t>
  </si>
  <si>
    <t>r- +1/16 nc</t>
  </si>
  <si>
    <t>r---, +1/8 x8, nc</t>
  </si>
  <si>
    <t>r (really down) -1/8x8 -1/8x8 -1/8x -1/8x8 nc stuck</t>
  </si>
  <si>
    <t>c+, +1/4x6, nc stuck</t>
  </si>
  <si>
    <t>r, +1/16, growing</t>
  </si>
  <si>
    <t>q hashy, +1/16, +1/8x8, nc</t>
  </si>
  <si>
    <t>r, +1/16x2, growing</t>
  </si>
  <si>
    <t>r, +1/16x2, kill, growing</t>
  </si>
  <si>
    <t>r+, 1000 spread, leave</t>
  </si>
  <si>
    <t>r-, +1/16x3, growing</t>
  </si>
  <si>
    <t>Little c, +1/16x12, nc maybe stuck</t>
  </si>
  <si>
    <t>r--, +1/16x4, nc</t>
  </si>
  <si>
    <t>r--, +1/16x3, growing</t>
  </si>
  <si>
    <t>r+, 1000 spread, leaving</t>
  </si>
  <si>
    <t xml:space="preserve">Spindles +.25 x 4 </t>
  </si>
  <si>
    <t xml:space="preserve">Q + .25 x 4 </t>
  </si>
  <si>
    <t xml:space="preserve">Looks dead now leave </t>
  </si>
  <si>
    <t>Q + .25 x 4 nc spindles</t>
  </si>
  <si>
    <t xml:space="preserve">Q + .25 x 4 nc </t>
  </si>
  <si>
    <t>Q +.25 x 4 nc</t>
  </si>
  <si>
    <t xml:space="preserve">Looks dead now? Leave </t>
  </si>
  <si>
    <t xml:space="preserve">Q not as good for ref +.25 x 4 maybe r--- deflections </t>
  </si>
  <si>
    <t>Q +.25x 6 nc</t>
  </si>
  <si>
    <t>Clear r 250 splash +1/16x5</t>
  </si>
  <si>
    <t>Q +1/4x 4 nc</t>
  </si>
  <si>
    <t>Q +1/4 x 4 nc</t>
  </si>
  <si>
    <t xml:space="preserve">Hashy +.25x 4 </t>
  </si>
  <si>
    <t>R-- + 1/8 x 10</t>
  </si>
  <si>
    <t>Noisy, +1/4 x 4</t>
  </si>
  <si>
    <t>q, +1/4x4, really noisy, nc</t>
  </si>
  <si>
    <t>r---, +1/8x8, nc</t>
  </si>
  <si>
    <t>r-, +1/16x4, nc</t>
  </si>
  <si>
    <t>q, +1/4x4, nc</t>
  </si>
  <si>
    <t>q, +1/8x8, r---</t>
  </si>
  <si>
    <t>r, +1/16x2, nc 300 splash</t>
  </si>
  <si>
    <t>leaving as ref</t>
  </si>
  <si>
    <t>hashy, +1/4x4, nc stuck</t>
  </si>
  <si>
    <t>r---, +1/8x3, deflection, +1/8</t>
  </si>
  <si>
    <t>r, +1/16x2, nc</t>
  </si>
  <si>
    <t>qq, small spindles +1/4x4, nc stuck</t>
  </si>
  <si>
    <t>small spindles +1/4x4, nc stuck</t>
  </si>
  <si>
    <t xml:space="preserve">clear r 450 splash +1/16 </t>
  </si>
  <si>
    <t>1250 spread leave</t>
  </si>
  <si>
    <t>tiny cell on ch1 and r--- but still ok - maybe pull up -1/8 x16 still r-- -.25 x6  still r--</t>
  </si>
  <si>
    <t>1000 splash! r centered/up leave</t>
  </si>
  <si>
    <t>r centered/up 700 splash leave</t>
  </si>
  <si>
    <t>q still no clear r +.25 x4 nc</t>
  </si>
  <si>
    <t>small r wimpy splash +1/16 x2</t>
  </si>
  <si>
    <t xml:space="preserve">super flat, still c+ on ch4 r-- +1/8 x4 deflection c coming on ch1 </t>
  </si>
  <si>
    <t>650 splash nice r leave</t>
  </si>
  <si>
    <t>950 spread leave</t>
  </si>
  <si>
    <t>nice r but slightly down 800 pslahs leave</t>
  </si>
  <si>
    <t>hashy c +.25x4</t>
  </si>
  <si>
    <t>still c+ .25x4 nc</t>
  </si>
  <si>
    <t>q +.25 x4 nc</t>
  </si>
  <si>
    <t>r way down -1/8 x 7 now centered/ up and growing</t>
  </si>
  <si>
    <t xml:space="preserve">spindles +.25 x4 </t>
  </si>
  <si>
    <t>nice r now down, pull up -1/8 x2 splash changing, now mostly up</t>
  </si>
  <si>
    <t>still super down, no splash. leave</t>
  </si>
  <si>
    <t>q/hashy +.25x4 nc</t>
  </si>
  <si>
    <t>r centered, 600 splash leave</t>
  </si>
  <si>
    <t xml:space="preserve">q no rips, +1/8 x8 nc </t>
  </si>
  <si>
    <t>nice r, still up 850 splash</t>
  </si>
  <si>
    <t>big r but down, 450 splash leave fr now</t>
  </si>
  <si>
    <t>now really down, minimal splash , pull up -1/8x4 r up now spread growing</t>
  </si>
  <si>
    <t>nice r 475 splash +1/16 growing</t>
  </si>
  <si>
    <t>r-- +1/16 x6 nc</t>
  </si>
  <si>
    <t xml:space="preserve">r- +1/16 x3 </t>
  </si>
  <si>
    <t xml:space="preserve">r-- +1/16 x2 </t>
  </si>
  <si>
    <t>r down 500 splash leave for now</t>
  </si>
  <si>
    <t xml:space="preserve">c+ on ch2 +.25 x4 </t>
  </si>
  <si>
    <t xml:space="preserve">not dead, c++.25x4 nc </t>
  </si>
  <si>
    <t>q + .25 x 4 nc spindles</t>
  </si>
  <si>
    <t xml:space="preserve">q +.25x4 </t>
  </si>
  <si>
    <t xml:space="preserve">qq +.25x4 nc </t>
  </si>
  <si>
    <t>not dead, c on ch1 +1/8 x 8 nc</t>
  </si>
  <si>
    <t>nice r, wimpy splash +1/16 x2 louder</t>
  </si>
  <si>
    <t>q +.25 x4  nc</t>
  </si>
  <si>
    <t>nice r 600 splash leave</t>
  </si>
  <si>
    <t>q +.25x4 nc</t>
  </si>
  <si>
    <t xml:space="preserve">small spindles +.25 x4 </t>
  </si>
  <si>
    <t xml:space="preserve"> hashy +.25x4 </t>
  </si>
  <si>
    <t xml:space="preserve">r-- +1/8 x2 +1/16 x2 </t>
  </si>
  <si>
    <t xml:space="preserve">hashy c on ch1, small spindles .25 x4 nc </t>
  </si>
  <si>
    <t xml:space="preserve">lots of 60hz, spindles +.25x4 </t>
  </si>
  <si>
    <t>r--- +1/8 x12 maybe getting louder now</t>
  </si>
  <si>
    <t xml:space="preserve">small spindles </t>
  </si>
  <si>
    <t>r-- +1/8 x 12 not sure if stuck</t>
  </si>
  <si>
    <t xml:space="preserve">q tiny spindles +.25 x4 </t>
  </si>
  <si>
    <t xml:space="preserve">300 splash nice r, up +1/16 x 3 </t>
  </si>
  <si>
    <t>leave, good</t>
  </si>
  <si>
    <t>q looks differnet from others +1/8 x5 now r- deflection</t>
  </si>
  <si>
    <t xml:space="preserve">nicer, still up  450 splash +1/16 </t>
  </si>
  <si>
    <t>nicer, up +1/16 x2 growing</t>
  </si>
  <si>
    <t xml:space="preserve">r-- +1/8 x2 +1/16 x3 </t>
  </si>
  <si>
    <t>qq small spindles +.25x4 nc</t>
  </si>
  <si>
    <t>qq small spindles, lots of 60hz +.25x4 nc</t>
  </si>
  <si>
    <t>r (up), 350 splash (a little clustery), +1/16x3</t>
  </si>
  <si>
    <t>r (center), 1200 spread, leave</t>
  </si>
  <si>
    <t>very noisy today, pushing back down, +1/8x12, might be stuck, r--</t>
  </si>
  <si>
    <t>r (center/down) 450 spread, pulling up a bit -1/16x16, nc</t>
  </si>
  <si>
    <t>r (up/center), 700 spread, leave</t>
  </si>
  <si>
    <t>new ref, pretty q</t>
  </si>
  <si>
    <t>r (up/center), 500 spread, +1/16</t>
  </si>
  <si>
    <t>r--, +1/8x2, +1/16, r- getting louder</t>
  </si>
  <si>
    <t>r (up/center), 800 spread, leave</t>
  </si>
  <si>
    <t>r (center/down), 750 spread, leave</t>
  </si>
  <si>
    <t>r (down), 750 spread, leave for now, pull up if gets worse?</t>
  </si>
  <si>
    <t>r (center), 300 spread, pulling up a bit -1/16x2</t>
  </si>
  <si>
    <t>r (center/up), 250 splash, leaving</t>
  </si>
  <si>
    <t>r (super down), 200 splash, leave</t>
  </si>
  <si>
    <t>r (center), 700 spread, leave</t>
  </si>
  <si>
    <t>r (center/up), 400 splash, leaving for today (pull up tomorrow if sinking more)</t>
  </si>
  <si>
    <t>r (down), 300 splash, pull up -1/8x8, growing! more centered, 1000 spread</t>
  </si>
  <si>
    <t>r (center), 500 spread, leave</t>
  </si>
  <si>
    <t>r (center), 500 splash, leave for now</t>
  </si>
  <si>
    <t>r--, +1/16x8, nc, maybe stuck</t>
  </si>
  <si>
    <t>r (up), +1/16x4, nc, maybe stuck</t>
  </si>
  <si>
    <t>r (up), +1/16, growing</t>
  </si>
  <si>
    <t>r (center/down), 400 splash, pulling up -1/8x3, more centered, growing</t>
  </si>
  <si>
    <t>q, +1/8x8, nc</t>
  </si>
  <si>
    <t>r (up/center) +1/16x2, leave for now</t>
  </si>
  <si>
    <t>r (center), 450 splash, leave for now, maybe pull up tomorrow</t>
  </si>
  <si>
    <t>r-- +1/8x3, +1/16x3, r-</t>
  </si>
  <si>
    <t>r--, +1/8x16, maybe louder but minimal change</t>
  </si>
  <si>
    <t>r (center/up), +1/16x2, deflection, growing</t>
  </si>
  <si>
    <t>r-- +1/8x12, nc probs stuck</t>
  </si>
  <si>
    <t>r (center/up), 350 splash, leaving for now</t>
  </si>
  <si>
    <t>giant c++ on ch2, pushing down a bit to try to get rid of it, +1/8x6, baby ripples, pulling up -1/8x16, baby ripples ? -1/8x2, -1/4x5, c++ still there, ch4 might be ok</t>
  </si>
  <si>
    <t>r (up), +1/16x2, nc leaving now</t>
  </si>
  <si>
    <t>r (center), 450 splash, leaving for now</t>
  </si>
  <si>
    <t>r (up/center), +1/16x2, nc</t>
  </si>
  <si>
    <t>r--, +1/8x12, little to no change</t>
  </si>
  <si>
    <t>r up/flat 450 splash, +1/16x3, nc</t>
  </si>
  <si>
    <t>r flat 900 spread, leaving</t>
  </si>
  <si>
    <t>qq, +1/8x8, nc probably stuck</t>
  </si>
  <si>
    <t>r flat 1100 spread, only 450 spread after clearing? leave for now</t>
  </si>
  <si>
    <t>r flat 700 spread, leaving</t>
  </si>
  <si>
    <t>r up/flat, 500 spread, +1/16x2, nc</t>
  </si>
  <si>
    <t>r-, +1/8x3, fuzz, growing!</t>
  </si>
  <si>
    <t>r flat, 800 spread, leaving</t>
  </si>
  <si>
    <t>r flat/down 600 spread good separation, leave for now maybe move up tomorrow</t>
  </si>
  <si>
    <t>r down, 750 spread, leaving</t>
  </si>
  <si>
    <t>r up/flat, no real splash, leaving to settle</t>
  </si>
  <si>
    <t>r up/flat, splash, 350 splash, leaving to settle</t>
  </si>
  <si>
    <t>r- down, splash, -1/4x8, nc still stuck</t>
  </si>
  <si>
    <t>r center, 700 spread, leaving</t>
  </si>
  <si>
    <t>r flat/down, 300 splash, going up -1/8x8, flat, growing</t>
  </si>
  <si>
    <t>r flat, 1500 spread, leaving</t>
  </si>
  <si>
    <t>r flat, 450 spread, leaving to settle</t>
  </si>
  <si>
    <t>r flat, 400 spread, leaving, might want to pull up soon if getting worse</t>
  </si>
  <si>
    <t>r--, lots of c's, +1/8x8, nc maybe stuck</t>
  </si>
  <si>
    <t>r-, up, 200 splash, +1/16x8, nc might be stuck</t>
  </si>
  <si>
    <t>r up/flat 200 splash, +1/16x3, nc</t>
  </si>
  <si>
    <t>r up/flat, 500 splash, leaving so we don't need to turn around</t>
  </si>
  <si>
    <t>q, +1/8x8, nc, might be stuck</t>
  </si>
  <si>
    <t>r flat, 1700 spread, leaving</t>
  </si>
  <si>
    <t>r down, 500 spread, leave</t>
  </si>
  <si>
    <t>r-, +1/8, +1/16x5, growing!</t>
  </si>
  <si>
    <t>r center 850 spread, leaving</t>
  </si>
  <si>
    <t>q, +1/8x6, r---, +1/8x10, r---</t>
  </si>
  <si>
    <t>r flat, 350 splash, +1/16, growing</t>
  </si>
  <si>
    <t>done hear a spike but do see one in waveform cloud. Maybe only happens during behavior?</t>
  </si>
  <si>
    <t>r up/center 800 spread, leaving</t>
  </si>
  <si>
    <t>r flat/down 350 splash, going up a bit, -1/16, -1/8x8, flat/up</t>
  </si>
  <si>
    <t>r fkat, 1400 spread, leaving</t>
  </si>
  <si>
    <t>r- flat/up, no spread, +1/16x8, +1/8x6, nc</t>
  </si>
  <si>
    <t>r up/flat 300 splash, +1/16 x8 nc</t>
  </si>
  <si>
    <t>r flat 750</t>
  </si>
  <si>
    <t>stuck</t>
  </si>
  <si>
    <t>q, using ch1</t>
  </si>
  <si>
    <t>r flat, spalash +1/16 x6 starting to change</t>
  </si>
  <si>
    <t>r up/flat, 300 splash leaving</t>
  </si>
  <si>
    <t>r- very down stuck</t>
  </si>
  <si>
    <t>r flat, 1000 spread, leaving</t>
  </si>
  <si>
    <t>r flat, down, 400 spread</t>
  </si>
  <si>
    <t>r flat 1400 leaving</t>
  </si>
  <si>
    <t>r flat 400 spread, leaving</t>
  </si>
  <si>
    <t>r flat 400 splash leaving</t>
  </si>
  <si>
    <t>c++ r--- +1/8 x4 nc stuck</t>
  </si>
  <si>
    <t>r- up, +1/8 x4 nc getting louder maybe?</t>
  </si>
  <si>
    <t>r up/flat, +1/16 x7 spread changing</t>
  </si>
  <si>
    <t>r up/flat 500 splash, leaving</t>
  </si>
  <si>
    <t>r flat. 1900 spread leaving</t>
  </si>
  <si>
    <t>r down 500 spread leaving</t>
  </si>
  <si>
    <t>r up/flat, 300 splash. +1/16 x8 nc leaving for now</t>
  </si>
  <si>
    <t>r flat, 950 leaving</t>
  </si>
  <si>
    <t>q, r---, +1/8 x8 nc stuck</t>
  </si>
  <si>
    <t>r flat, 200 spalsh, +1/16 x4 spread might be changing, leaving in place</t>
  </si>
  <si>
    <t>good, using ch4</t>
  </si>
  <si>
    <t>r flat 1450 leav</t>
  </si>
  <si>
    <t>r still flat/down, 300 spalsh -1/8 x3 now flat somtimes up</t>
  </si>
  <si>
    <t>r flat 2000 spread leaving</t>
  </si>
  <si>
    <t>r- +1/8 x8 nc stuck but good r detector</t>
  </si>
  <si>
    <t>r up/flat 300 splash +1/16 x8 nc rips might be louder</t>
  </si>
  <si>
    <t>r down 400 spread but clearly clustered</t>
  </si>
  <si>
    <t>r flat, splash, +1/16 x8 nc r might be starting to trend down</t>
  </si>
  <si>
    <t>r up/flat 300 splash +1/16 x4 got really noisy for some reason during moving</t>
  </si>
  <si>
    <t>r flat 600</t>
  </si>
  <si>
    <t>r flat 800</t>
  </si>
  <si>
    <t>r flat 300 spalsh +1/16</t>
  </si>
  <si>
    <t>r flat 300 +1/16 x4 nc</t>
  </si>
  <si>
    <t>r- up +1/8 x6 nc defiitely stuck but good r detector</t>
  </si>
  <si>
    <t>r up/flat 300 splash +1/16 x8 probably stuck</t>
  </si>
  <si>
    <t>r up/flat 550 spread</t>
  </si>
  <si>
    <t>r up/flat, 200 splash +1/16 x12 nc might be stuck</t>
  </si>
  <si>
    <t>r down 200 splash -1/8 x7 found cell, r flat leaving in place</t>
  </si>
  <si>
    <t>q, using ch4</t>
  </si>
  <si>
    <t>r+ up/flat 900 spread, leaving</t>
  </si>
  <si>
    <t>r down, 400 spread, but clustery, leaving</t>
  </si>
  <si>
    <t>r, center/down, 400 spread, but clustery, pull up a bit -1/16x8, nc</t>
  </si>
  <si>
    <t>r+, center, 1600 spread, leave</t>
  </si>
  <si>
    <t>r+, center, 1200 spread, leave</t>
  </si>
  <si>
    <t>r, down, 350 splash, pull up, -1/8x16, nc -1/8x8 nc</t>
  </si>
  <si>
    <t>r center/down 400 spread, pulling up -1/8x16, nc, -1/8x5, centered/up, growing!</t>
  </si>
  <si>
    <t>r down 400 spread , but clustery, pulling up -1/8x11, growing! centered</t>
  </si>
  <si>
    <t>r down, 200 splash, pulling up -1/8x24, still down but less down, -1/8x8 same deal</t>
  </si>
  <si>
    <t>r down, pulling up -1/8x11, growing, centered</t>
  </si>
  <si>
    <t>r down, 300 splash, pulling up -1/8x4, growing, centered</t>
  </si>
  <si>
    <t>r center, 400 splash, leave</t>
  </si>
  <si>
    <t>r+ center, 1200 spread, leave</t>
  </si>
  <si>
    <t>r center, 400 splash, leaving</t>
  </si>
  <si>
    <t>r center/down 550 spread, leaving for now</t>
  </si>
  <si>
    <t>r, center, 650 spread, leave</t>
  </si>
  <si>
    <t>r center/up, 500 spread, leave</t>
  </si>
  <si>
    <t>r center, 600 spread, leaving</t>
  </si>
  <si>
    <t>r center/down 500 spread, but clustery, pulling up, -1/8x5, leaving, growing!, centered</t>
  </si>
  <si>
    <t>r down, tiny splash, pull up, -1/8x13, centered, growing</t>
  </si>
  <si>
    <t>r center/up, 500 spread, try down a bit, +1/16x8, nc might be stuck</t>
  </si>
  <si>
    <t>r center/down, 860 spread, leave</t>
  </si>
  <si>
    <t>r center/down, 200 splash, -1/8x5, center/up, growing!</t>
  </si>
  <si>
    <t>r center/down, 800 spread, leaving</t>
  </si>
  <si>
    <t>r center/down 200 splash, pull up -1/8x30, slightly more centered? maybe?</t>
  </si>
  <si>
    <t>r center/down, 900 spread, leaving</t>
  </si>
  <si>
    <t>r+ center/up 1100 spread, leaving</t>
  </si>
  <si>
    <t>r, center/up, 1000 spread, leaving</t>
  </si>
  <si>
    <t>r down, 400 spread, pulling up -1/8x20 nc</t>
  </si>
  <si>
    <t>r down, 250 splash, try pulling again -1/8x8 nc</t>
  </si>
  <si>
    <t>r center, 1000 spread, leaving</t>
  </si>
  <si>
    <t>r center, 1600 spread, leaving</t>
  </si>
  <si>
    <t>r down, 300 splash, trying pulling up again, -1/8x16 nc</t>
  </si>
  <si>
    <t>r center, 1200 spread, leaving</t>
  </si>
  <si>
    <t>r center/up, 800 spread, leaving</t>
  </si>
  <si>
    <t>r center, 900 spread, leaving</t>
  </si>
  <si>
    <t>r down, teeny splash, pull up -1/4x8 nc</t>
  </si>
  <si>
    <t>was not a ripple detector today, push back down, +1/8x3, +1/16x4, ripples are back, leaving for now</t>
  </si>
  <si>
    <t>r center, 650 spread, leaving</t>
  </si>
  <si>
    <t>r center, 300 splash, leaving</t>
  </si>
  <si>
    <t>r center/down, try pulling up more, -1/8x8, -1/8x1, center/up</t>
  </si>
  <si>
    <t>r center/down, 400 spread, -1/8x8 -1/8x8, nc</t>
  </si>
  <si>
    <t>r center, 800 spread, leaving</t>
  </si>
  <si>
    <t>r center/up, 600 spread, leaving</t>
  </si>
  <si>
    <t>r center, 1700 spread, leaving</t>
  </si>
  <si>
    <t>r center, 750 spread, leaving</t>
  </si>
  <si>
    <t>r center, 1300 spread</t>
  </si>
  <si>
    <t>r center/up, push down a bit, +1/16x8, nc but sounds nice</t>
  </si>
  <si>
    <t>r down, 450 spread, pull up, -1/8x8 -1/8x2, center/up, growing</t>
  </si>
  <si>
    <t>c++, r center/up, push down a bit, +1/8x8, nc back to stuck</t>
  </si>
  <si>
    <t>r center, 500 spread, leaving</t>
  </si>
  <si>
    <t>r center/down, 400 spread, pulling up a bit, -1/8x8 -1/8x8 -1/8x4, maybe more centered?</t>
  </si>
  <si>
    <t>was not a ripple detector today, push back down, +1/8x12, +1/16x6, leaving, ripples are back</t>
  </si>
  <si>
    <t>r center/down, pull up -1/8x7, growing, centered</t>
  </si>
  <si>
    <t>r center/up, 1800 spread, leaving</t>
  </si>
  <si>
    <t>r, 1500 spread</t>
  </si>
  <si>
    <t>r down. 330 spread, good separation</t>
  </si>
  <si>
    <t>r down 250 splash</t>
  </si>
  <si>
    <t>r center 900 spread</t>
  </si>
  <si>
    <t>r center 1200 s[read</t>
  </si>
  <si>
    <t>r center 600 spread +1/16 x6 changing spread</t>
  </si>
  <si>
    <t>r center/up 500 spread good separation</t>
  </si>
  <si>
    <t>r center/down, 1250 spread</t>
  </si>
  <si>
    <t>q, very very distant r, probably back in cc, +1/4 x8 nc</t>
  </si>
  <si>
    <t>r center 1200 spread</t>
  </si>
  <si>
    <t>r center 1000 spread</t>
  </si>
  <si>
    <t>r center, literally off the charts, mroe likely 1000 spread</t>
  </si>
  <si>
    <t>r center 400 spread</t>
  </si>
  <si>
    <t>r center 700 spread</t>
  </si>
  <si>
    <t>r center 600 spread</t>
  </si>
  <si>
    <t>r center/down 700 spread</t>
  </si>
  <si>
    <t>r down, 600 spread</t>
  </si>
  <si>
    <t>r center 500 splash</t>
  </si>
  <si>
    <t>r- up/center no splash</t>
  </si>
  <si>
    <t>r center 1600</t>
  </si>
  <si>
    <t>epoch #</t>
  </si>
  <si>
    <t>akg01</t>
  </si>
  <si>
    <t>not so good, hasn't figured out how to trigger the well</t>
  </si>
  <si>
    <t>akg02</t>
  </si>
  <si>
    <t>not so good, hasn't figured out how to trigger the well - didn't lick up extra milk</t>
  </si>
  <si>
    <t>akg03</t>
  </si>
  <si>
    <t>licked up all milk on wells</t>
  </si>
  <si>
    <t>akg04</t>
  </si>
  <si>
    <t>doing great</t>
  </si>
  <si>
    <t>Did really well, might have gotten full. Will not have 3rd run</t>
  </si>
  <si>
    <t>Caught on near end, was working up until taken out</t>
  </si>
  <si>
    <t>Didn't move almost entire time</t>
  </si>
  <si>
    <t>Didn't seem to move but had some rewards, so progress?</t>
  </si>
  <si>
    <t>Doing good!</t>
  </si>
  <si>
    <t>Still nothing</t>
  </si>
  <si>
    <t>amazing, took out after 30 min</t>
  </si>
  <si>
    <t>up to 7 rewards with our help, 2 on his own</t>
  </si>
  <si>
    <t>up to 5 rewards with our help, none on his own</t>
  </si>
  <si>
    <t>After 20 min remains frozen in place. Encouraged to move and ate some milk. Almost all rewards a result of my prodding</t>
  </si>
  <si>
    <t>Finished milk. Took out at 11:35</t>
  </si>
  <si>
    <t>Barely worked</t>
  </si>
  <si>
    <t>Cohort 2 GS01-07</t>
  </si>
  <si>
    <t>immediately up and running, totally gets it</t>
  </si>
  <si>
    <t>still not totally into it, preload milk next time too</t>
  </si>
  <si>
    <t xml:space="preserve">all got it! </t>
  </si>
  <si>
    <t>doing great at first, all full and napping by end</t>
  </si>
  <si>
    <t>most anxious guy upon removal</t>
  </si>
  <si>
    <t>Cohort 3 CIO3-10</t>
  </si>
  <si>
    <t>all learned to drink milk</t>
  </si>
  <si>
    <t>is slowly getting it, most anxious guy to get out of the track</t>
  </si>
  <si>
    <t>pretty unmotivated, left some milk trails</t>
  </si>
  <si>
    <t>is slowly getting it</t>
  </si>
  <si>
    <t>left a couple milk trials in the middle of the epoch</t>
  </si>
  <si>
    <t>left a couple milk trials in the middle of the epoch, most unmotivated old guy</t>
  </si>
  <si>
    <t>did ok</t>
  </si>
  <si>
    <t>unmotivated... or too anxious?</t>
  </si>
  <si>
    <t>this guys a pro!</t>
  </si>
  <si>
    <t>doing a lot of napping; surprised that he did as many as he did given his lack of motivation yesterday</t>
  </si>
  <si>
    <t>doing a lot of napping</t>
  </si>
  <si>
    <t>not very motivated, tried nudging him but he didn't like being nudged (just made him anxious), haven't actually seen if he drinks the milk</t>
  </si>
  <si>
    <t>he's zooming!</t>
  </si>
  <si>
    <t>napping most of the time</t>
  </si>
  <si>
    <t>doing really well in the last half!</t>
  </si>
  <si>
    <t>got it!</t>
  </si>
  <si>
    <t>a star :')</t>
  </si>
  <si>
    <t>2 asssisted with milk trails</t>
  </si>
  <si>
    <t>2 assisted with milk trails, is definitely drinking up the milk, just gets "stuck" sitting on the reward wells; jk he finally got it!!</t>
  </si>
  <si>
    <t>took him out after 45 min</t>
  </si>
  <si>
    <t>a little break for these guys and then one last little epoch to make sure they've got it</t>
  </si>
  <si>
    <t>maybe not long enough of a break / they're full, not motivated and sleepy for this part but that's ok</t>
  </si>
  <si>
    <t>also didn't help that there was no little guy constantly doing things next to them anymore</t>
  </si>
  <si>
    <t>for clean-up: switch pump direction, allON, then allOFF (to gather milk); switch pump back --&gt; soapy water, ethanol and wipe down the lanes</t>
  </si>
  <si>
    <t>promising, esp after drinking a lot earlier</t>
  </si>
  <si>
    <t>so great! especially after drinking a ton on linear earlier</t>
  </si>
  <si>
    <t>so good! big puddle of milk at base of arm 6, unclear how that happened and surprising that he didnt drink it. started saving files today. still need to fix camera settings so the video is less dark</t>
  </si>
  <si>
    <t xml:space="preserve">good! 50 mins only </t>
  </si>
  <si>
    <t>forage, 8 arms rewarded. 5 s lockout, delay 100-200 ms</t>
  </si>
  <si>
    <t>definitely biased toward right well over left. prefers arms 1 amd 7</t>
  </si>
  <si>
    <t>70 mins to ompensate for short first session. trying but doesn't get trial structure. lazy and doesn't bother to go out, just goes back to home - needs a longer lockout. biasesd to left well over right. after ep discovered big puddles of milk at arms 6 and 8 how!?</t>
  </si>
  <si>
    <t>Forage, 8arms rewarded, 7s lockout, delay 100-200ms</t>
  </si>
  <si>
    <t>Retracts his nose from the L well quickly and causes an error, so the light stays on. He prefers end arms. Forgot to record rewards &amp; data not saved</t>
  </si>
  <si>
    <t>Doing great! Prefers arms 2 and 6. Stopped a little early, seemed to get stuck in a cycle . data not saved</t>
  </si>
  <si>
    <t>debugging: checked timing of SC - accurate. increased gain of cameras from 8 to 30, gamma from 1 to .7, red balance ratio  from 1.9 to 1.1 (can't changeexposure bc reduces frame rate). increased deliverperiodBox to 200 from 150</t>
  </si>
  <si>
    <t>Forage, 8arms rewarded, 10s lockout, delay 100-200ms</t>
  </si>
  <si>
    <t>Def figured out that the lighted well is the correct one, but the extra timeout doesn't offset the reward. Too lazy to go to arms. Stopped a little early. data saved as ep1</t>
  </si>
  <si>
    <t>Did really well. Def prefers arms 6 and 2. Still hasn't quite gotten that the light indicates rewarded wells. less biased than previously. data saved as ep1</t>
  </si>
  <si>
    <t>Forage, 8arms rewarded, 12s lockout, delay 100-200ms</t>
  </si>
  <si>
    <t>definitely intentionally choosing lit r/w well - has that part down! ready for delay increase? does so good! ended early so didnt get too full</t>
  </si>
  <si>
    <t xml:space="preserve">Checked about 30min in. Only had 4 complete trials. Trying to encourage to go to arms. Might have just scared him too much. Did seem to get it after I left? </t>
  </si>
  <si>
    <t>30min in and had 71 goals. Prefers 6. Didn't reset python.</t>
  </si>
  <si>
    <t>Weirdness with goal count, didn't reset python.</t>
  </si>
  <si>
    <r>
      <rPr>
        <rFont val="Arial"/>
        <color theme="1"/>
      </rPr>
      <t xml:space="preserve">Forage, 8arms rewarded, 12s lockout, </t>
    </r>
    <r>
      <rPr>
        <rFont val="Arial"/>
        <b/>
        <color theme="1"/>
      </rPr>
      <t>delay 500-1000</t>
    </r>
  </si>
  <si>
    <t>Realized 2 trials in that I forgot to use the earlier script! Redid without having to remove him. Stopped a little early because he wasn't doing much.</t>
  </si>
  <si>
    <t>Forage, 8arms rewarded, 12s lockout, delay 500-1000</t>
  </si>
  <si>
    <t>Forgot to start record until after first trial :( 48 min in finished all milk on arm 6.</t>
  </si>
  <si>
    <t>Got wrong python script again. Reset after 1st trial. Did great! Ready to move up in delay. Finished milk in a couple arms</t>
  </si>
  <si>
    <r>
      <rPr>
        <rFont val="Arial"/>
        <color theme="1"/>
      </rPr>
      <t xml:space="preserve">Forage, 8arms rewarded, 12s lockout, </t>
    </r>
    <r>
      <rPr>
        <rFont val="Arial"/>
        <b/>
        <color theme="1"/>
      </rPr>
      <t>delay 500-1250</t>
    </r>
  </si>
  <si>
    <t>Did really well!</t>
  </si>
  <si>
    <r>
      <rPr>
        <rFont val="Arial"/>
        <color theme="1"/>
      </rPr>
      <t xml:space="preserve">Forage, 8arms rewarded, 12s lockout, </t>
    </r>
    <r>
      <rPr>
        <rFont val="Arial"/>
        <b/>
        <color theme="1"/>
      </rPr>
      <t>delay 500-1000</t>
    </r>
  </si>
  <si>
    <r>
      <rPr>
        <rFont val="Arial"/>
        <color theme="1"/>
      </rPr>
      <t xml:space="preserve">Forage, 8arms rewarded, 12s lockout, </t>
    </r>
    <r>
      <rPr>
        <rFont val="Arial"/>
        <b/>
        <color theme="1"/>
      </rPr>
      <t>delay 750-1500</t>
    </r>
  </si>
  <si>
    <t>Did well. Certainly slowing down, probably a bit full.</t>
  </si>
  <si>
    <r>
      <rPr>
        <rFont val="Arial"/>
        <color theme="1"/>
      </rPr>
      <t xml:space="preserve">Forage, 8arms rewarded, 12s lockout, </t>
    </r>
    <r>
      <rPr>
        <rFont val="Arial"/>
        <b/>
        <color theme="1"/>
      </rPr>
      <t>delay 500-1250</t>
    </r>
  </si>
  <si>
    <t xml:space="preserve">Doing really well! Doesn't seem to have a super strong bias for any arm, but trends towards close/edge arms. </t>
  </si>
  <si>
    <r>
      <rPr>
        <rFont val="Arial"/>
        <color theme="1"/>
      </rPr>
      <t xml:space="preserve">Forage, 8arms rewarded, 12s lockout, </t>
    </r>
    <r>
      <rPr>
        <rFont val="Arial"/>
        <b/>
        <color theme="1"/>
      </rPr>
      <t>delay 750-1750</t>
    </r>
  </si>
  <si>
    <t>Did well!</t>
  </si>
  <si>
    <r>
      <rPr>
        <rFont val="Arial"/>
        <color theme="1"/>
      </rPr>
      <t xml:space="preserve">Forage, 8arms rewarded, 12s lockout, </t>
    </r>
    <r>
      <rPr>
        <rFont val="Arial"/>
        <b/>
        <color theme="1"/>
      </rPr>
      <t>delay 750-1500</t>
    </r>
  </si>
  <si>
    <t>Did great but might need more time with people in the room.</t>
  </si>
  <si>
    <r>
      <rPr>
        <rFont val="Arial"/>
        <color theme="1"/>
      </rPr>
      <t xml:space="preserve">Forage, 8arms rewarded, 12s lockout, </t>
    </r>
    <r>
      <rPr>
        <rFont val="Arial"/>
        <b/>
        <color theme="1"/>
      </rPr>
      <t>delay 1s-2s</t>
    </r>
  </si>
  <si>
    <r>
      <rPr>
        <rFont val="Arial"/>
        <color theme="1"/>
      </rPr>
      <t xml:space="preserve">Forage, 8arms rewarded, 12s lockout, </t>
    </r>
    <r>
      <rPr>
        <rFont val="Arial"/>
        <b/>
        <color theme="1"/>
      </rPr>
      <t>delay 750-1750</t>
    </r>
  </si>
  <si>
    <t>Slowed way down by the end. Had 11 goals around 40 min in and still had 11 after 1hr. Going to keep him at same time for next epoch</t>
  </si>
  <si>
    <r>
      <rPr>
        <rFont val="Arial"/>
        <color theme="1"/>
      </rPr>
      <t xml:space="preserve">Forage, 8arms rewarded, 12s lockout, </t>
    </r>
    <r>
      <rPr>
        <rFont val="Arial"/>
        <b/>
        <color theme="1"/>
      </rPr>
      <t>delay 1s-2.5s</t>
    </r>
  </si>
  <si>
    <r>
      <rPr>
        <rFont val="Arial"/>
        <color theme="1"/>
      </rPr>
      <t xml:space="preserve">Forage, 8arms rewarded, 12s lockout, </t>
    </r>
    <r>
      <rPr>
        <rFont val="Arial"/>
        <b/>
        <color theme="1"/>
      </rPr>
      <t>delay 750-1750</t>
    </r>
  </si>
  <si>
    <t xml:space="preserve">Keeping on previous timing. Hopefully he's hungry. Did pretty good! </t>
  </si>
  <si>
    <r>
      <rPr>
        <rFont val="Arial"/>
        <color theme="1"/>
      </rPr>
      <t xml:space="preserve">Forage, 8arms rewarded, 12s lockout, </t>
    </r>
    <r>
      <rPr>
        <rFont val="Arial"/>
        <b/>
        <color theme="1"/>
      </rPr>
      <t>delay 1.5s-3s</t>
    </r>
  </si>
  <si>
    <t>Did so well on Friday, going to turn the delay up a little. He did so good! Finished arm 6</t>
  </si>
  <si>
    <r>
      <rPr>
        <rFont val="Arial"/>
        <color theme="1"/>
      </rPr>
      <t xml:space="preserve">Forage, 8arms rewarded, 12s lockout, </t>
    </r>
    <r>
      <rPr>
        <rFont val="Arial"/>
        <b/>
        <color theme="1"/>
      </rPr>
      <t>delay 1s-2s</t>
    </r>
  </si>
  <si>
    <t>Had been having a hard time starting up again after I would check up on him, so I'm sitting with him for this session. Def struggling with the delay time. Shoot! Just realized I have him on 03's timing, no wonder he's struggling so much. Reset ~30min in to correct timing. Had 55 home bisists and 23 goals. Did great in the end!</t>
  </si>
  <si>
    <r>
      <rPr>
        <rFont val="Arial"/>
        <color theme="1"/>
      </rPr>
      <t xml:space="preserve">Forage, 8arms rewarded, 12s lockout, </t>
    </r>
    <r>
      <rPr>
        <rFont val="Arial"/>
        <b/>
        <color theme="1"/>
      </rPr>
      <t>delay 1.75s - 3.5s</t>
    </r>
  </si>
  <si>
    <r>
      <rPr>
        <rFont val="Arial"/>
        <color theme="1"/>
      </rPr>
      <t xml:space="preserve">Forage, 8arms rewarded, 12s lockout, </t>
    </r>
    <r>
      <rPr>
        <rFont val="Arial"/>
        <b/>
        <color theme="1"/>
      </rPr>
      <t>delay 1s-2.5s</t>
    </r>
  </si>
  <si>
    <r>
      <rPr>
        <rFont val="Arial"/>
        <color theme="1"/>
      </rPr>
      <t xml:space="preserve">Forage, 8arms rewarded, 12s lockout, </t>
    </r>
    <r>
      <rPr>
        <rFont val="Arial"/>
        <b/>
        <color theme="1"/>
      </rPr>
      <t>delay 2s-4s</t>
    </r>
  </si>
  <si>
    <t xml:space="preserve">Def struggled with longer times but still did good. </t>
  </si>
  <si>
    <r>
      <rPr>
        <rFont val="Arial"/>
        <color theme="1"/>
      </rPr>
      <t xml:space="preserve">Forage, 8arms rewarded, 12s lockout, </t>
    </r>
    <r>
      <rPr>
        <rFont val="Arial"/>
        <b/>
        <color theme="1"/>
      </rPr>
      <t>delay 1.5s-3s</t>
    </r>
  </si>
  <si>
    <t>Slowed down a bit, but didn't seem to struggle too much</t>
  </si>
  <si>
    <r>
      <rPr>
        <rFont val="Arial"/>
        <color theme="1"/>
      </rPr>
      <t xml:space="preserve">Forage, 8arms rewarded, 12s lockout, </t>
    </r>
    <r>
      <rPr>
        <rFont val="Arial"/>
        <b/>
        <color theme="1"/>
      </rPr>
      <t>delay 2.5s-4.5s</t>
    </r>
  </si>
  <si>
    <t>Had a tough time in the latter half of his session. Might reduce his delay next session</t>
  </si>
  <si>
    <r>
      <rPr>
        <rFont val="Arial"/>
        <color theme="1"/>
      </rPr>
      <t xml:space="preserve">Forage, 8arms rewarded, 12s lockout, </t>
    </r>
    <r>
      <rPr>
        <rFont val="Arial"/>
        <b/>
        <color theme="1"/>
      </rPr>
      <t>delay 1.75s - 3.5s</t>
    </r>
  </si>
  <si>
    <t>Visited him about 25min in and he froze, so I'm gonna hang out a while and hopefully he starts up again. After a few minutes he's just sitting there grooming. Not scared or anything, just not working. Left, and he started working agian.</t>
  </si>
  <si>
    <r>
      <rPr>
        <rFont val="Arial"/>
        <color theme="1"/>
      </rPr>
      <t xml:space="preserve">Forage, 8arms rewarded, 12s lockout, </t>
    </r>
    <r>
      <rPr>
        <rFont val="Arial"/>
        <b/>
        <color theme="1"/>
      </rPr>
      <t>delay 2s-4.5s</t>
    </r>
  </si>
  <si>
    <t>Recovered well! Increase base time to 2.5 next epoch</t>
  </si>
  <si>
    <r>
      <rPr>
        <rFont val="Arial"/>
        <color theme="1"/>
      </rPr>
      <t xml:space="preserve">Forage, 8arms rewarded, 12s lockout, </t>
    </r>
    <r>
      <rPr>
        <rFont val="Arial"/>
        <b/>
        <color theme="1"/>
      </rPr>
      <t>delay 2s-4s</t>
    </r>
  </si>
  <si>
    <r>
      <rPr>
        <rFont val="Arial"/>
        <color theme="1"/>
      </rPr>
      <t xml:space="preserve">Forage, 8arms rewarded, 12s lockout, </t>
    </r>
    <r>
      <rPr>
        <rFont val="Arial"/>
        <b/>
        <color theme="1"/>
      </rPr>
      <t>delay 2.5s-4.5s</t>
    </r>
  </si>
  <si>
    <t>Had a hard time again, maybe needs some easier delay times at this point</t>
  </si>
  <si>
    <r>
      <rPr>
        <rFont val="Arial"/>
        <color theme="1"/>
      </rPr>
      <t xml:space="preserve">Forage, 8arms rewarded, 12s lockout, </t>
    </r>
    <r>
      <rPr>
        <rFont val="Arial"/>
        <b/>
        <color theme="1"/>
      </rPr>
      <t>delay 2.25s-4.5s</t>
    </r>
  </si>
  <si>
    <t>35min in and doesn't seem super motivated. Probably ate too much earlier. has 22 home, 9 LO-3, 10goal. Didn't do any better by end. Finished arm6</t>
  </si>
  <si>
    <r>
      <rPr>
        <rFont val="Arial"/>
        <color theme="1"/>
      </rPr>
      <t xml:space="preserve">Hybrid, 6 arms rewarded, 15s lockout, </t>
    </r>
    <r>
      <rPr>
        <rFont val="Arial"/>
        <b/>
        <color theme="1"/>
      </rPr>
      <t>delay 2.25s-4.5s</t>
    </r>
  </si>
  <si>
    <t>use same delays at 4 (slightly easier), exclude arms 2 and 6 permanently using validOuterWells. Def struggled with longer delay times again.</t>
  </si>
  <si>
    <r>
      <rPr>
        <rFont val="Arial"/>
        <color theme="1"/>
      </rPr>
      <t xml:space="preserve">Hybrid, 6arms rewarded, 15s lockout, </t>
    </r>
    <r>
      <rPr>
        <rFont val="Arial"/>
        <b/>
        <color theme="1"/>
      </rPr>
      <t>delay 2.25s-4.5s</t>
    </r>
  </si>
  <si>
    <t>struggled with timing. Favors arm 3, not 2</t>
  </si>
  <si>
    <r>
      <rPr>
        <rFont val="Arial"/>
        <color theme="1"/>
      </rPr>
      <t xml:space="preserve">Hybrid, 6arms rewarded, 18s lockout, </t>
    </r>
    <r>
      <rPr>
        <rFont val="Arial"/>
        <b/>
        <color theme="1"/>
      </rPr>
      <t>delay 2s-3.5s</t>
    </r>
  </si>
  <si>
    <t>Lowered delay times because he was struggling. Finished arm 7</t>
  </si>
  <si>
    <r>
      <rPr>
        <rFont val="Arial"/>
        <color theme="1"/>
      </rPr>
      <t xml:space="preserve">Hybrid, 6arms rewarded, 18s lockout, </t>
    </r>
    <r>
      <rPr>
        <rFont val="Arial"/>
        <b/>
        <color theme="1"/>
      </rPr>
      <t>delay 2s-3.5s</t>
    </r>
  </si>
  <si>
    <t>Removed arm 3 from possible choices.</t>
  </si>
  <si>
    <r>
      <rPr>
        <rFont val="Arial"/>
        <color theme="1"/>
      </rPr>
      <t xml:space="preserve">Hybrid, 4arms rewarded, 18s lockout, </t>
    </r>
    <r>
      <rPr>
        <rFont val="Arial"/>
        <b/>
        <color theme="1"/>
      </rPr>
      <t>delay 2s-3.5s</t>
    </r>
  </si>
  <si>
    <t>Did ok, but def slowed down at the end. He got into a home, wait well, back to home loop at the end.</t>
  </si>
  <si>
    <r>
      <rPr>
        <rFont val="Arial"/>
        <color theme="1"/>
      </rPr>
      <t xml:space="preserve">Hybrid, 4arms rewarded, 18s lockout, </t>
    </r>
    <r>
      <rPr>
        <rFont val="Arial"/>
        <b/>
        <color theme="1"/>
      </rPr>
      <t>delay 2s-3.5s</t>
    </r>
  </si>
  <si>
    <t>Doing ok? Not great at half way through. Might be stuck in a similar loop as 03. Struggled hard</t>
  </si>
  <si>
    <t>Hybrid, 4arms rewarded, 25s lockout, delay 2s-3.5s</t>
  </si>
  <si>
    <t>bias to 7. got frustrated and chewed a big hole in the home well. stil being lazy about going out; prob most goals from r side (to 7)</t>
  </si>
  <si>
    <t>home well replaced. pretty good! low lockouts - likes arm 1. performing very slowly at end, not even turning around to complete R/W well. maybe not hungry</t>
  </si>
  <si>
    <t xml:space="preserve">excluding arm 7. attempting r/w but being so impatient! </t>
  </si>
  <si>
    <t>re-included arm 7. moving slowly at end, but overall pretty ok. arm 3 ran out</t>
  </si>
  <si>
    <t>excluding 2,6,7. pretty good! much more patient than fri. now biased to arm 5</t>
  </si>
  <si>
    <t>excluding 2,6,7. really good! definitely ready to move on</t>
  </si>
  <si>
    <r>
      <rPr>
        <rFont val="Arial"/>
        <color theme="1"/>
      </rPr>
      <t xml:space="preserve">Hybrid, </t>
    </r>
    <r>
      <rPr>
        <rFont val="Arial"/>
        <b/>
        <color theme="1"/>
      </rPr>
      <t>2 arms rewarded,</t>
    </r>
    <r>
      <rPr>
        <rFont val="Arial"/>
        <color theme="1"/>
      </rPr>
      <t xml:space="preserve"> 25s lockout, delay 2s-3.5s</t>
    </r>
  </si>
  <si>
    <t>still excluding 2,6,7. def biased to 5 but doinga better job of exploring around different arms. got two blocks, then frustrated at end trying to find new goals</t>
  </si>
  <si>
    <r>
      <rPr>
        <rFont val="Arial"/>
        <color theme="1"/>
      </rPr>
      <t xml:space="preserve">Hybrid, </t>
    </r>
    <r>
      <rPr>
        <rFont val="Arial"/>
        <b/>
        <color theme="1"/>
      </rPr>
      <t>2 arms rewarded,</t>
    </r>
    <r>
      <rPr>
        <rFont val="Arial"/>
        <color theme="1"/>
      </rPr>
      <t xml:space="preserve"> 25s lockout, delay 2s-3.5s</t>
    </r>
  </si>
  <si>
    <t xml:space="preserve">still excluding 2,6,7. just sitting at the end, maybe not hungry? tried hard tho, but lots of other visits </t>
  </si>
  <si>
    <r>
      <rPr>
        <rFont val="Arial"/>
        <color theme="1"/>
      </rPr>
      <t xml:space="preserve">Hybrid, </t>
    </r>
    <r>
      <rPr>
        <rFont val="Arial"/>
        <b/>
        <color theme="1"/>
      </rPr>
      <t>2 arms rewarded,</t>
    </r>
    <r>
      <rPr>
        <rFont val="Arial"/>
        <color theme="1"/>
      </rPr>
      <t xml:space="preserve"> 25s lockout, delay 2s-3.5s</t>
    </r>
  </si>
  <si>
    <t xml:space="preserve">so bad! totally impatient because couldnt find the goal arms </t>
  </si>
  <si>
    <r>
      <rPr>
        <rFont val="Arial"/>
        <color theme="1"/>
      </rPr>
      <t xml:space="preserve">Hybrid, </t>
    </r>
    <r>
      <rPr>
        <rFont val="Arial"/>
        <b/>
        <color theme="1"/>
      </rPr>
      <t>2 arms rewarded,</t>
    </r>
    <r>
      <rPr>
        <rFont val="Arial"/>
        <color theme="1"/>
      </rPr>
      <t xml:space="preserve"> 25s lockout, delay 2s-3.5s</t>
    </r>
  </si>
  <si>
    <t>rewards 6 8. stopped trying after a while. 10 extra mins by accident - forgot to close file after taking animal out so wayyyy extra long file</t>
  </si>
  <si>
    <r>
      <rPr>
        <rFont val="Arial"/>
        <color theme="1"/>
      </rPr>
      <t xml:space="preserve">Hybrid, </t>
    </r>
    <r>
      <rPr>
        <rFont val="Arial"/>
        <b/>
        <color theme="1"/>
      </rPr>
      <t>2 arms rewarded,</t>
    </r>
    <r>
      <rPr>
        <rFont val="Arial"/>
        <color theme="1"/>
      </rPr>
      <t xml:space="preserve"> 25s lockout, delay 2s-3.5s</t>
    </r>
  </si>
  <si>
    <t>goals 1,4. 10 min extra, oops. so bad!! totally impatient and chewing on home well again. must have found the goal once and then gave up as soon as it changed</t>
  </si>
  <si>
    <r>
      <rPr>
        <rFont val="Arial"/>
        <color theme="1"/>
      </rPr>
      <t xml:space="preserve">Hybrid, </t>
    </r>
    <r>
      <rPr>
        <rFont val="Arial"/>
        <b/>
        <color theme="1"/>
      </rPr>
      <t>2 arms rewarded,</t>
    </r>
    <r>
      <rPr>
        <rFont val="Arial"/>
        <color theme="1"/>
      </rPr>
      <t xml:space="preserve"> 25s lockout, delay 2s-3.5s</t>
    </r>
  </si>
  <si>
    <t>goals 1,3. found 1 right away. three switches! did great</t>
  </si>
  <si>
    <r>
      <rPr>
        <rFont val="Arial"/>
        <color theme="1"/>
      </rPr>
      <t xml:space="preserve">Hybrid, </t>
    </r>
    <r>
      <rPr>
        <rFont val="Arial"/>
        <b/>
        <color theme="1"/>
      </rPr>
      <t>2 arms rewarded,</t>
    </r>
    <r>
      <rPr>
        <rFont val="Arial"/>
        <color theme="1"/>
      </rPr>
      <t xml:space="preserve"> 25s lockout, delay 2s-3.5s</t>
    </r>
  </si>
  <si>
    <t>starting with goals 3,8 - hopefull easy ones to get him back into it. didnot wokr - amybe need an epoch with low wait times</t>
  </si>
  <si>
    <r>
      <rPr>
        <rFont val="Arial"/>
        <b/>
        <color theme="1"/>
      </rPr>
      <t xml:space="preserve">goal, </t>
    </r>
    <r>
      <rPr>
        <rFont val="Arial"/>
        <color theme="1"/>
      </rPr>
      <t>8 outers rewarded. 25 s lockout. 1 s white noise delay 2-3.5s</t>
    </r>
    <r>
      <rPr>
        <rFont val="Arial"/>
        <b/>
        <color theme="1"/>
      </rPr>
      <t xml:space="preserve"> forageassist3 </t>
    </r>
  </si>
  <si>
    <t>all arms included, goal 7. struggling~! not really trying at end</t>
  </si>
  <si>
    <r>
      <rPr>
        <rFont val="Arial"/>
        <color theme="1"/>
      </rPr>
      <t>Hybrid, 2 arms rewarded, 25s lockout,</t>
    </r>
    <r>
      <rPr>
        <rFont val="Arial"/>
        <b/>
        <color theme="1"/>
      </rPr>
      <t xml:space="preserve"> delay 1-2s</t>
    </r>
  </si>
  <si>
    <t>goals 2,3. so much better with lower wait times! found goal at 2/3 (mostly from L) and then at 6/8 (mostly from R), still not really getting the concept of focusing on a single locatin but better abpout exploring around way more.  sat in with him for first half and clapped/yelled when he started to chew</t>
  </si>
  <si>
    <t>pretraining data all moved over to banyan</t>
  </si>
  <si>
    <r>
      <rPr>
        <rFont val="Arial"/>
        <b/>
        <color theme="1"/>
      </rPr>
      <t xml:space="preserve">goal, </t>
    </r>
    <r>
      <rPr>
        <rFont val="Arial"/>
        <color theme="1"/>
      </rPr>
      <t>8 outers rewarded. 25 s lockout. 1 s white noise delay 2-3.5s</t>
    </r>
    <r>
      <rPr>
        <rFont val="Arial"/>
        <b/>
        <color theme="1"/>
      </rPr>
      <t xml:space="preserve"> forageassist3 </t>
    </r>
  </si>
  <si>
    <t>first goal is 6. did pretty well for first 40 mins, then got frustrated trying to get next block</t>
  </si>
  <si>
    <r>
      <rPr>
        <rFont val="Arial"/>
        <b/>
        <color theme="1"/>
      </rPr>
      <t xml:space="preserve">goal, </t>
    </r>
    <r>
      <rPr>
        <rFont val="Arial"/>
        <color theme="1"/>
      </rPr>
      <t xml:space="preserve">8 outers rewarded. 25 s lockout. 1 s white noise </t>
    </r>
    <r>
      <rPr>
        <rFont val="Arial"/>
        <b/>
        <color theme="1"/>
      </rPr>
      <t xml:space="preserve">delay 1-2s forageassist3 </t>
    </r>
  </si>
  <si>
    <t>keeping short delay, all arms included. first goal is arm 1</t>
  </si>
  <si>
    <r>
      <rPr>
        <rFont val="Arial"/>
        <b/>
        <color theme="1"/>
      </rPr>
      <t xml:space="preserve">goal, </t>
    </r>
    <r>
      <rPr>
        <rFont val="Arial"/>
        <color theme="1"/>
      </rPr>
      <t>8 outers rewarded. 25 s lockout. 1 s white noise delay 2-3.5s</t>
    </r>
    <r>
      <rPr>
        <rFont val="Arial"/>
        <b/>
        <color theme="1"/>
      </rPr>
      <t xml:space="preserve"> forageassist3 </t>
    </r>
  </si>
  <si>
    <t xml:space="preserve">first goal is arm2. Checked in on him at 11:10, really seems to be struggling, has 59 home visits, 25 LO3, goal 2, other 24. Seems to be the long wait time that's getting him.  </t>
  </si>
  <si>
    <r>
      <rPr>
        <rFont val="Arial"/>
        <b/>
        <color theme="1"/>
      </rPr>
      <t xml:space="preserve">goal, </t>
    </r>
    <r>
      <rPr>
        <rFont val="Arial"/>
        <color theme="1"/>
      </rPr>
      <t xml:space="preserve">8 outers rewarded. 25 s lockout. 1 s white noise </t>
    </r>
    <r>
      <rPr>
        <rFont val="Arial"/>
        <b/>
        <color theme="1"/>
      </rPr>
      <t xml:space="preserve">delay 1-2s forageassist3 </t>
    </r>
  </si>
  <si>
    <t>Keeping settings in hope he improves. First goal is 8. Forgot to change wait times, had to reset.</t>
  </si>
  <si>
    <r>
      <rPr>
        <rFont val="Arial"/>
        <b/>
        <color theme="1"/>
      </rPr>
      <t xml:space="preserve">goal, </t>
    </r>
    <r>
      <rPr>
        <rFont val="Arial"/>
        <color theme="1"/>
      </rPr>
      <t xml:space="preserve">8 outers rewarded. 25 s lockout. 1 s white noise </t>
    </r>
    <r>
      <rPr>
        <rFont val="Arial"/>
        <b/>
        <color theme="1"/>
      </rPr>
      <t xml:space="preserve">delay 1-2s forageassist3 </t>
    </r>
  </si>
  <si>
    <t>Moved to easier delay times because of poor performance last run. First goal is arm4. Did much better than last run</t>
  </si>
  <si>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</si>
  <si>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rewarded arm is 8.</t>
  </si>
  <si>
    <r>
      <rPr>
        <rFont val="Arial"/>
        <b/>
        <color theme="1"/>
      </rPr>
      <t xml:space="preserve">goal, </t>
    </r>
    <r>
      <rPr>
        <rFont val="Arial"/>
        <color theme="1"/>
      </rPr>
      <t xml:space="preserve">8 outers rewarded. 25 s lockout. 1 s white noise </t>
    </r>
    <r>
      <rPr>
        <rFont val="Arial"/>
        <b/>
        <color theme="1"/>
      </rPr>
      <t xml:space="preserve">delay 1-2s forageassist3 </t>
    </r>
  </si>
  <si>
    <t>Didn't seem to be trying too hard.</t>
  </si>
  <si>
    <t>changed bulbs from halogen to led; room is def a little brighter. changed camera settings: gain to 17, red balance ratio 2, blue balance ratio 1.8</t>
  </si>
  <si>
    <r>
      <rPr>
        <rFont val="Arial"/>
        <b/>
        <color theme="1"/>
      </rPr>
      <t xml:space="preserve">goal, </t>
    </r>
    <r>
      <rPr>
        <rFont val="Arial"/>
        <color theme="1"/>
      </rPr>
      <t xml:space="preserve">8 outers rewarded. 25 s lockout. 1 s white noise </t>
    </r>
    <r>
      <rPr>
        <rFont val="Arial"/>
        <b/>
        <color theme="1"/>
      </rPr>
      <t xml:space="preserve">delay 1-2s forageassist3 </t>
    </r>
  </si>
  <si>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</si>
  <si>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rewarded arm is 3. really struggled, maybe because of inital reward arm?</t>
  </si>
  <si>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</si>
  <si>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rewarded arm is 7.</t>
  </si>
  <si>
    <r>
      <rPr>
        <rFont val="Arial"/>
        <b/>
        <color theme="1"/>
      </rPr>
      <t xml:space="preserve">goal, </t>
    </r>
    <r>
      <rPr>
        <rFont val="Arial"/>
        <color theme="1"/>
      </rPr>
      <t xml:space="preserve">8 outers rewarded. 25 s lockout. 1 s white noise </t>
    </r>
    <r>
      <rPr>
        <rFont val="Arial"/>
        <b/>
        <color theme="1"/>
      </rPr>
      <t xml:space="preserve">delay 1-2s forageassist3 </t>
    </r>
  </si>
  <si>
    <t>Fist arm rewarded is 2. Still really struggling :(</t>
  </si>
  <si>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</si>
  <si>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rewarded arm is 8. Did really well!</t>
  </si>
  <si>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</si>
  <si>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rewarded arm is 6. Really fell off today. Should reassess for tomorrow.</t>
  </si>
  <si>
    <t>added filters over bulbs to darken the room so had to change camera settings again: gain 32</t>
  </si>
  <si>
    <r>
      <rPr>
        <rFont val="Arial"/>
        <b/>
        <color theme="1"/>
      </rPr>
      <t xml:space="preserve">goal, </t>
    </r>
    <r>
      <rPr>
        <rFont val="Arial"/>
        <color theme="1"/>
      </rPr>
      <t xml:space="preserve">8 outers rewarded. 25 s lockout. 1 s white noise </t>
    </r>
    <r>
      <rPr>
        <rFont val="Arial"/>
        <b/>
        <color theme="1"/>
      </rPr>
      <t xml:space="preserve">delay 1-2s forageassist3 </t>
    </r>
  </si>
  <si>
    <r>
      <rPr>
        <rFont val="Arial"/>
        <color theme="1"/>
      </rPr>
      <t xml:space="preserve">First goal is arm 8, then arm 1 - but just found it once and never went back . ended a few mins early because </t>
    </r>
    <r>
      <rPr>
        <rFont val="Arial"/>
        <b/>
        <color theme="1"/>
      </rPr>
      <t xml:space="preserve">no sound!! </t>
    </r>
    <r>
      <rPr>
        <rFont val="Arial"/>
        <color theme="1"/>
      </rPr>
      <t>just locking out toward end, not sure if the lack of sound confused him</t>
    </r>
  </si>
  <si>
    <r>
      <rPr>
        <rFont val="Arial"/>
        <color theme="1"/>
      </rPr>
      <t>Hybrid, 3 arms rewarded, 25s lockout,</t>
    </r>
    <r>
      <rPr>
        <rFont val="Arial"/>
        <b/>
        <color theme="1"/>
      </rPr>
      <t xml:space="preserve"> delay 1-2s</t>
    </r>
  </si>
  <si>
    <t xml:space="preserve">Moved back a step to help him out. </t>
  </si>
  <si>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</si>
  <si>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goal is arm 5. at 40min in has 68h, 2LO3, 32goal, 32other. Gave him an extra 10min to work. Did really well!</t>
  </si>
  <si>
    <r>
      <rPr>
        <rFont val="Arial"/>
        <b/>
        <color theme="1"/>
      </rPr>
      <t xml:space="preserve">goal, </t>
    </r>
    <r>
      <rPr>
        <rFont val="Arial"/>
        <color theme="1"/>
      </rPr>
      <t xml:space="preserve">8 outers rewarded. 25 s lockout. 1 s white noise </t>
    </r>
    <r>
      <rPr>
        <rFont val="Arial"/>
        <b/>
        <color theme="1"/>
      </rPr>
      <t xml:space="preserve">delay 1-2s forageassist3 </t>
    </r>
  </si>
  <si>
    <t>Back to harder mode, hopefully it works! First goal is 8.</t>
  </si>
  <si>
    <r>
      <rPr>
        <rFont val="Arial"/>
        <b/>
        <color theme="1"/>
      </rPr>
      <t xml:space="preserve">goal, </t>
    </r>
    <r>
      <rPr>
        <rFont val="Arial"/>
        <color theme="1"/>
      </rPr>
      <t xml:space="preserve">8 outers rewarded. 25 s lockout. 1 s white noise </t>
    </r>
    <r>
      <rPr>
        <rFont val="Arial"/>
        <b/>
        <color theme="1"/>
      </rPr>
      <t xml:space="preserve">delay 1-2s forageassist3 </t>
    </r>
  </si>
  <si>
    <t>First goal arm is 5. Struggled in a weird way?</t>
  </si>
  <si>
    <r>
      <rPr>
        <rFont val="Arial"/>
        <b/>
        <color theme="1"/>
      </rPr>
      <t xml:space="preserve">goal, </t>
    </r>
    <r>
      <rPr>
        <rFont val="Arial"/>
        <color theme="1"/>
      </rPr>
      <t xml:space="preserve">8 outers rewarded. 25 s lockout. 1 s white noise </t>
    </r>
    <r>
      <rPr>
        <rFont val="Arial"/>
        <b/>
        <color theme="1"/>
      </rPr>
      <t xml:space="preserve">delay 1-2s forageassist3 </t>
    </r>
  </si>
  <si>
    <t>Tried wiping down goals before starting to not encourage bad behavior. First goal is arm 2.</t>
  </si>
  <si>
    <t xml:space="preserve">goal, 8 outers rewarded. 25 s lockout. 1 s white noise delay 1-2s forageassist3 </t>
  </si>
  <si>
    <t>first goal arm 5</t>
  </si>
  <si>
    <r>
      <rPr>
        <rFont val="Arial"/>
        <color theme="1"/>
      </rPr>
      <t xml:space="preserve">goal, </t>
    </r>
    <r>
      <rPr>
        <rFont val="Arial"/>
        <color theme="1"/>
      </rPr>
      <t xml:space="preserve">8 outers rewarded. 25 s lockout. 1 s white noise </t>
    </r>
    <r>
      <rPr>
        <rFont val="Arial"/>
        <color theme="1"/>
      </rPr>
      <t xml:space="preserve">delay 1-2s forageassist3 </t>
    </r>
  </si>
  <si>
    <t>first goal arm 1</t>
  </si>
  <si>
    <r>
      <rPr>
        <rFont val="Arial"/>
        <color theme="1"/>
      </rPr>
      <t xml:space="preserve">goal, </t>
    </r>
    <r>
      <rPr>
        <rFont val="Arial"/>
        <color theme="1"/>
      </rPr>
      <t xml:space="preserve">8 outers rewarded. 25 s lockout. 1 s white noise </t>
    </r>
    <r>
      <rPr>
        <rFont val="Arial"/>
        <color theme="1"/>
      </rPr>
      <t xml:space="preserve">delay 1-2s forageassist3 </t>
    </r>
  </si>
  <si>
    <t>First goal arm is 6</t>
  </si>
  <si>
    <r>
      <rPr>
        <rFont val="Arial"/>
        <color theme="1"/>
      </rPr>
      <t xml:space="preserve">goal, </t>
    </r>
    <r>
      <rPr>
        <rFont val="Arial"/>
        <color theme="1"/>
      </rPr>
      <t xml:space="preserve">8 outers rewarded. 25 s lockout. 1 s white noise </t>
    </r>
    <r>
      <rPr>
        <rFont val="Arial"/>
        <color theme="1"/>
      </rPr>
      <t xml:space="preserve">delay 1-2s forageassist3 </t>
    </r>
  </si>
  <si>
    <t>first goal arm is 2</t>
  </si>
  <si>
    <r>
      <rPr>
        <rFont val="Arial"/>
        <color theme="1"/>
      </rPr>
      <t xml:space="preserve">goal, </t>
    </r>
    <r>
      <rPr>
        <rFont val="Arial"/>
        <color theme="1"/>
      </rPr>
      <t xml:space="preserve">8 outers rewarded. 25 s lockout. 1 s white noise </t>
    </r>
    <r>
      <rPr>
        <rFont val="Arial"/>
        <color theme="1"/>
      </rPr>
      <t xml:space="preserve">delay 1-2s forageassist3 </t>
    </r>
  </si>
  <si>
    <t>First goal is arm 7</t>
  </si>
  <si>
    <r>
      <rPr>
        <rFont val="Arial"/>
        <color theme="1"/>
      </rPr>
      <t xml:space="preserve">goal, </t>
    </r>
    <r>
      <rPr>
        <rFont val="Arial"/>
        <color theme="1"/>
      </rPr>
      <t xml:space="preserve">8 outers rewarded. 25 s lockout. 1 s white noise </t>
    </r>
    <r>
      <rPr>
        <rFont val="Arial"/>
        <color theme="1"/>
      </rPr>
      <t xml:space="preserve">delay 1-2s forageassist3 </t>
    </r>
  </si>
  <si>
    <r>
      <rPr>
        <rFont val="Arial"/>
        <color theme="1"/>
      </rPr>
      <t xml:space="preserve">goal, </t>
    </r>
    <r>
      <rPr>
        <rFont val="Arial"/>
        <color theme="1"/>
      </rPr>
      <t xml:space="preserve">8 outers rewarded. 25 s lockout. 1 s white noise </t>
    </r>
    <r>
      <rPr>
        <rFont val="Arial"/>
        <color theme="1"/>
      </rPr>
      <t xml:space="preserve">delay 1-2s forageassist3 </t>
    </r>
  </si>
  <si>
    <t>Goal is arm 5</t>
  </si>
  <si>
    <r>
      <rPr>
        <rFont val="Arial"/>
        <color theme="1"/>
      </rPr>
      <t xml:space="preserve">goal, </t>
    </r>
    <r>
      <rPr>
        <rFont val="Arial"/>
        <color theme="1"/>
      </rPr>
      <t xml:space="preserve">8 outers rewarded. 25 s lockout. 1 s white noise </t>
    </r>
    <r>
      <rPr>
        <rFont val="Arial"/>
        <color theme="1"/>
      </rPr>
      <t xml:space="preserve">delay 1-2s forageassist3 </t>
    </r>
  </si>
  <si>
    <t>goal is arm 8</t>
  </si>
  <si>
    <r>
      <rPr>
        <rFont val="Arial"/>
        <color theme="1"/>
      </rPr>
      <t xml:space="preserve">goal, </t>
    </r>
    <r>
      <rPr>
        <rFont val="Arial"/>
        <color theme="1"/>
      </rPr>
      <t xml:space="preserve">8 outers rewarded. 25 s lockout. 1 s white noise </t>
    </r>
    <r>
      <rPr>
        <rFont val="Arial"/>
        <color theme="1"/>
      </rPr>
      <t xml:space="preserve">delay 1-2s forageassist3 </t>
    </r>
  </si>
  <si>
    <r>
      <rPr>
        <rFont val="Arial"/>
        <color rgb="FFFF0000"/>
      </rPr>
      <t>Had some possible porfarin marks on chin and right front paw.</t>
    </r>
    <r>
      <rPr>
        <rFont val="Arial"/>
        <color theme="1"/>
      </rPr>
      <t xml:space="preserve"> First goal is arm 7, had a cross over event! Accidentally gave him an extra 20min this round.</t>
    </r>
  </si>
  <si>
    <r>
      <rPr>
        <rFont val="Arial"/>
        <color theme="1"/>
      </rPr>
      <t xml:space="preserve">goal, </t>
    </r>
    <r>
      <rPr>
        <rFont val="Arial"/>
        <color theme="1"/>
      </rPr>
      <t xml:space="preserve">8 outers rewarded. 25 s lockout. 1 s white noise </t>
    </r>
    <r>
      <rPr>
        <rFont val="Arial"/>
        <color theme="1"/>
      </rPr>
      <t xml:space="preserve">delay 1-2s forageassist3 </t>
    </r>
  </si>
  <si>
    <t>goal arm is 2</t>
  </si>
  <si>
    <r>
      <rPr>
        <rFont val="Arial"/>
        <color theme="1"/>
      </rPr>
      <t xml:space="preserve">goal, </t>
    </r>
    <r>
      <rPr>
        <rFont val="Arial"/>
        <color theme="1"/>
      </rPr>
      <t xml:space="preserve">8 outers rewarded. 25 s lockout. 1 s white noise </t>
    </r>
    <r>
      <rPr>
        <rFont val="Arial"/>
        <color theme="1"/>
      </rPr>
      <t xml:space="preserve">delay 1-2s forageassist3 </t>
    </r>
  </si>
  <si>
    <r>
      <rPr>
        <rFont val="Arial"/>
        <color theme="1"/>
      </rPr>
      <t xml:space="preserve">goal, </t>
    </r>
    <r>
      <rPr>
        <rFont val="Arial"/>
        <color theme="1"/>
      </rPr>
      <t xml:space="preserve">8 outers rewarded. 25 s lockout. 1 s white noise </t>
    </r>
    <r>
      <rPr>
        <rFont val="Arial"/>
        <color theme="1"/>
      </rPr>
      <t xml:space="preserve">delay 1-2s forageassist3 </t>
    </r>
  </si>
  <si>
    <t>He finally gets it!!!!</t>
  </si>
  <si>
    <r>
      <rPr>
        <rFont val="Arial"/>
        <color theme="1"/>
      </rPr>
      <t xml:space="preserve">goal, 8 outers rewarded. 25 s lockout. 1 s white noise </t>
    </r>
    <r>
      <rPr>
        <rFont val="Arial"/>
        <b/>
        <color theme="1"/>
      </rPr>
      <t>delay 1-2.5s forageassist2</t>
    </r>
  </si>
  <si>
    <t>first goal is 8, found on first trial but didnt go back subsequently. didn't notice the slight increase in wait times. last goal is 3, but being lazy  and just locking out right at end. no porphyrin, chin looks fine</t>
  </si>
  <si>
    <r>
      <rPr>
        <rFont val="Arial"/>
        <color theme="1"/>
      </rPr>
      <t xml:space="preserve">goal, </t>
    </r>
    <r>
      <rPr>
        <rFont val="Arial"/>
        <color theme="1"/>
      </rPr>
      <t xml:space="preserve">8 outers rewarded. 25 s lockout. 1 s white noise </t>
    </r>
    <r>
      <rPr>
        <rFont val="Arial"/>
        <color theme="1"/>
      </rPr>
      <t xml:space="preserve">delay 1-2s forageassist3 </t>
    </r>
  </si>
  <si>
    <t xml:space="preserve">Accidentally gave him and extra 30min. </t>
  </si>
  <si>
    <r>
      <rPr>
        <rFont val="Arial"/>
        <color theme="1"/>
      </rPr>
      <t xml:space="preserve">goal, 8 outers rewarded. 25 s lockout. 1 s white noise </t>
    </r>
    <r>
      <rPr>
        <rFont val="Arial"/>
        <b/>
        <color theme="1"/>
      </rPr>
      <t xml:space="preserve">delay 1-2.75s </t>
    </r>
    <r>
      <rPr>
        <rFont val="Arial"/>
        <color theme="1"/>
      </rPr>
      <t>forageassist2</t>
    </r>
  </si>
  <si>
    <t>Got extra 10min</t>
  </si>
  <si>
    <r>
      <rPr>
        <rFont val="Arial"/>
        <color theme="1"/>
      </rPr>
      <t xml:space="preserve">goal, </t>
    </r>
    <r>
      <rPr>
        <rFont val="Arial"/>
        <color theme="1"/>
      </rPr>
      <t xml:space="preserve">8 outers rewarded. 25 s lockout. 1 s white noise </t>
    </r>
    <r>
      <rPr>
        <rFont val="Arial"/>
        <color theme="1"/>
      </rPr>
      <t xml:space="preserve">delay 1-2s forageassist3 </t>
    </r>
  </si>
  <si>
    <r>
      <rPr>
        <rFont val="Arial"/>
        <color theme="1"/>
      </rPr>
      <t xml:space="preserve">goal, 8 outers rewarded. 25 s lockout. 1 s white noise </t>
    </r>
    <r>
      <rPr>
        <rFont val="Arial"/>
        <b/>
        <color theme="1"/>
      </rPr>
      <t xml:space="preserve">delay 1.25-2.75s </t>
    </r>
    <r>
      <rPr>
        <rFont val="Arial"/>
        <color theme="1"/>
      </rPr>
      <t>forageassist2</t>
    </r>
  </si>
  <si>
    <t>Did poorly for some reason.</t>
  </si>
  <si>
    <r>
      <rPr>
        <rFont val="Arial"/>
        <color theme="1"/>
      </rPr>
      <t xml:space="preserve">goal, </t>
    </r>
    <r>
      <rPr>
        <rFont val="Arial"/>
        <color theme="1"/>
      </rPr>
      <t xml:space="preserve">8 outers rewarded. 25 s lockout. 1 s white noise </t>
    </r>
    <r>
      <rPr>
        <rFont val="Arial"/>
        <color theme="1"/>
      </rPr>
      <t xml:space="preserve">delay 1-2s forageassist3 </t>
    </r>
  </si>
  <si>
    <t>Giving him a shorter session because he got longer earlier sessions. Probably didnt work cuase he was full.</t>
  </si>
  <si>
    <r>
      <rPr>
        <rFont val="Arial"/>
        <color theme="1"/>
      </rPr>
      <t xml:space="preserve">goal, 8 outers rewarded. 25 s lockout. 1 s white noise </t>
    </r>
    <r>
      <rPr>
        <rFont val="Arial"/>
        <color theme="1"/>
      </rPr>
      <t xml:space="preserve">delay 1.25-2.75s </t>
    </r>
    <r>
      <rPr>
        <rFont val="Arial"/>
        <color theme="1"/>
      </rPr>
      <t>forageassist2</t>
    </r>
  </si>
  <si>
    <r>
      <rPr>
        <rFont val="Arial"/>
        <color theme="1"/>
      </rPr>
      <t xml:space="preserve">goal, 8 outers rewarded. 25 s lockout. 1 s white noise </t>
    </r>
    <r>
      <rPr>
        <rFont val="Arial"/>
        <b/>
        <color theme="1"/>
      </rPr>
      <t>delay 1.25-2.75s forageassist2</t>
    </r>
  </si>
  <si>
    <t>Seems to have really struggled with the increased delay times. Will back it down for him next time.</t>
  </si>
  <si>
    <r>
      <rPr>
        <rFont val="Arial"/>
        <color theme="1"/>
      </rPr>
      <t xml:space="preserve">goal, 8 outers rewarded. 25 s lockout. 1 s white noise </t>
    </r>
    <r>
      <rPr>
        <rFont val="Arial"/>
        <b/>
        <color theme="1"/>
      </rPr>
      <t>delay</t>
    </r>
    <r>
      <rPr>
        <rFont val="Arial"/>
        <color theme="1"/>
      </rPr>
      <t xml:space="preserve"> 1.25-</t>
    </r>
    <r>
      <rPr>
        <rFont val="Arial"/>
        <b/>
        <color theme="1"/>
      </rPr>
      <t>3s</t>
    </r>
    <r>
      <rPr>
        <rFont val="Arial"/>
        <color theme="1"/>
      </rPr>
      <t xml:space="preserve"> forageassist2</t>
    </r>
  </si>
  <si>
    <t>Forgot to record score :(</t>
  </si>
  <si>
    <r>
      <rPr>
        <rFont val="Arial"/>
        <color theme="1"/>
      </rPr>
      <t xml:space="preserve">goal, 8 outers rewarded. 25 s lockout. 1 s white noise </t>
    </r>
    <r>
      <rPr>
        <rFont val="Arial"/>
        <b/>
        <color theme="1"/>
      </rPr>
      <t>delay</t>
    </r>
    <r>
      <rPr>
        <rFont val="Arial"/>
        <color theme="1"/>
      </rPr>
      <t xml:space="preserve"> </t>
    </r>
    <r>
      <rPr>
        <rFont val="Arial"/>
        <b/>
        <color theme="1"/>
      </rPr>
      <t>1-2.25s</t>
    </r>
    <r>
      <rPr>
        <rFont val="Arial"/>
        <color theme="1"/>
      </rPr>
      <t xml:space="preserve"> forageassist2</t>
    </r>
  </si>
  <si>
    <t>Did better but still struggling with timing.</t>
  </si>
  <si>
    <r>
      <rPr>
        <rFont val="Arial"/>
        <color theme="1"/>
      </rPr>
      <t xml:space="preserve">goal, 8 outers rewarded. 25 s lockout. 1 s white noise </t>
    </r>
    <r>
      <rPr>
        <rFont val="Arial"/>
        <b/>
        <color theme="1"/>
      </rPr>
      <t>delay</t>
    </r>
    <r>
      <rPr>
        <rFont val="Arial"/>
        <color theme="1"/>
      </rPr>
      <t xml:space="preserve"> 1.25-</t>
    </r>
    <r>
      <rPr>
        <rFont val="Arial"/>
        <b/>
        <color theme="1"/>
      </rPr>
      <t>3s</t>
    </r>
    <r>
      <rPr>
        <rFont val="Arial"/>
        <color theme="1"/>
      </rPr>
      <t xml:space="preserve"> forageassist2</t>
    </r>
  </si>
  <si>
    <r>
      <rPr>
        <rFont val="Arial"/>
        <color theme="1"/>
      </rPr>
      <t xml:space="preserve">goal, 8 outers rewarded. 25 s lockout. 1 s white noise </t>
    </r>
    <r>
      <rPr>
        <rFont val="Arial"/>
        <b/>
        <color theme="1"/>
      </rPr>
      <t>delay 1-2.25s</t>
    </r>
    <r>
      <rPr>
        <rFont val="Arial"/>
        <color theme="1"/>
      </rPr>
      <t xml:space="preserve"> forageassist2</t>
    </r>
  </si>
  <si>
    <t>Didn't work?! not sure whats up with this guy and his final sessions.</t>
  </si>
  <si>
    <t>decreased home L and R reward delivery times to standard 150ms</t>
  </si>
  <si>
    <r>
      <rPr>
        <rFont val="Arial"/>
        <color theme="1"/>
      </rPr>
      <t xml:space="preserve">goal, 8 outers rewarded. 25 s lockout. 1 s white noise </t>
    </r>
    <r>
      <rPr>
        <rFont val="Arial"/>
        <b/>
        <color theme="1"/>
      </rPr>
      <t>delay</t>
    </r>
    <r>
      <rPr>
        <rFont val="Arial"/>
        <color theme="1"/>
      </rPr>
      <t xml:space="preserve"> 1.5-</t>
    </r>
    <r>
      <rPr>
        <rFont val="Arial"/>
        <b/>
        <color theme="1"/>
      </rPr>
      <t>3.25s</t>
    </r>
    <r>
      <rPr>
        <rFont val="Arial"/>
        <color theme="1"/>
      </rPr>
      <t xml:space="preserve"> forageassist2</t>
    </r>
  </si>
  <si>
    <r>
      <rPr>
        <rFont val="Arial"/>
        <color theme="1"/>
      </rPr>
      <t xml:space="preserve">goal, 8 outers rewarded. 25 s lockout. 1 s white noise </t>
    </r>
    <r>
      <rPr>
        <rFont val="Arial"/>
        <b/>
        <color theme="1"/>
      </rPr>
      <t>delay 1.5-3.25s</t>
    </r>
    <r>
      <rPr>
        <rFont val="Arial"/>
        <color theme="1"/>
      </rPr>
      <t xml:space="preserve"> forageassist2</t>
    </r>
  </si>
  <si>
    <t>Forgot to change the python script! was on much harder timing. Still did pretty good despite of that.</t>
  </si>
  <si>
    <r>
      <rPr>
        <rFont val="Arial"/>
        <color theme="1"/>
      </rPr>
      <t xml:space="preserve">goal, 8 outers rewarded. 25 s lockout. 1 s white noise </t>
    </r>
    <r>
      <rPr>
        <rFont val="Arial"/>
        <b/>
        <color theme="1"/>
      </rPr>
      <t>delay</t>
    </r>
    <r>
      <rPr>
        <rFont val="Arial"/>
        <color theme="1"/>
      </rPr>
      <t xml:space="preserve"> 1.5-</t>
    </r>
    <r>
      <rPr>
        <rFont val="Arial"/>
        <b/>
        <color theme="1"/>
      </rPr>
      <t>3.25s</t>
    </r>
    <r>
      <rPr>
        <rFont val="Arial"/>
        <color theme="1"/>
      </rPr>
      <t xml:space="preserve"> forageassist2</t>
    </r>
  </si>
  <si>
    <r>
      <rPr>
        <rFont val="Arial"/>
        <color theme="1"/>
      </rPr>
      <t xml:space="preserve">goal, 8 outers rewarded. 25 s lockout. 1 s white noise </t>
    </r>
    <r>
      <rPr>
        <rFont val="Arial"/>
        <b/>
        <color theme="1"/>
      </rPr>
      <t>delay</t>
    </r>
    <r>
      <rPr>
        <rFont val="Arial"/>
        <color theme="1"/>
      </rPr>
      <t xml:space="preserve"> </t>
    </r>
    <r>
      <rPr>
        <rFont val="Arial"/>
        <b/>
        <color theme="1"/>
      </rPr>
      <t>1-2.25s</t>
    </r>
    <r>
      <rPr>
        <rFont val="Arial"/>
        <color theme="1"/>
      </rPr>
      <t xml:space="preserve"> forageassist2</t>
    </r>
  </si>
  <si>
    <r>
      <rPr>
        <rFont val="Arial"/>
        <color theme="1"/>
      </rPr>
      <t xml:space="preserve">goal, 8 outers rewarded. 25 s lockout. 1 s white noise </t>
    </r>
    <r>
      <rPr>
        <rFont val="Arial"/>
        <b/>
        <color theme="1"/>
      </rPr>
      <t>delay</t>
    </r>
    <r>
      <rPr>
        <rFont val="Arial"/>
        <color theme="1"/>
      </rPr>
      <t xml:space="preserve"> 1.5-</t>
    </r>
    <r>
      <rPr>
        <rFont val="Arial"/>
        <b/>
        <color theme="1"/>
      </rPr>
      <t>3.75s</t>
    </r>
    <r>
      <rPr>
        <rFont val="Arial"/>
        <color theme="1"/>
      </rPr>
      <t xml:space="preserve"> forageassist2</t>
    </r>
  </si>
  <si>
    <t>nice!</t>
  </si>
  <si>
    <r>
      <rPr>
        <rFont val="Arial"/>
        <color theme="1"/>
      </rPr>
      <t xml:space="preserve">goal, 8 outers rewarded. 25 s lockout. 1 s white noise </t>
    </r>
    <r>
      <rPr>
        <rFont val="Arial"/>
        <b/>
        <color theme="1"/>
      </rPr>
      <t>delay</t>
    </r>
    <r>
      <rPr>
        <rFont val="Arial"/>
        <color theme="1"/>
      </rPr>
      <t xml:space="preserve"> </t>
    </r>
    <r>
      <rPr>
        <rFont val="Arial"/>
        <b/>
        <color theme="1"/>
      </rPr>
      <t>1-2.5s</t>
    </r>
    <r>
      <rPr>
        <rFont val="Arial"/>
        <color theme="1"/>
      </rPr>
      <t xml:space="preserve"> forageassist2</t>
    </r>
  </si>
  <si>
    <t>Great jorb!</t>
  </si>
  <si>
    <r>
      <rPr>
        <rFont val="Arial"/>
        <color theme="1"/>
      </rPr>
      <t xml:space="preserve">goal, 8 outers rewarded. 25 s lockout. 1 s white noise </t>
    </r>
    <r>
      <rPr>
        <rFont val="Arial"/>
        <b/>
        <color theme="1"/>
      </rPr>
      <t>delay</t>
    </r>
    <r>
      <rPr>
        <rFont val="Arial"/>
        <color theme="1"/>
      </rPr>
      <t xml:space="preserve"> </t>
    </r>
    <r>
      <rPr>
        <rFont val="Arial"/>
        <b/>
        <color theme="1"/>
      </rPr>
      <t>1.75-4s forageassist OFF</t>
    </r>
  </si>
  <si>
    <t>First goal arm 8. Struggled with longer delay but still did well</t>
  </si>
  <si>
    <r>
      <rPr>
        <rFont val="Arial"/>
        <color theme="1"/>
      </rPr>
      <t xml:space="preserve">goal, 8 outers rewarded. 25 s lockout. 1 s white noise </t>
    </r>
    <r>
      <rPr>
        <rFont val="Arial"/>
        <b/>
        <color theme="1"/>
      </rPr>
      <t>delay</t>
    </r>
    <r>
      <rPr>
        <rFont val="Arial"/>
        <color theme="1"/>
      </rPr>
      <t xml:space="preserve"> </t>
    </r>
    <r>
      <rPr>
        <rFont val="Arial"/>
        <b/>
        <color theme="1"/>
      </rPr>
      <t>1-2.75s</t>
    </r>
    <r>
      <rPr>
        <rFont val="Arial"/>
        <color theme="1"/>
      </rPr>
      <t xml:space="preserve"> </t>
    </r>
    <r>
      <rPr>
        <rFont val="Arial"/>
        <b/>
        <color theme="1"/>
      </rPr>
      <t>forageassist OFF</t>
    </r>
  </si>
  <si>
    <t xml:space="preserve">First goal arm 1. Struggled as well. </t>
  </si>
  <si>
    <r>
      <rPr>
        <rFont val="Arial"/>
        <color theme="1"/>
      </rPr>
      <t xml:space="preserve">goal, 8 outers rewarded. 25 s lockout. 1 s white noise </t>
    </r>
    <r>
      <rPr>
        <rFont val="Arial"/>
        <color theme="1"/>
      </rPr>
      <t>delay</t>
    </r>
    <r>
      <rPr>
        <rFont val="Arial"/>
        <color theme="1"/>
      </rPr>
      <t xml:space="preserve"> </t>
    </r>
    <r>
      <rPr>
        <rFont val="Arial"/>
        <color theme="1"/>
      </rPr>
      <t>1.75-4s forageassist OFF</t>
    </r>
  </si>
  <si>
    <t>Keepin on same timing as before. First goal is arm 6. Did really well!</t>
  </si>
  <si>
    <r>
      <rPr>
        <rFont val="Arial"/>
        <color theme="1"/>
      </rPr>
      <t xml:space="preserve">goal, 8 outers rewarded. 25 s lockout. 1 s white noise </t>
    </r>
    <r>
      <rPr>
        <rFont val="Arial"/>
        <color theme="1"/>
      </rPr>
      <t>delay</t>
    </r>
    <r>
      <rPr>
        <rFont val="Arial"/>
        <color theme="1"/>
      </rPr>
      <t xml:space="preserve"> </t>
    </r>
    <r>
      <rPr>
        <rFont val="Arial"/>
        <color theme="1"/>
      </rPr>
      <t>1-2.75s</t>
    </r>
    <r>
      <rPr>
        <rFont val="Arial"/>
        <color theme="1"/>
      </rPr>
      <t xml:space="preserve"> </t>
    </r>
    <r>
      <rPr>
        <rFont val="Arial"/>
        <color theme="1"/>
      </rPr>
      <t>forageassist OFF</t>
    </r>
  </si>
  <si>
    <t>Keeping on same timing. First goal is arm 7.</t>
  </si>
  <si>
    <r>
      <rPr>
        <rFont val="Arial"/>
        <color theme="1"/>
      </rPr>
      <t xml:space="preserve">goal, 8 outers rewarded. 25 s lockout. 1 s white noise </t>
    </r>
    <r>
      <rPr>
        <rFont val="Arial"/>
        <b/>
        <color theme="1"/>
      </rPr>
      <t>delay 2-4.25s</t>
    </r>
    <r>
      <rPr>
        <rFont val="Arial"/>
        <color theme="1"/>
      </rPr>
      <t xml:space="preserve"> </t>
    </r>
  </si>
  <si>
    <t xml:space="preserve">First reward arm 5. </t>
  </si>
  <si>
    <r>
      <rPr>
        <rFont val="Arial"/>
        <color theme="1"/>
      </rPr>
      <t xml:space="preserve">goal, 8 outers rewarded. 25 s lockout. 1 s white noise </t>
    </r>
    <r>
      <rPr>
        <rFont val="Arial"/>
        <color theme="1"/>
      </rPr>
      <t>delay</t>
    </r>
    <r>
      <rPr>
        <rFont val="Arial"/>
        <color theme="1"/>
      </rPr>
      <t xml:space="preserve"> </t>
    </r>
    <r>
      <rPr>
        <rFont val="Arial"/>
        <color theme="1"/>
      </rPr>
      <t>1-2.75s</t>
    </r>
    <r>
      <rPr>
        <rFont val="Arial"/>
        <color theme="1"/>
      </rPr>
      <t xml:space="preserve"> </t>
    </r>
    <r>
      <rPr>
        <rFont val="Arial"/>
        <color theme="1"/>
      </rPr>
      <t>forageassist OFF</t>
    </r>
  </si>
  <si>
    <t>First reward arm 2. Did better. Ratio improved and LO3 got better. Still motivated too.</t>
  </si>
  <si>
    <r>
      <rPr>
        <rFont val="Arial"/>
        <color theme="1"/>
      </rPr>
      <t xml:space="preserve">goal, 8 outers rewarded. 25 s lockout. 1 s white noise </t>
    </r>
    <r>
      <rPr>
        <rFont val="Arial"/>
        <color theme="1"/>
      </rPr>
      <t>delay 2-4.25s</t>
    </r>
    <r>
      <rPr>
        <rFont val="Arial"/>
        <color theme="1"/>
      </rPr>
      <t xml:space="preserve"> </t>
    </r>
  </si>
  <si>
    <t>Keeping on same settings as last session. First goal is arm 3. Struggled real hard! not sure why.</t>
  </si>
  <si>
    <r>
      <rPr>
        <rFont val="Arial"/>
        <color theme="1"/>
      </rPr>
      <t xml:space="preserve">goal, 8 outers rewarded. 25 s lockout. 1 s white noise </t>
    </r>
    <r>
      <rPr>
        <rFont val="Arial"/>
        <color theme="1"/>
      </rPr>
      <t>delay</t>
    </r>
    <r>
      <rPr>
        <rFont val="Arial"/>
        <color theme="1"/>
      </rPr>
      <t xml:space="preserve"> </t>
    </r>
    <r>
      <rPr>
        <rFont val="Arial"/>
        <color theme="1"/>
      </rPr>
      <t>1-2.75s</t>
    </r>
    <r>
      <rPr>
        <rFont val="Arial"/>
        <color theme="1"/>
      </rPr>
      <t xml:space="preserve"> </t>
    </r>
    <r>
      <rPr>
        <rFont val="Arial"/>
        <color theme="1"/>
      </rPr>
      <t>forageassist OFF</t>
    </r>
  </si>
  <si>
    <t>First reward arm 8. Keeping on same settings. Getting better!</t>
  </si>
  <si>
    <r>
      <rPr>
        <rFont val="Arial"/>
        <color theme="1"/>
      </rPr>
      <t xml:space="preserve">goal, 8 outers rewarded. 25 s lockout. 1 s white noise </t>
    </r>
    <r>
      <rPr>
        <rFont val="Arial"/>
        <color theme="1"/>
      </rPr>
      <t>delay 2-4.25s</t>
    </r>
    <r>
      <rPr>
        <rFont val="Arial"/>
        <color theme="1"/>
      </rPr>
      <t xml:space="preserve"> </t>
    </r>
  </si>
  <si>
    <t xml:space="preserve">First goal arm 8. </t>
  </si>
  <si>
    <r>
      <rPr>
        <rFont val="Arial"/>
        <color theme="1"/>
      </rPr>
      <t xml:space="preserve">goal, 8 outers rewarded. 25 s lockout. 1 s white noise </t>
    </r>
    <r>
      <rPr>
        <rFont val="Arial"/>
        <color theme="1"/>
      </rPr>
      <t>delay</t>
    </r>
    <r>
      <rPr>
        <rFont val="Arial"/>
        <color theme="1"/>
      </rPr>
      <t xml:space="preserve"> </t>
    </r>
    <r>
      <rPr>
        <rFont val="Arial"/>
        <color theme="1"/>
      </rPr>
      <t>1-2.75s</t>
    </r>
    <r>
      <rPr>
        <rFont val="Arial"/>
        <color theme="1"/>
      </rPr>
      <t xml:space="preserve"> </t>
    </r>
    <r>
      <rPr>
        <rFont val="Arial"/>
        <color theme="1"/>
      </rPr>
      <t>forageassist OFF</t>
    </r>
  </si>
  <si>
    <t>First goal arm 7. I think he finally gets it! Still struggling with the timing but doing good!</t>
  </si>
  <si>
    <r>
      <rPr>
        <rFont val="Arial"/>
        <color theme="1"/>
      </rPr>
      <t xml:space="preserve">goal, 8 outers rewarded. 25 s lockout. 1 s white noise </t>
    </r>
    <r>
      <rPr>
        <rFont val="Arial"/>
        <color theme="1"/>
      </rPr>
      <t>delay 2-4.25s</t>
    </r>
    <r>
      <rPr>
        <rFont val="Arial"/>
        <color theme="1"/>
      </rPr>
      <t xml:space="preserve"> </t>
    </r>
  </si>
  <si>
    <t>First goal arm 2. No idea whats up with him.</t>
  </si>
  <si>
    <r>
      <rPr>
        <rFont val="Arial"/>
        <color theme="1"/>
      </rPr>
      <t xml:space="preserve">goal, 8 outers rewarded. 25 s lockout. 1 s white noise </t>
    </r>
    <r>
      <rPr>
        <rFont val="Arial"/>
        <color theme="1"/>
      </rPr>
      <t>delay</t>
    </r>
    <r>
      <rPr>
        <rFont val="Arial"/>
        <color theme="1"/>
      </rPr>
      <t xml:space="preserve"> </t>
    </r>
    <r>
      <rPr>
        <rFont val="Arial"/>
        <color theme="1"/>
      </rPr>
      <t>1-2.75s</t>
    </r>
    <r>
      <rPr>
        <rFont val="Arial"/>
        <color theme="1"/>
      </rPr>
      <t xml:space="preserve"> </t>
    </r>
    <r>
      <rPr>
        <rFont val="Arial"/>
        <color theme="1"/>
      </rPr>
      <t>forageassist OFF</t>
    </r>
  </si>
  <si>
    <t>Did grrreat!</t>
  </si>
  <si>
    <r>
      <rPr>
        <rFont val="Arial"/>
        <color theme="1"/>
      </rPr>
      <t xml:space="preserve">goal, 8 outers rewarded. 25 s lockout. 1 s white noise </t>
    </r>
    <r>
      <rPr>
        <rFont val="Arial"/>
        <color theme="1"/>
      </rPr>
      <t>delay 2-4.25s</t>
    </r>
    <r>
      <rPr>
        <rFont val="Arial"/>
        <color theme="1"/>
      </rPr>
      <t xml:space="preserve"> </t>
    </r>
  </si>
  <si>
    <t xml:space="preserve">First goal arm 2. </t>
  </si>
  <si>
    <r>
      <rPr>
        <rFont val="Arial"/>
        <color theme="1"/>
      </rPr>
      <t xml:space="preserve">goal, 8 outers rewarded. 25 s lockout. 1 s white noise </t>
    </r>
    <r>
      <rPr>
        <rFont val="Arial"/>
        <b/>
        <color theme="1"/>
      </rPr>
      <t>delay 1-3s</t>
    </r>
    <r>
      <rPr>
        <rFont val="Arial"/>
        <color theme="1"/>
      </rPr>
      <t xml:space="preserve"> forageassist OFF</t>
    </r>
  </si>
  <si>
    <t xml:space="preserve">First goal arm 1. </t>
  </si>
  <si>
    <r>
      <rPr>
        <rFont val="Arial"/>
        <color theme="1"/>
      </rPr>
      <t xml:space="preserve">goal, 8 outers rewarded. 25 s lockout. 1 s white noise </t>
    </r>
    <r>
      <rPr>
        <rFont val="Arial"/>
        <b/>
        <color theme="1"/>
      </rPr>
      <t xml:space="preserve">delay 1.5-4s </t>
    </r>
  </si>
  <si>
    <t xml:space="preserve">Reducing delay. First reward arm 7. Didn't try all that hard. Reducing timing a lot next epoc. </t>
  </si>
  <si>
    <r>
      <rPr>
        <rFont val="Arial"/>
        <color theme="1"/>
      </rPr>
      <t xml:space="preserve">goal, 8 outers rewarded. 25 s lockout. 1 s white noise </t>
    </r>
    <r>
      <rPr>
        <rFont val="Arial"/>
        <b/>
        <color theme="1"/>
      </rPr>
      <t>delay 1-3.25s</t>
    </r>
    <r>
      <rPr>
        <rFont val="Arial"/>
        <color theme="1"/>
      </rPr>
      <t xml:space="preserve"> forageassist OFF</t>
    </r>
  </si>
  <si>
    <t>First reward arm 7. did so good!</t>
  </si>
  <si>
    <r>
      <rPr>
        <rFont val="Arial"/>
        <color theme="1"/>
      </rPr>
      <t xml:space="preserve">goal, 8 outers rewarded. 25 s lockout. 1 s white noise </t>
    </r>
    <r>
      <rPr>
        <rFont val="Arial"/>
        <b/>
        <color theme="1"/>
      </rPr>
      <t>delay 1-3</t>
    </r>
  </si>
  <si>
    <t>Made his timing way easier. First goal arm 8.</t>
  </si>
  <si>
    <r>
      <rPr>
        <rFont val="Arial"/>
        <color theme="1"/>
      </rPr>
      <t xml:space="preserve">goal, 8 outers rewarded. 25 s lockout. 1 s white noise </t>
    </r>
    <r>
      <rPr>
        <rFont val="Arial"/>
        <b/>
        <color theme="1"/>
      </rPr>
      <t>delay 1.25-3.5s</t>
    </r>
    <r>
      <rPr>
        <rFont val="Arial"/>
        <color theme="1"/>
      </rPr>
      <t xml:space="preserve"> forageassist OFF</t>
    </r>
  </si>
  <si>
    <t>First goal arm 3.</t>
  </si>
  <si>
    <r>
      <rPr>
        <rFont val="Arial"/>
        <color theme="1"/>
      </rPr>
      <t xml:space="preserve">goal, 8 outers rewarded. 25 s lockout. 1 s white noise </t>
    </r>
    <r>
      <rPr>
        <rFont val="Arial"/>
        <b/>
        <color theme="1"/>
      </rPr>
      <t>delay 1-2.5</t>
    </r>
  </si>
  <si>
    <t>Giving easier settings. First goal arm 1.</t>
  </si>
  <si>
    <r>
      <rPr>
        <rFont val="Arial"/>
        <color theme="1"/>
      </rPr>
      <t xml:space="preserve">goal, 8 outers rewarded. 25 s lockout. 1 s white noise </t>
    </r>
    <r>
      <rPr>
        <rFont val="Arial"/>
        <color theme="1"/>
      </rPr>
      <t>delay 1.25-3.5s</t>
    </r>
    <r>
      <rPr>
        <rFont val="Arial"/>
        <color theme="1"/>
      </rPr>
      <t xml:space="preserve"> forageassist OFF</t>
    </r>
  </si>
  <si>
    <r>
      <rPr>
        <rFont val="Arial"/>
        <color theme="1"/>
      </rPr>
      <t xml:space="preserve">goal, 8 outers rewarded. 25 s lockout. 1 s white noise </t>
    </r>
    <r>
      <rPr>
        <rFont val="Arial"/>
        <color theme="1"/>
      </rPr>
      <t>delay 1-2.5</t>
    </r>
  </si>
  <si>
    <t>First goal arm 7.</t>
  </si>
  <si>
    <r>
      <rPr>
        <rFont val="Arial"/>
        <color theme="1"/>
      </rPr>
      <t xml:space="preserve">goal, 8 outers rewarded. 25 s lockout. 1 s white noise </t>
    </r>
    <r>
      <rPr>
        <rFont val="Arial"/>
        <b/>
        <color theme="1"/>
      </rPr>
      <t>delay 1.25-3.75s</t>
    </r>
  </si>
  <si>
    <t>First goal arm 8.</t>
  </si>
  <si>
    <r>
      <rPr>
        <rFont val="Arial"/>
        <color theme="1"/>
      </rPr>
      <t xml:space="preserve">goal, 8 outers rewarded. 25 s lockout. 1 s white noise </t>
    </r>
    <r>
      <rPr>
        <rFont val="Arial"/>
        <color theme="1"/>
      </rPr>
      <t>delay 1-2.5</t>
    </r>
  </si>
  <si>
    <t>First goal arm 2.  WHAT HAPPENED?! He was doing so well, now this???</t>
  </si>
  <si>
    <r>
      <rPr>
        <rFont val="Arial"/>
        <color theme="1"/>
      </rPr>
      <t xml:space="preserve">goal, 8 outers rewarded. 25 s lockout. 1 s white noise </t>
    </r>
    <r>
      <rPr>
        <rFont val="Arial"/>
        <b/>
        <color theme="1"/>
      </rPr>
      <t>delay 1.25-4s</t>
    </r>
  </si>
  <si>
    <r>
      <rPr>
        <rFont val="Arial"/>
        <color theme="1"/>
      </rPr>
      <t xml:space="preserve">goal, 8 outers rewarded. 25 s lockout. 1 s white noise </t>
    </r>
    <r>
      <rPr>
        <rFont val="Arial"/>
        <color theme="1"/>
      </rPr>
      <t>delay 1-2.5</t>
    </r>
  </si>
  <si>
    <t xml:space="preserve">First goal arm 8. Sat with him for a while, seems to not care about the lockout. </t>
  </si>
  <si>
    <r>
      <rPr>
        <rFont val="Arial"/>
        <color theme="1"/>
      </rPr>
      <t xml:space="preserve">goal, 8 outers rewarded. 25 s lockout. 1 s white noise </t>
    </r>
    <r>
      <rPr>
        <rFont val="Arial"/>
        <color theme="1"/>
      </rPr>
      <t>delay 1.25-4s</t>
    </r>
  </si>
  <si>
    <t xml:space="preserve">First goal arm 7. </t>
  </si>
  <si>
    <r>
      <rPr>
        <rFont val="Arial"/>
        <color theme="1"/>
      </rPr>
      <t xml:space="preserve">goal, 8 outers rewarded. </t>
    </r>
    <r>
      <rPr>
        <rFont val="Arial"/>
        <b/>
        <color theme="1"/>
      </rPr>
      <t>30 s lockout</t>
    </r>
    <r>
      <rPr>
        <rFont val="Arial"/>
        <color theme="1"/>
      </rPr>
      <t>. 1 s white noise delay 1-2.5</t>
    </r>
  </si>
  <si>
    <t>Increasing lockout time to 30s. First goal arm 2.</t>
  </si>
  <si>
    <r>
      <rPr>
        <rFont val="Arial"/>
        <color theme="1"/>
      </rPr>
      <t xml:space="preserve">goal, 8 outers rewarded. </t>
    </r>
    <r>
      <rPr>
        <rFont val="Arial"/>
        <b/>
        <color theme="1"/>
      </rPr>
      <t>30 s lockout.</t>
    </r>
    <r>
      <rPr>
        <rFont val="Arial"/>
        <color theme="1"/>
      </rPr>
      <t xml:space="preserve"> 1 s white noise delay 1.25-4s</t>
    </r>
  </si>
  <si>
    <t>Keeping timing because he struggled earlier. First goal arm 6</t>
  </si>
  <si>
    <r>
      <rPr>
        <rFont val="Arial"/>
        <color theme="1"/>
      </rPr>
      <t xml:space="preserve">goal, 8 outers rewarded. </t>
    </r>
    <r>
      <rPr>
        <rFont val="Arial"/>
        <color theme="1"/>
      </rPr>
      <t>30 s lockout</t>
    </r>
    <r>
      <rPr>
        <rFont val="Arial"/>
        <color theme="1"/>
      </rPr>
      <t>. 1 s white noise delay 1-2.5</t>
    </r>
  </si>
  <si>
    <t>First goal arm 1. Second was arm 4.</t>
  </si>
  <si>
    <r>
      <rPr>
        <rFont val="Arial"/>
        <color theme="1"/>
      </rPr>
      <t xml:space="preserve">goal, 8 outers rewarded. </t>
    </r>
    <r>
      <rPr>
        <rFont val="Arial"/>
        <color theme="1"/>
      </rPr>
      <t>30 s lockout.</t>
    </r>
    <r>
      <rPr>
        <rFont val="Arial"/>
        <color theme="1"/>
      </rPr>
      <t xml:space="preserve"> 1 s white noise delay 1.25-4s</t>
    </r>
  </si>
  <si>
    <t>First goal arm 2.</t>
  </si>
  <si>
    <t xml:space="preserve">Going back on ad lib feeding </t>
  </si>
  <si>
    <t>forage, 8 arms rewarded. 10 s lockout. 1 s white noise</t>
  </si>
  <si>
    <t>nudged toward outer early on, but didnt seem to make a difference</t>
  </si>
  <si>
    <t>awesome!!</t>
  </si>
  <si>
    <t>still struggling eith sequence, increase lockout to 12 next epoch</t>
  </si>
  <si>
    <t>cleaned tubes</t>
  </si>
  <si>
    <t>forage, 8 arms rewarded. 12 s lockout. 1 s white noise</t>
  </si>
  <si>
    <t xml:space="preserve">started with lockout time 12 s, I didn't think it would make such a difference from 10, but I was hoping it would give extra s for them to make the association when they make a mistake. Pretty much same as yesterday, still struggling with sequence. </t>
  </si>
  <si>
    <r>
      <rPr>
        <rFont val="Arial"/>
        <color theme="1"/>
      </rPr>
      <t xml:space="preserve">hybrid, 8 outers rewarded. 12 s lockout. 1 s white noise </t>
    </r>
    <r>
      <rPr>
        <rFont val="Arial"/>
        <b/>
        <color theme="1"/>
      </rPr>
      <t xml:space="preserve">delay 500-1000 ms </t>
    </r>
  </si>
  <si>
    <t>so good!, already having over 70% reward rate. Strong preference for arms 2, 6 and 7</t>
  </si>
  <si>
    <t xml:space="preserve">so silly!, doing home-center ports loop all the time. </t>
  </si>
  <si>
    <t xml:space="preserve">still being so silly! last half of running I tried to "help" him a little bit with my hand. After poking center ports, I pushed him gently towards arms. I did it 5 times and then saw if he would continue to go to the arms without my guide. He didn't, so next I just stayed next to the track so after poking center port I waved my hand in signal he needed to go out. That worked pretty well and it seemed less intrusive than pushing him. Last 4 rewards it was only him, without me waving my hand. hopefully he can remember that for tomorrow. Also, biased against rip well </t>
  </si>
  <si>
    <r>
      <rPr>
        <rFont val="Arial"/>
        <color theme="1"/>
      </rPr>
      <t xml:space="preserve">hybrid, 8 outers rewarded. 12 s lockout. 1 s white noise </t>
    </r>
    <r>
      <rPr>
        <rFont val="Arial"/>
        <b/>
        <color theme="1"/>
      </rPr>
      <t xml:space="preserve">delay 1000-2000 ms </t>
    </r>
  </si>
  <si>
    <t>so good! going almost exclusively to arm 2, 6 and 7</t>
  </si>
  <si>
    <t>Running slow, seems unmotivated. Probably due to weight gain over night. Poked/pushed him 4 times in order for him to go towards the arm, but he would resist and stay in place instead of moving. Doing home center loop most of the time.</t>
  </si>
  <si>
    <t>Seems to still have some bias, but seems to start getting the hang of going out to arms. No external help.</t>
  </si>
  <si>
    <r>
      <rPr>
        <rFont val="Arial"/>
        <color theme="1"/>
      </rPr>
      <t xml:space="preserve">hybrid, 8 outers rewarded. 12 s lockout. 1 s white noise </t>
    </r>
    <r>
      <rPr>
        <rFont val="Arial"/>
        <b/>
        <color theme="1"/>
      </rPr>
      <t xml:space="preserve">delay 1000-3000 ms </t>
    </r>
  </si>
  <si>
    <t>Starting to really get the hang of it, but needs to learn to wait more at center.</t>
  </si>
  <si>
    <t>Had to restart him after 1 minute due to forgetting camera source was not that of sungod. Deleted files and started over promptly.</t>
  </si>
  <si>
    <t>biased to arm 2</t>
  </si>
  <si>
    <r>
      <rPr>
        <rFont val="Arial"/>
        <color theme="1"/>
      </rPr>
      <t xml:space="preserve">hybrid, 8 outers rewarded. 12 s lockout. 1 s white noise </t>
    </r>
    <r>
      <rPr>
        <rFont val="Arial"/>
        <b/>
        <color theme="1"/>
      </rPr>
      <t xml:space="preserve">delay 1500-3500 ms </t>
    </r>
  </si>
  <si>
    <t>Getting impatient, so will maintain same delay for tomorrow. Still did pretty well.</t>
  </si>
  <si>
    <r>
      <rPr>
        <rFont val="Arial"/>
        <color theme="1"/>
      </rPr>
      <t xml:space="preserve">hybrid, 8 outers rewarded. 15 s lockout. 1 s white noise </t>
    </r>
    <r>
      <rPr>
        <rFont val="Arial"/>
        <b/>
        <color theme="1"/>
      </rPr>
      <t xml:space="preserve">delay 500-1000 ms </t>
    </r>
  </si>
  <si>
    <t>biased against rip well. going almost exclusively to arm 2 and 3, especially 3. majority of good trials was when wait well was lit up. most of lockout 2 were two kinds: checking the other center port after receiving food on one of them and going from one arm to another arm after receiving food. He would do home-center ports loop, but not as frequent as before</t>
  </si>
  <si>
    <t>cleaned cages</t>
  </si>
  <si>
    <r>
      <rPr>
        <rFont val="Arial"/>
        <color theme="1"/>
      </rPr>
      <t xml:space="preserve">hybrid, 8 outers rewarded. 15 s lockout. 1 s white noise </t>
    </r>
    <r>
      <rPr>
        <rFont val="Arial"/>
        <b/>
        <color theme="1"/>
      </rPr>
      <t xml:space="preserve">delay 500-1000 ms </t>
    </r>
  </si>
  <si>
    <t>wow! so good. yesterday he was strongly biased against rip well but not today. He drank so much that he stopped to nap 10 min before the epoch was completed. Drinking almost exclusively from arm 6</t>
  </si>
  <si>
    <r>
      <rPr>
        <rFont val="Arial"/>
        <color theme="1"/>
      </rPr>
      <t xml:space="preserve">hybrid, 8 outers rewarded. 15 s lockout. 1 s white noise </t>
    </r>
    <r>
      <rPr>
        <rFont val="Arial"/>
        <b/>
        <color theme="1"/>
      </rPr>
      <t xml:space="preserve">delay 1000-3000 ms </t>
    </r>
  </si>
  <si>
    <t>good!, ready for another increase in delay. still biased towards arm 2, 6 and 7</t>
  </si>
  <si>
    <r>
      <rPr>
        <rFont val="Arial"/>
        <color theme="1"/>
      </rPr>
      <t xml:space="preserve">hybrid, 8 outers rewarded. 15 s lockout. 1 s white noise </t>
    </r>
    <r>
      <rPr>
        <rFont val="Arial"/>
        <b/>
        <color theme="1"/>
      </rPr>
      <t xml:space="preserve">delay 1000-2000 ms </t>
    </r>
  </si>
  <si>
    <t xml:space="preserve">wow so unexpectedly bad. so many lockouts 3. I stepped out of the room to get lunch so I couldn't stop him and initiate another epoch with reduced delays. Also, when I went back to the room (when he had only 10 min left), I realized there was a bug in the code that sometimes, during rip trials, he would get a beep noise while poking on home well. then when trying to poke the rip well nothing would happen. the only thing that would get him out of the bug is locking himself out (lockout2). I stopped recording immediately after seeing it happening twice. </t>
  </si>
  <si>
    <r>
      <rPr>
        <rFont val="Arial"/>
        <color theme="1"/>
      </rPr>
      <t xml:space="preserve">hybrid, 8 outers rewarded. 15 s lockout. 1 s white noise </t>
    </r>
    <r>
      <rPr>
        <rFont val="Arial"/>
        <b/>
        <color theme="1"/>
      </rPr>
      <t xml:space="preserve">delay 800-2000 ms </t>
    </r>
  </si>
  <si>
    <t>decided to start with a slightly reduced delay but still getting up to 2 seconds. did well!, I'm still surprised 2 s delay already seem to be kind of a struggle for him. Maybe continue with same delays for tomorrow? Seems like he has consolidated the sequence, contrary to fbn 9 that is still unstable and biased. Drinking almost exclusively from arm 2 and 6. Most of lockout 2 were caused by home-center ports loop</t>
  </si>
  <si>
    <r>
      <rPr>
        <rFont val="Arial"/>
        <color theme="1"/>
      </rPr>
      <t xml:space="preserve">hybrid, 8 outers rewarded. 15 s lockout. 1 s white noise </t>
    </r>
    <r>
      <rPr>
        <rFont val="Arial"/>
        <b/>
        <color theme="1"/>
      </rPr>
      <t xml:space="preserve">delay 1500-3500 ms </t>
    </r>
  </si>
  <si>
    <t>so good!, overall patient, but I would be cautious with the delay increment, maybe just going 500 ms at a time. Biased towards arm 2 and 6. He had two lockout 3 bugs, even after clearing code before sending it again, so not clearing the code doesn't seem to be the reason for the bug happening</t>
  </si>
  <si>
    <r>
      <rPr>
        <rFont val="Arial"/>
        <color theme="1"/>
      </rPr>
      <t xml:space="preserve">hybrid, 8 outers rewarded. 15 s lockout. 1 s white noise </t>
    </r>
    <r>
      <rPr>
        <rFont val="Arial"/>
        <b/>
        <color theme="1"/>
      </rPr>
      <t xml:space="preserve">delay 200-500 ms </t>
    </r>
  </si>
  <si>
    <t>back in the groove! but still biased against rip well. I thought that he might unbiased himself like 10 did but he will need help for next epoch (change rip:wait ratio). Drinking almost exclusively from arm 3 and arm 6 (but mostly arm 3 because of his preference for the wait well)</t>
  </si>
  <si>
    <r>
      <rPr>
        <rFont val="Arial"/>
        <color theme="1"/>
      </rPr>
      <t xml:space="preserve">hybrid, 8 outers rewarded. 15 s lockout. 1 s white noise </t>
    </r>
    <r>
      <rPr>
        <rFont val="Arial"/>
        <b/>
        <color theme="1"/>
      </rPr>
      <t xml:space="preserve">delay 500-1000 ms 2:1 rip:wait </t>
    </r>
  </si>
  <si>
    <t>Did really well after wait/rip ratio was changed, still a bit biased towards wait. But definitely understands the goal now!</t>
  </si>
  <si>
    <r>
      <rPr>
        <rFont val="Arial"/>
        <color theme="1"/>
      </rPr>
      <t xml:space="preserve">hybrid, 8 outers rewarded. 15 s lockout. 1 s white noise </t>
    </r>
    <r>
      <rPr>
        <rFont val="Arial"/>
        <b/>
        <color theme="1"/>
      </rPr>
      <t xml:space="preserve">delay 1000-2500 ms </t>
    </r>
  </si>
  <si>
    <t>Definitely getting the hang of going out to arms, however seems to have gained a bit of bias during this epoch. LOTS of lockout 3 errors, very impatient. Pump 9 was empty after this epoch, likely very biased for arm 6 (may have been compounded by young 9 having the same bias, did not observe syringe volume after his epoch).</t>
  </si>
  <si>
    <r>
      <rPr>
        <rFont val="Arial"/>
        <color theme="1"/>
      </rPr>
      <t xml:space="preserve">hybrid, 8 outers rewarded. 15 s lockout. 1 s white noise </t>
    </r>
    <r>
      <rPr>
        <rFont val="Arial"/>
        <b/>
        <color theme="1"/>
      </rPr>
      <t xml:space="preserve">delay 2000-4000 ms </t>
    </r>
  </si>
  <si>
    <t>Seems to have a low home count, but probably due to slow movement. Getting the hang of delay very well.</t>
  </si>
  <si>
    <r>
      <rPr>
        <rFont val="Arial"/>
        <color theme="1"/>
      </rPr>
      <t xml:space="preserve">hybrid, 8 outers rewarded. 15 s lockout. 1 s white noise </t>
    </r>
    <r>
      <rPr>
        <rFont val="Arial"/>
        <b/>
        <color theme="1"/>
      </rPr>
      <t xml:space="preserve">delay 1000-1500 ms </t>
    </r>
  </si>
  <si>
    <t>Super impatient, definitely will need to run on same delay or even smaller delay for next epoch. Hopefully will get the idea tomorrow.</t>
  </si>
  <si>
    <r>
      <rPr>
        <rFont val="Arial"/>
        <color theme="1"/>
      </rPr>
      <t xml:space="preserve">hybrid, 8 outers rewarded. 15 s lockout. 1 s white noise </t>
    </r>
    <r>
      <rPr>
        <rFont val="Arial"/>
        <b/>
        <color theme="1"/>
      </rPr>
      <t xml:space="preserve">delay 1500-3000 ms </t>
    </r>
  </si>
  <si>
    <t>Getting the hang of delay, even though still a pretty high lockout 3, not much difference from last epoch. seems to still have bias for rip.</t>
  </si>
  <si>
    <r>
      <rPr>
        <rFont val="Arial"/>
        <color theme="1"/>
      </rPr>
      <t xml:space="preserve">hybrid, 8 outers rewarded. 15 s lockout. 1 s white noise </t>
    </r>
    <r>
      <rPr>
        <rFont val="Arial"/>
        <b/>
        <color theme="1"/>
      </rPr>
      <t xml:space="preserve">delay 2500-4500 ms </t>
    </r>
  </si>
  <si>
    <t>Knows what hes doing, still a bit impatient and slow.</t>
  </si>
  <si>
    <r>
      <rPr>
        <rFont val="Arial"/>
        <color theme="1"/>
      </rPr>
      <t xml:space="preserve">hybrid, 8 outers rewarded. 15 s lockout. 1 s white noise </t>
    </r>
    <r>
      <rPr>
        <rFont val="Arial"/>
        <b/>
        <color theme="1"/>
      </rPr>
      <t xml:space="preserve">delay 800-1500 ms </t>
    </r>
  </si>
  <si>
    <t xml:space="preserve">decent but now he's biased against wait well ugh! It's not that he would poke rip well instead, he's just not waiting enough, maybe a position issue?. Also going exclusively to arms 3, 6 and 7. </t>
  </si>
  <si>
    <r>
      <rPr>
        <rFont val="Arial"/>
        <color theme="1"/>
      </rPr>
      <t xml:space="preserve">hybrid, 8 outers rewarded. 15 s lockout. 1 s white noise </t>
    </r>
    <r>
      <rPr>
        <rFont val="Arial"/>
        <b/>
        <color theme="1"/>
      </rPr>
      <t xml:space="preserve">delay 1500-3000 ms </t>
    </r>
  </si>
  <si>
    <t>so motivated! I think he's handling better the delays, slow but steady. Drank almost exclusively from arm 3 and 6</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</si>
  <si>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2500-4500 ms</t>
    </r>
    <r>
      <rPr>
        <rFont val="Arial"/>
        <color theme="1"/>
      </rPr>
      <t xml:space="preserve">. </t>
    </r>
    <r>
      <rPr>
        <rFont val="Arial"/>
        <i/>
        <color theme="1"/>
      </rPr>
      <t xml:space="preserve">preferred arms excluded </t>
    </r>
  </si>
  <si>
    <t xml:space="preserve">Arms that can be goal: 1, 3, 4, 5 and 8. Started with goal arms 1, 4, 5 and 8. Definitely confused about not receiving reward where he usually gets it. First half hour was exclusively composed by trials where he visited preferred arms (2, 6 and 7) or where he got lockouts 2 (home-center port loop). On one trial, I gently pushed him towards entrance of arm 1, where he then walked in and got reward. After that he started foraging on non-preferred arms and got a few rewards! Walking super slow, but probably because he's old. So patient today!   </t>
  </si>
  <si>
    <r>
      <rPr>
        <rFont val="Arial"/>
        <color theme="1"/>
      </rPr>
      <t xml:space="preserve">hybrid, 8 outers rewarded. 15 s lockout. 1 s white noise </t>
    </r>
    <r>
      <rPr>
        <rFont val="Arial"/>
        <b/>
        <color theme="1"/>
      </rPr>
      <t xml:space="preserve">delay 1000-2000 ms </t>
    </r>
  </si>
  <si>
    <t xml:space="preserve">so impatient. Can't say I have too much hope for him. Still drinking decent amount of milk and at least for this epoch he was not biased against any well in particular. </t>
  </si>
  <si>
    <r>
      <rPr>
        <rFont val="Arial"/>
        <color theme="1"/>
      </rPr>
      <t xml:space="preserve">hybrid, 8 outers rewarded. 15 s lockout. 1 s white noise </t>
    </r>
    <r>
      <rPr>
        <rFont val="Arial"/>
        <b/>
        <color theme="1"/>
      </rPr>
      <t xml:space="preserve">delay 1500-3500 ms </t>
    </r>
  </si>
  <si>
    <t xml:space="preserve">super motivated, still being silly at higher delay times but it seems it's safe to increase in small steps since number of lockouts 3 didn't change dramatically. Strong bias towards arm 6, going almost exclusively there on rip trials. </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</si>
  <si>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2500-4500 ms</t>
    </r>
    <r>
      <rPr>
        <rFont val="Arial"/>
        <color theme="1"/>
      </rPr>
      <t xml:space="preserve">. </t>
    </r>
    <r>
      <rPr>
        <rFont val="Arial"/>
        <i/>
        <color theme="1"/>
      </rPr>
      <t xml:space="preserve">preferred arms excluded </t>
    </r>
  </si>
  <si>
    <t xml:space="preserve">Such a star!!! patient and not as strongly biased towards arms 2, 6 and 7 as before, maybe tomorrow no need for exclusion? </t>
  </si>
  <si>
    <r>
      <rPr>
        <rFont val="Arial"/>
        <color theme="1"/>
      </rPr>
      <t xml:space="preserve">hybrid, 8 outers rewarded. 15 s lockout. 1 s white noise </t>
    </r>
    <r>
      <rPr>
        <rFont val="Arial"/>
        <b/>
        <color theme="1"/>
      </rPr>
      <t xml:space="preserve">delay 1000-2500 ms </t>
    </r>
  </si>
  <si>
    <t>Knows order really well. Barely any errors there, but still impatient. Performance was good enough to increase delay for next epoch.</t>
  </si>
  <si>
    <r>
      <rPr>
        <rFont val="Arial"/>
        <color theme="1"/>
      </rPr>
      <t xml:space="preserve">hybrid, 8 outers rewarded. 15 s lockout. 1 s white noise </t>
    </r>
    <r>
      <rPr>
        <rFont val="Arial"/>
        <b/>
        <color theme="1"/>
      </rPr>
      <t xml:space="preserve">delay 2000-3500 ms </t>
    </r>
  </si>
  <si>
    <t>Seems he is still biased for rip well, will see if he naturally readjusts next epoch. Surprising amount of lockout 1 errors, must really be the bias at work.</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</si>
  <si>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2500-5000 ms</t>
    </r>
    <r>
      <rPr>
        <rFont val="Arial"/>
        <color theme="1"/>
      </rPr>
      <t xml:space="preserve">. </t>
    </r>
    <r>
      <rPr>
        <rFont val="Arial"/>
        <i/>
        <color theme="1"/>
      </rPr>
      <t xml:space="preserve">preferred arms excluded </t>
    </r>
  </si>
  <si>
    <t>Big slow guy, lost a bit of his patience from yesterday but assuming he will regain it for the next epoch.</t>
  </si>
  <si>
    <r>
      <rPr>
        <rFont val="Arial"/>
        <color theme="1"/>
      </rPr>
      <t xml:space="preserve">hybrid, 8 outers rewarded. 15 s lockout. 1 s white noise </t>
    </r>
    <r>
      <rPr>
        <rFont val="Arial"/>
        <b/>
        <color theme="1"/>
      </rPr>
      <t xml:space="preserve">delay 1000-3000 ms </t>
    </r>
  </si>
  <si>
    <t>Didn't do as well likely because of the increase in delay, still needs to work on patience.</t>
  </si>
  <si>
    <r>
      <rPr>
        <rFont val="Arial"/>
        <color theme="1"/>
      </rPr>
      <t xml:space="preserve">hybrid, 8 outers rewarded. 15 s lockout. 1 s white noise </t>
    </r>
    <r>
      <rPr>
        <rFont val="Arial"/>
        <b/>
        <color theme="1"/>
      </rPr>
      <t xml:space="preserve">delay 2000-4000 ms </t>
    </r>
  </si>
  <si>
    <t>Speed demon! He runs so fast! Noticed home and wait well light were on at same time? (bug?) Definite bias for arm 6. Still a little bias for rip over wait and still learning patience.</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</si>
  <si>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2500-5000 ms</t>
    </r>
    <r>
      <rPr>
        <rFont val="Arial"/>
        <color theme="1"/>
      </rPr>
      <t xml:space="preserve">. </t>
    </r>
    <r>
      <rPr>
        <rFont val="Arial"/>
        <i/>
        <color theme="1"/>
      </rPr>
      <t xml:space="preserve">preferred arms excluded </t>
    </r>
  </si>
  <si>
    <t>Weird rip/wait bias appeared this epoch. Still learning to wait and choose the right arms.</t>
  </si>
  <si>
    <r>
      <rPr>
        <rFont val="Arial"/>
        <color theme="1"/>
      </rPr>
      <t xml:space="preserve">hybrid, 8 outers rewarded. </t>
    </r>
    <r>
      <rPr>
        <rFont val="Arial"/>
        <b/>
        <color theme="1"/>
      </rPr>
      <t>20 s lockout</t>
    </r>
    <r>
      <rPr>
        <rFont val="Arial"/>
        <color theme="1"/>
      </rPr>
      <t xml:space="preserve">. 1 s white noise </t>
    </r>
    <r>
      <rPr>
        <rFont val="Arial"/>
        <b/>
        <color theme="1"/>
      </rPr>
      <t xml:space="preserve">delay 1500-3500 ms </t>
    </r>
  </si>
  <si>
    <t>increased lockout to force him to get more patient (and we should be up to 25s anyway) struggled with the delay, but no bias!</t>
  </si>
  <si>
    <r>
      <rPr>
        <rFont val="Arial"/>
        <color theme="1"/>
      </rPr>
      <t xml:space="preserve">hybrid, 8 outers rewarded. </t>
    </r>
    <r>
      <rPr>
        <rFont val="Arial"/>
        <b/>
        <color theme="1"/>
      </rPr>
      <t>20 s lockout</t>
    </r>
    <r>
      <rPr>
        <rFont val="Arial"/>
        <color theme="1"/>
      </rPr>
      <t xml:space="preserve">. 1 s white noise </t>
    </r>
    <r>
      <rPr>
        <rFont val="Arial"/>
        <b/>
        <color theme="1"/>
      </rPr>
      <t xml:space="preserve">delay 2000-4500 ms </t>
    </r>
  </si>
  <si>
    <t>did great! much more patient. ready to move on! mostly visits 6 and 9 and maybe 11</t>
  </si>
  <si>
    <r>
      <rPr>
        <rFont val="Arial"/>
        <color theme="1"/>
      </rPr>
      <t xml:space="preserve">goal, 8 outers rewarded. </t>
    </r>
    <r>
      <rPr>
        <rFont val="Arial"/>
        <b/>
        <color theme="1"/>
      </rPr>
      <t>20 s lockout</t>
    </r>
    <r>
      <rPr>
        <rFont val="Arial"/>
        <color theme="1"/>
      </rPr>
      <t xml:space="preserve">. 1 s white noise </t>
    </r>
    <r>
      <rPr>
        <rFont val="Arial"/>
        <b/>
        <color theme="1"/>
      </rPr>
      <t xml:space="preserve">delay 2500-5000 ms forageassist3 </t>
    </r>
  </si>
  <si>
    <t>kept delays the same since outers will be hard today. 4,3,1 initial goal options. quickly found goal at 1  and even repeated decently well, including from opposite center port!! moving slowly, frustrated even tho did find second goal (2), still going back to 1 often</t>
  </si>
  <si>
    <r>
      <rPr>
        <rFont val="Arial"/>
        <color theme="1"/>
      </rPr>
      <t xml:space="preserve">hybrid, 8 outers rewarded. </t>
    </r>
    <r>
      <rPr>
        <rFont val="Arial"/>
        <b/>
        <color theme="1"/>
      </rPr>
      <t>20 s lockout</t>
    </r>
    <r>
      <rPr>
        <rFont val="Arial"/>
        <color theme="1"/>
      </rPr>
      <t xml:space="preserve">. 1 s white noise </t>
    </r>
    <r>
      <rPr>
        <rFont val="Arial"/>
        <b/>
        <color theme="1"/>
      </rPr>
      <t xml:space="preserve">delay 2000-3500 ms </t>
    </r>
  </si>
  <si>
    <t>not patient! struggled</t>
  </si>
  <si>
    <r>
      <rPr>
        <rFont val="Arial"/>
        <color theme="1"/>
      </rPr>
      <t xml:space="preserve">hybrid, </t>
    </r>
    <r>
      <rPr>
        <rFont val="Arial"/>
        <b/>
        <color theme="1"/>
      </rPr>
      <t>4 outers</t>
    </r>
    <r>
      <rPr>
        <rFont val="Arial"/>
        <color theme="1"/>
      </rPr>
      <t xml:space="preserve"> rewarded, 15 outerreps.</t>
    </r>
    <r>
      <rPr>
        <rFont val="Arial"/>
        <b/>
        <color theme="1"/>
      </rPr>
      <t xml:space="preserve"> 20 s lockou</t>
    </r>
    <r>
      <rPr>
        <rFont val="Arial"/>
        <color theme="1"/>
      </rPr>
      <t xml:space="preserve">t. 1 s white noise delay </t>
    </r>
    <r>
      <rPr>
        <rFont val="Arial"/>
        <b/>
        <color theme="1"/>
      </rPr>
      <t>2500-4500 ms</t>
    </r>
    <r>
      <rPr>
        <rFont val="Arial"/>
        <color theme="1"/>
      </rPr>
      <t xml:space="preserve">. </t>
    </r>
    <r>
      <rPr>
        <rFont val="Arial"/>
        <i/>
        <color theme="1"/>
      </rPr>
      <t xml:space="preserve">preferred arms excluded </t>
    </r>
  </si>
  <si>
    <t>exclude 6,9,11. initial goals 5,1,4,2. slow, defnitely frustrated</t>
  </si>
  <si>
    <r>
      <rPr>
        <rFont val="Arial"/>
        <color theme="1"/>
      </rPr>
      <t xml:space="preserve">goal, 8 outers rewarded. </t>
    </r>
    <r>
      <rPr>
        <rFont val="Arial"/>
        <b/>
        <color theme="1"/>
      </rPr>
      <t>20 s lockout</t>
    </r>
    <r>
      <rPr>
        <rFont val="Arial"/>
        <color theme="1"/>
      </rPr>
      <t xml:space="preserve">. 1 s white noise </t>
    </r>
    <r>
      <rPr>
        <rFont val="Arial"/>
        <b/>
        <color theme="1"/>
      </rPr>
      <t xml:space="preserve">delay 2500-5000 ms forageassist3 </t>
    </r>
  </si>
  <si>
    <t>initial options 5,2,4. found 2 first, unable to find next goal until very end. very slow and frustrated but surprisingly good at repeating</t>
  </si>
  <si>
    <r>
      <rPr>
        <rFont val="Arial"/>
        <color theme="1"/>
      </rPr>
      <t xml:space="preserve">hybrid, 8 outers rewarded. </t>
    </r>
    <r>
      <rPr>
        <rFont val="Arial"/>
        <b/>
        <color theme="1"/>
      </rPr>
      <t>25 s lockout</t>
    </r>
    <r>
      <rPr>
        <rFont val="Arial"/>
        <color theme="1"/>
      </rPr>
      <t xml:space="preserve">. 1 s white noise </t>
    </r>
    <r>
      <rPr>
        <rFont val="Arial"/>
        <b/>
        <color theme="1"/>
      </rPr>
      <t xml:space="preserve">delay 2000-4000 ms </t>
    </r>
  </si>
  <si>
    <t>increased delay to 25 s for all. Seems like he's getting better at waiting, I saw him many times being patient at higher delays. Usually when he gets a lockout 3 is not because he deliberately walks away from the well but rather he moves/sniff too much and unbreaks the light beam. Very motivated, running fast. Doesn't seem biased</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</si>
  <si>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2500-5000 ms</t>
    </r>
    <r>
      <rPr>
        <rFont val="Arial"/>
        <color theme="1"/>
      </rPr>
      <t xml:space="preserve">. </t>
    </r>
    <r>
      <rPr>
        <rFont val="Arial"/>
        <i/>
        <color theme="1"/>
      </rPr>
      <t xml:space="preserve">preferred arms excluded </t>
    </r>
  </si>
  <si>
    <t>excluded:: arm 3, 6 and 8. initial goals: 4, 5, 7 and 1. struggling with delays and not very good at repeating goal arms, keep going to preferred arms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</si>
  <si>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forageassist3 </t>
    </r>
  </si>
  <si>
    <t>started with options 1, 4 and 5. first goal arm 1. found goal quickly but not too good at repeating</t>
  </si>
  <si>
    <r>
      <rPr>
        <rFont val="Arial"/>
        <color theme="1"/>
      </rPr>
      <t xml:space="preserve">hybrid, 8 outers rewarded. </t>
    </r>
    <r>
      <rPr>
        <rFont val="Arial"/>
        <b/>
        <color theme="1"/>
      </rPr>
      <t>25 s lockout</t>
    </r>
    <r>
      <rPr>
        <rFont val="Arial"/>
        <color theme="1"/>
      </rPr>
      <t xml:space="preserve">. 1 s white noise </t>
    </r>
    <r>
      <rPr>
        <rFont val="Arial"/>
        <b/>
        <color theme="1"/>
      </rPr>
      <t xml:space="preserve">delay 2000-4500 ms </t>
    </r>
  </si>
  <si>
    <t>still struggling with times but still having a fair amount of rewards. going one step at a time with delays seems to keep him within reasonable values</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</si>
  <si>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2500-5000 ms</t>
    </r>
    <r>
      <rPr>
        <rFont val="Arial"/>
        <color theme="1"/>
      </rPr>
      <t xml:space="preserve">. </t>
    </r>
    <r>
      <rPr>
        <rFont val="Arial"/>
        <i/>
        <color theme="1"/>
      </rPr>
      <t xml:space="preserve">preferred arms excluded </t>
    </r>
  </si>
  <si>
    <t>excluded:: arm 3, 6 and 8. nitial goals: 1, 4, 5, 7. struggling with times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</si>
  <si>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forageassist3 </t>
    </r>
  </si>
  <si>
    <t>started witg options 4, 5, 7, first goal arm 7. bad at repeating even when it's one of his favorite arms :(</t>
  </si>
  <si>
    <t>Tubes cleaned</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</si>
  <si>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2000-4500 ms</t>
    </r>
    <r>
      <rPr>
        <rFont val="Arial"/>
        <color theme="1"/>
      </rPr>
      <t xml:space="preserve">. </t>
    </r>
    <r>
      <rPr>
        <rFont val="Arial"/>
        <i/>
        <color theme="1"/>
      </rPr>
      <t xml:space="preserve">preferred arms excluded </t>
    </r>
  </si>
  <si>
    <t>Still not that patient, definitely needs to overcome his arm biases. (arms included: 1,2,4,5,8)</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</si>
  <si>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2500-5000 ms</t>
    </r>
    <r>
      <rPr>
        <rFont val="Arial"/>
        <color theme="1"/>
      </rPr>
      <t xml:space="preserve">. </t>
    </r>
    <r>
      <rPr>
        <rFont val="Arial"/>
        <i/>
        <color theme="1"/>
      </rPr>
      <t xml:space="preserve">preferred arms excluded </t>
    </r>
  </si>
  <si>
    <t>Doing pretty well, still impatient.  (arms included: 1,2,4,5,8)</t>
  </si>
  <si>
    <r>
      <rPr>
        <rFont val="Arial"/>
        <color theme="1"/>
      </rPr>
      <t xml:space="preserve">goal, 8 outers rewarded. </t>
    </r>
    <r>
      <rPr>
        <rFont val="Arial"/>
        <b/>
        <color theme="1"/>
      </rPr>
      <t>25 s lockout</t>
    </r>
    <r>
      <rPr>
        <rFont val="Arial"/>
        <color theme="1"/>
      </rPr>
      <t xml:space="preserve">. 1 s white noise </t>
    </r>
    <r>
      <rPr>
        <rFont val="Arial"/>
        <b/>
        <color theme="1"/>
      </rPr>
      <t>delay 2500-5500 ms forageassist3</t>
    </r>
  </si>
  <si>
    <t>Seems to have a bias for rip? Having some issues with patience but otherwise seems to be doing fine.</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</si>
  <si>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2000-4500 ms</t>
    </r>
    <r>
      <rPr>
        <rFont val="Arial"/>
        <color theme="1"/>
      </rPr>
      <t xml:space="preserve">. </t>
    </r>
    <r>
      <rPr>
        <rFont val="Arial"/>
        <i/>
        <color theme="1"/>
      </rPr>
      <t xml:space="preserve">preferred arms excluded </t>
    </r>
  </si>
  <si>
    <t>WARNING MISTAKE: I ran rat 10 thinking it was rat 9, so he now had an easier paradigm than before along with easier delays. Good news is he seems like he knows what he is doing. Will run rat 9 afterwards with his original paradigm. (arms included: 1,2,4,5,8)</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</si>
  <si>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2000-4500 ms</t>
    </r>
    <r>
      <rPr>
        <rFont val="Arial"/>
        <color theme="1"/>
      </rPr>
      <t xml:space="preserve">. </t>
    </r>
    <r>
      <rPr>
        <rFont val="Arial"/>
        <i/>
        <color theme="1"/>
      </rPr>
      <t xml:space="preserve">preferred arms excluded </t>
    </r>
  </si>
  <si>
    <t>Lots of lockout3, not patient enough, will hopefully be ready for a lower bound increase tomorrow (2500ms) (arms included: 1,2,4,5,8)</t>
  </si>
  <si>
    <t>HOME WELL REPLACED with new 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</si>
  <si>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forageassist2 </t>
    </r>
  </si>
  <si>
    <t>Definitely having a harder time, seemed to have chewed through home well. HOME WELL REPLACED</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</si>
  <si>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2500-4500 ms</t>
    </r>
    <r>
      <rPr>
        <rFont val="Arial"/>
        <color theme="1"/>
      </rPr>
      <t xml:space="preserve">. </t>
    </r>
    <r>
      <rPr>
        <rFont val="Arial"/>
        <i/>
        <color theme="1"/>
      </rPr>
      <t xml:space="preserve">preferred arms excluded </t>
    </r>
  </si>
  <si>
    <t>Steadily getting more patient as we increase, seems to be doing well. Still a bit biased for rip well. Also seems to be biased to arms 2 and 5. (arms included: 1,2,4,5,8)</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</si>
  <si>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</si>
  <si>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A little biased to rip well, still needs to get used to repeating on same well. Will dfeinitely need more practice in this paradigm.</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</si>
  <si>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forageassist2 </t>
    </r>
  </si>
  <si>
    <t>His new passtime has officially become chewing on the home well. probably as a sign of frustration? Went closer to check on him which distracted him and caused him to error. Also seems to be biased for rip? But did better than yesterday!</t>
  </si>
  <si>
    <r>
      <rPr>
        <rFont val="Arial"/>
        <color theme="1"/>
      </rPr>
      <t xml:space="preserve">hybrid, </t>
    </r>
    <r>
      <rPr>
        <rFont val="Arial"/>
        <b/>
        <color theme="1"/>
      </rPr>
      <t>4 outers</t>
    </r>
    <r>
      <rPr>
        <rFont val="Arial"/>
        <color theme="1"/>
      </rPr>
      <t xml:space="preserve"> rewarded, 15 outerreps.</t>
    </r>
    <r>
      <rPr>
        <rFont val="Arial"/>
        <b/>
        <color theme="1"/>
      </rPr>
      <t xml:space="preserve"> 25 s lockou</t>
    </r>
    <r>
      <rPr>
        <rFont val="Arial"/>
        <color theme="1"/>
      </rPr>
      <t xml:space="preserve">t. 1 s white noise delay </t>
    </r>
    <r>
      <rPr>
        <rFont val="Arial"/>
        <b/>
        <color theme="1"/>
      </rPr>
      <t>2500-5000 ms</t>
    </r>
    <r>
      <rPr>
        <rFont val="Arial"/>
        <color theme="1"/>
      </rPr>
      <t xml:space="preserve">. </t>
    </r>
    <r>
      <rPr>
        <rFont val="Arial"/>
        <i/>
        <color theme="1"/>
      </rPr>
      <t xml:space="preserve">preferred arms excluded </t>
    </r>
  </si>
  <si>
    <t>yay no more center well choice bias! Sems to be understanding the paradigm more and more, good improvement. Stays consistent with his lockout3 amount even with increases to delay.</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</si>
  <si>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</si>
  <si>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A lot more lockout 3 this epoch, even though nothing about the paradigm changed.  Bias for rip well seems to have continued from the last epoch.</t>
  </si>
  <si>
    <t>HOMEWELL REPLACED with yesterday's epoxyed 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</si>
  <si>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forageassist2 </t>
    </r>
  </si>
  <si>
    <t>Spends so much time at home portal, also does keep head in center for long enough (patience?) Seems when he is lockedout he takes out his boundless wrath and fury on the home well with his teeth. Knows to repeat arm but chews on center(wait and rip) wells during delay, causing him to lockout sometimes. Still has rip bias over wait, more goals than last epoch, still a lot of chewing/gnawing was heard.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</si>
  <si>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</si>
  <si>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Woohoo! Did awesome for his first time! no rip/wait bias and a good amount of goal counts!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</si>
  <si>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</si>
  <si>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Still has a bit of bias for rip well, less lockout3 than yesterday, but still having some issues staying/finding goal arm.</t>
  </si>
  <si>
    <t>REPLACED HOMEWELL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</si>
  <si>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forageassist2 </t>
    </r>
  </si>
  <si>
    <t>Still chewing home port whenever he is lockedout. Also seems to be chewing on center ports even when not locked out.  Chewed a new hole into home well. good rip/wait ratio, still needs work on repeating goal arm.</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</si>
  <si>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</si>
  <si>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Worse than last time, also seemed to have chewed on home well (conveniently at the exact same spot 11 chews). Still working on patience and needs to learn to repeat goal arm!</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</si>
  <si>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</si>
  <si>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Still somewhat biased for rip, also still needs to learn repetition and patience.</t>
  </si>
  <si>
    <t>REPLACED HOME 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</si>
  <si>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forageassist2 </t>
    </r>
  </si>
  <si>
    <t>Needs to work on repetition! SERIAL HOMEWELL DESTROYER (4 in 2 days)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</si>
  <si>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</si>
  <si>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options: 1,4 and 7. first goal arm 1. similar to first epoch from yesterday. Going to arm 1 almost exclusively during wait trials, which make sense if it's the closest well to the arm. impatient at higher times. during rip trials he would sometimes do the home-center loop.</t>
  </si>
  <si>
    <t>tubes and cages cleaned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</si>
  <si>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</si>
  <si>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options: 5, 6 and 8. first goal arm 8. so impatient and bad at repeating.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</si>
  <si>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2000-3000 ms forageassist3 </t>
    </r>
  </si>
  <si>
    <t xml:space="preserve">options: 4, 5 and 6: first goal arm 6, found it within 4 min. So bad at repeating! he goes to many different arms, so in a sense he's "good" at foraging, but once he finds goal he keeps foraging. Going to goal on rip trials exclusively (closest to arm 6). I prevented him from chewing excesively on the home well, but he still got a little bit out so had to replace it.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</si>
  <si>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</si>
  <si>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options: 3, 4 and 7. first goal arm 3. a tiny bit more patient than first epoch. but still very bad at repeating. visited goal mostly during wait trials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</si>
  <si>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</si>
  <si>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options: 3, 4 and 6. first goal arm 3. so impatient and bad at repeating, worst combination. actually didn't repeat at all, seems like whenever he visited goal it was just luck and spaced between each visit. biased against wait well.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</si>
  <si>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2000-3000 ms forageassist3 </t>
    </r>
  </si>
  <si>
    <t xml:space="preserve">optons: 2, 3 and 8. first goal arm 8, second arm 3. found goal pretty quickly but took almost 50 min to finish it. then found arm 3 also quickly but didn't repeat. surprisingly impatient at small delays.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</si>
  <si>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</si>
  <si>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options: 2, 6 and 7. first goal arm 7. Not that bad actually, so much better at being patient I was surprised. found goal quickly, repeated well whenever he got rip trials in a row, still not very good at repeating from opposite center well. Finished first contingency within 45 min. next options were 3, 4 and 6, chose arm 3, didn't repeat at all, kept going to arm 7. </t>
  </si>
  <si>
    <t>changed all the syringes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</si>
  <si>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</si>
  <si>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options: 1, 2 and 6. first goal arm 1. found it quickly and repeated well. visiting goal mostly on wait trials, but I saw him visiting goal on rip trials a few times so getting there! finished first contingency within 30 ish min. Then options were 2, 4 and 6. he went with arm 2. kept visiting arm 1 for a while after finding second contingency but towards the end he repeated very well. I gave him 4 extra min so he could finished second contingency. I wonder if replacing the syringes made a difference because syringes were really stiff and maybe there was not much milk coming out from home/rip/well, not really sure if there's a connection there. Still being impatient but hopefully as he gets the idea of repeating he can also improve his patience.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</si>
  <si>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</si>
  <si>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1, 3 and 6. first goal arm 3. took him almost 50 min to finish first contingency. struggling with repeating in a consistent way, but there were periods he repeated well even from opposite center well. He would also frequently visit adyacent arms to goal: arm 2 and 4, which makes me think that he's getting there but maybe his age plays a role in not remembering exactly where the goal is. next options were 2, 5 and 7. He found arm 2 almost immediately after finishing with arm 3, which I think it was because it's an adjacent arm and he was actually trying to get to arm 3. Regardless the reason, he didn't repeat at all, he kept going back to arm 3. He engages in silly behaviors sometimes, like the home-center loop and checking both center wells within a trial, which is an error you usually expect at the beginning of behavior, not when they have already consolidated the sequence, but it seems like when he gets no reward in several trials in row he gets frustrated. I had to distract him on every lockout to prevent him from chewing the home well. He is slowly destroying the center wells but because the delays are shorter now he has less time to chew on them.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</si>
  <si>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</si>
  <si>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options: 2, 4 and 8. first goal arm 2. Ugh! so impatient this time and definitely not good at repeating, visits to goal were mostly spaced in time.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</si>
  <si>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</si>
  <si>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options: 6, 7 and 8. first goal arm 6. struggled with repetition, not as smooth as first epoch. </t>
  </si>
  <si>
    <t>replaced center wells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</si>
  <si>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</si>
  <si>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2, 5 and 7.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</si>
  <si>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</si>
  <si>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r>
      <rPr>
        <rFont val="Arial"/>
        <color theme="1"/>
      </rPr>
      <t xml:space="preserve">options: 3,8,7. noticed that </t>
    </r>
    <r>
      <rPr>
        <rFont val="Arial"/>
        <b/>
        <color theme="1"/>
      </rPr>
      <t>home wel</t>
    </r>
    <r>
      <rPr>
        <rFont val="Arial"/>
        <color theme="1"/>
      </rPr>
      <t>l triggered on its own; pluggede/replugged all connections but might be flaky, keep an eye on this! found goal at 8 pretty quickly but terrible at repeating. tons of lockout3 not because he isn't trying but because of posture. was doing better at repeating but then had to stop early because home well stopped working completely, replaced it</t>
    </r>
  </si>
  <si>
    <t>replaced home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</si>
  <si>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</si>
  <si>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options 6 4 8 and found 6 quickly, but bad at repeating and still very impatient, not trying very hard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</si>
  <si>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</si>
  <si>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found goal 1 pretty quickly but doing the silly loop, not bothering to go out. smacked wall each time he chewed. kept going to 1 after goal switch then found and managed to swtich to goal  at 2. not too bad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</si>
  <si>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</si>
  <si>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got a "no signal coming from hardware" error pop up right near end; streaming stopped but beahvior seemed to continue fine, but stopped just in case. moving slowly, not motivatede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</si>
  <si>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forageassist3 </t>
    </r>
  </si>
  <si>
    <t xml:space="preserve">so bad! got another "data not streaming" error at some point (was not in room). so impatient!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</si>
  <si>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</si>
  <si>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7,2,3 , found goal at 3. struggling to repeat, keeps going to 2 instead. so bad! and less patient, and kinda biased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</si>
  <si>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</si>
  <si>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2, 3 and 5. first goal arm 5. Yay! much better. Obviously it's way easier to be patient at small delays but I think it worked ppretty well to make him better at repeating. First goal was 5 and he repeated decently considering that's a hard arm to repeat. promising!</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</si>
  <si>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</si>
  <si>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3, 5 6. first goal arm 6, so good at repeating this arm! including going to goal from opposite center well. when he doesn't go to goal, he goes to adjacent arms (arm 5 and 7), makes me think the idea of repeating is getting there! finished first contingency in 24 min. Next options: 8, 5, 7, second goal arm 8. Took several min to get into the groove of repeating 8 because he kept visiting arm 6, but last 15 min he repeated so well. Lots of lockout 3 considering how small delays are, but not because he's not trying, he just moves too much (sniffing).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</si>
  <si>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</si>
  <si>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2,3,7. first goal arm 7. struggled with repetition at the beginning but he got better towards the end of contingency to a point he repeated almost perfectly from both center wells. Second contingency was in arm 1, also a struggle at first, especially because he kept visiting arm 7. But after visiting a few times new goal he repeated very well. Still doing silly things, checking both center ports within a trial or doing loop, but overall I think he;s getting better at repeating. Also super slow but I don't think there's anything we can do about it.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</si>
  <si>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</si>
  <si>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4,7,8. first goal arm 7. so good! still struggling to switch goals and kept visiting past goals but as contingency progresses he gets better at repeating. second and third contingency on arm 8 and 5, respectively.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</si>
  <si>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</si>
  <si>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1,2,3. first goal arm 2, struggled with repetition this epoch, visits to goal spaced in time. second contingency was on arm 4 and it was even harder, didn't repeat, just sparse visits. Still moving too much on center ports</t>
  </si>
  <si>
    <t>replaced home 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</si>
  <si>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</si>
  <si>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3,4,8. first goal arm 8, repeated so well!, finished within 20-ish min. struggled to find second goal. found goal in arm 7 in the last 12 min. he struggled to repeat at first but then he did so well! I gave him 7 min extra so he could finish. repeating from both center ports.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</si>
  <si>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</si>
  <si>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4, 1, 3. sooo good! // (DA) Wow!! 3 contingencies that's awesome!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</si>
  <si>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</si>
  <si>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5,3,4. doing better but still needs to work on patience!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</si>
  <si>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</si>
  <si>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 xml:space="preserve">options: 1,3,8. Having problems getting the right order? Did worse than yesterday and chewed through the homewell again. A bit of chewing on the center wells but no holes yet. Seems to also have chewed on the glue holding down the center plastic screen.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</si>
  <si>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1500-3500 ms forageassist3 </t>
    </r>
  </si>
  <si>
    <t>options: 6, 8, 7. Continuing to do well, was a bit thrown off by the delay increase.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</si>
  <si>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</si>
  <si>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7, 4, 8. Needs to get better at repeating and being patient, also bias for wait over rip</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</si>
  <si>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</si>
  <si>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7, 6, 4. Better at repeating than first time. Way more impatient this time.  Chewed through a brand new home well in 1 epoch........</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</si>
  <si>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1500-3500 ms forageassist3 </t>
    </r>
  </si>
  <si>
    <t>Started an epoch but took him back out within 10 mins in order to clean tubes. Options: 2, 1, 8. Improvement from yesterday, learning a bit more patience! Will increase lower and upper bound of delay by 500ms</t>
  </si>
  <si>
    <t>cleaned tubes (before so it is as if they were cleaned the night before)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</si>
  <si>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</si>
  <si>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1, 5, 4. Still some bias for wait over rip, still so impatient, too many lockout 3 for me to increase his delay in the next epoch.</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</si>
  <si>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</si>
  <si>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4, 8, 1. Bumped and "heyed" for the first 20 mins to stop him from chewing. That stopped working so moved on to rubbing milk stick on top of wall which worked to deter him until the very end when he got used to it. Did very poorly but it may be due to my presence in the room for the whole epoch. He would chew the home well even after it lit up as well as after the center wells lit up. He would chew the center wells after the arms had lit up and then the arm well wen he chose incorrectly. a lot of lockout 3, seems to either not get the idea or just position himself as if biting which doesnt block the diode.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</si>
  <si>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2000-4000 ms forageassist3 </t>
    </r>
  </si>
  <si>
    <t>Options: 7, 5, 8. Doing well, a bit tripped up because of the increased delay, but still keeping up in terms of goal.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</si>
  <si>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</si>
  <si>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6, 1, 5. What a pro, will definitely increase his delay tomorrow.</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</si>
  <si>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</si>
  <si>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4, 2, 6. What a troublemaker!!!! Chewed through home and rip wells, and also did some damage to wait. HUGELY biased to arm 1. Horrible at repeating. Robust to distraction from chewing. For the last 15 minutes would just sit at homewell and chew/drink when light was on, wouldn't even turn around for center wells. Doesn't get how to stay in position for diode at all. Tends to rest mouth on top for drinking in the same fashion as his chewing. Feels as though he is unlearning, explores arms randomly and out of paradigm order.</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</si>
  <si>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2000-4000 ms forageassist3 </t>
    </r>
  </si>
  <si>
    <t>Options: 5, 8, 6. Doing great at this delay, will increase by 500ms on both ends of the range for next epoch. Working on his repeats.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</si>
  <si>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1500-3500 ms forageassist3 </t>
    </r>
  </si>
  <si>
    <t>Options: 6, 3, 5. Did super for an increased delay. Will increase by 500ms again for next epoch. I came to see how he was doing with 10 minutes left and at first he was distracted and them seemed to do a bit of home-center looping.</t>
  </si>
  <si>
    <t>replaced home and rip 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</si>
  <si>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</si>
  <si>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2, 5, 3. Super scrambly, hates being held. Pooped a ton, I counted 8 pellets. Hugely biased for rip well over wait (its his favorite to chew besides home). Will chew the moment he gets to rip or home, even if light is on, causing him to not even trigger the well. Finally getting the hang of repeating at the end of the epoch. Would attack the milk well prodder when it came close to him. Becoming more and more resistant to any sort of distraction from chewing. Chewed through home and rip well in this 1 epoch, even with distractions.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</si>
  <si>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2500-4500 ms forageassist3 </t>
    </r>
  </si>
  <si>
    <t xml:space="preserve">Options: 3, 2, 6. An absolute star, doing great even with another increase in delay.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</si>
  <si>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2000-4000 ms forageassist3 </t>
    </r>
  </si>
  <si>
    <t>Options: 7, 5, 8. Doing great! Seems to understand repeating well, a bit thrown off by the increased delay but nothing bad at all. Definitely on a good trajectory right behind 9.</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</si>
  <si>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</si>
  <si>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6, 7, 4. So bad! Will completely ignore task and just chew at homewell. Even after being distracted will go right back to home well and continue chewing. Only distractions that work right now are very intrusive (swiping on inside of wall with milk prodder and Dani's method). Bad at repeating, keeps trying new arms/ his favorites (1,2, 7, 8). Chewed through rip and home well again.</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</si>
  <si>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2500-4500 ms forageassist2 </t>
    </r>
  </si>
  <si>
    <t>Options: 4, 8. Doing great! Will increase the delay by 500ms for next epoch.</t>
  </si>
  <si>
    <t>tubes cleaned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</si>
  <si>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2000-4000 ms forageassist2 </t>
    </r>
  </si>
  <si>
    <t>Options: 3, 8. Still working on his patience, but doing really well! will increase delay by 500ms for next epoch.</t>
  </si>
  <si>
    <t>home and rip well replaced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</si>
  <si>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</si>
  <si>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6, 4, 7. (saw a bug? where home and arm wells were lit up at the same time near beginning of session.) Improvement from yesterday. Still having problems repeating in the beggining and then after reward well switches has problems exploring again (too into the groove of repeating). Auditory distractions don't seem to work anymore so I swipe the milk prod against the inner wall until he moves away from the well he is chewing. Chews on center wells even when light is on making him get lockout3. Doesn't chew too much in the beginning, more exploratory, then starts getting into his habit of chewing again. Will sometimes do a home-center chew loop. Mainly chews on rip and home.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</si>
  <si>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3000-5000 ms forageassist2 </t>
    </r>
  </si>
  <si>
    <t>Options: 1, 7. On a roll, possibly go to no forageassist tomorrow? Or increase the delay again.</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</si>
  <si>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2500-4500 ms forageassist2 </t>
    </r>
  </si>
  <si>
    <t>Options: 7, 2. A bit thrown off by the delay, but otherwise doing well. Maybe keep him at this delay for the first epoch and then increase for the second tomorrow.</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</si>
  <si>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</si>
  <si>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8, 7, 6. Continuing to chew. Will chew on center/home for ages and ignore task, even after distraction will go back to well that he was previously chewing on. Starting to get repeating a bit. Definite bias for rip well for both chewing and the task.</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</si>
  <si>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3000-5000 ms forageassistOFF </t>
    </r>
  </si>
  <si>
    <t xml:space="preserve">first goal: 5, second: 1, third:6 // Repeated so well after the 3rd-4th visit. super patient overall.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</si>
  <si>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2500-4500 ms forageassistOFF </t>
    </r>
  </si>
  <si>
    <t xml:space="preserve">first goal: 3, second: 1, third: 8 // still struggling with posture when waiting at center ports, lots of error 3 because of that. Not as good as repeating as 9, but I think it's because of the many interruptions from the errors because when he gets a few good trials in row he's good at repeating.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</si>
  <si>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</si>
  <si>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3, 6, 8. destroyed home well and almost destroyed rip well. still need to work on repetition, not consistent. Eventually he does get goos at repeating but when he has visited like 8-10 times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</si>
  <si>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3000-5500 ms forageassistOFF </t>
    </r>
  </si>
  <si>
    <t>first goal: 8. so good!!! nothing else to add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</si>
  <si>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forageassistOFF </t>
    </r>
  </si>
  <si>
    <t xml:space="preserve">first goal: 6. so silly, barely trying at center ports, either not correct posture or just deliberately unpoking to run to arms.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</si>
  <si>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1000-2500 ms forageassist3 </t>
    </r>
  </si>
  <si>
    <t>options: 1, 5, 7. goal arm 5. So bad at repeating!!, saw him once repeating for two trials in a row, the other visits were sparsed in time. biased against wait well</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</si>
  <si>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3000-6000 ms forageassistOFF </t>
    </r>
  </si>
  <si>
    <t>first goal: 7, second: 6, third: 2. So good!, repeating well after 3rd-4th visit</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</si>
  <si>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2500-5000 ms forageassistOFF </t>
    </r>
  </si>
  <si>
    <t xml:space="preserve">first goal: 6, second: 5, third: 4. Still silly at center ports but so much better at repeating than yesterday! and he got "difficult" arms.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</si>
  <si>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3000-6500 ms forageassistOFF </t>
    </r>
  </si>
  <si>
    <t>first goal: 4, second: 1, third: 7. Better! even with an increase of delay.</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</si>
  <si>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forageassistOFF </t>
    </r>
  </si>
  <si>
    <t>first goal: 8. Ugh this guy so unpredictable. hating rip well, barely trying at the center ports. took him almost 35 min to start repeating arm 8 after he found it for the first time.</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</si>
  <si>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3500-6500 ms forageassistOFF </t>
    </r>
  </si>
  <si>
    <t>First goal: 1. What a star, will increase upper bound delay by 500ms for next epoch.</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</si>
  <si>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forageassistOFF </t>
    </r>
  </si>
  <si>
    <t>First goal: 8. Needs to work on patience, but otherwise doing well in terms of amounts of goals achieved.</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</si>
  <si>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3500-7000 ms forageassistOFF </t>
    </r>
  </si>
  <si>
    <t>First goal: 4. Doing really well. Definite bias for rip well on this and last epoch.</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</si>
  <si>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forageassistOFF </t>
    </r>
  </si>
  <si>
    <t>First goal: 4. A tiny improvement, but will keep on same delays for next epoch.</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</si>
  <si>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3500-7000 ms forageassistOFF </t>
    </r>
  </si>
  <si>
    <t>First goal: 7. Bias for rip well has persisted, might ratio 2:1 for tomorrow. Otherwsie good goal amount, will increase upperbound delay by 500ms tomorrow.</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</si>
  <si>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2500-5500 ms forageassistOFF </t>
    </r>
  </si>
  <si>
    <t>First goal: 3. A lot less lockout 3! but also a strong bias for rip. Could definitely increase delay for next epoch.</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</si>
  <si>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4000-7000ms forageassistOFF </t>
    </r>
  </si>
  <si>
    <t xml:space="preserve">first goal 3. changed wait dist to make it more evenly spread, not biased toward short waits. great at repeating, not very efficient at searching and VERY biased against wait well. next ep, change ratio </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</si>
  <si>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3000-6000 ms forageassistOFF </t>
    </r>
  </si>
  <si>
    <t>first goal 1. changed waitdist to make it more evenly spread (so will be a lot harder). not bad, given the increased delay!</t>
  </si>
  <si>
    <r>
      <rPr>
        <rFont val="Arial"/>
        <color theme="1"/>
      </rPr>
      <t xml:space="preserve">goal, 8 outers rewarded. </t>
    </r>
    <r>
      <rPr>
        <rFont val="Arial"/>
        <b/>
        <color theme="1"/>
      </rPr>
      <t>25 s lockout</t>
    </r>
    <r>
      <rPr>
        <rFont val="Arial"/>
        <color theme="1"/>
      </rPr>
      <t xml:space="preserve">. 1 s white noise </t>
    </r>
    <r>
      <rPr>
        <rFont val="Arial"/>
        <b/>
        <color theme="1"/>
      </rPr>
      <t>delay 4000-7000ms forageassistOFF 3:1 wait:rip</t>
    </r>
  </si>
  <si>
    <t>same dealay, high wait ratio. did great, endfed after 40 mins</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</si>
  <si>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3000-6500 ms forageassistOFF </t>
    </r>
  </si>
  <si>
    <r>
      <rPr>
        <rFont val="Arial"/>
        <color theme="1"/>
      </rPr>
      <t xml:space="preserve">goal, 8 outers rewarded. </t>
    </r>
    <r>
      <rPr>
        <rFont val="Arial"/>
        <b/>
        <color theme="1"/>
      </rPr>
      <t>25 s lockout</t>
    </r>
    <r>
      <rPr>
        <rFont val="Arial"/>
        <color theme="1"/>
      </rPr>
      <t xml:space="preserve">. 1 s white noise </t>
    </r>
    <r>
      <rPr>
        <rFont val="Arial"/>
        <b/>
        <color theme="1"/>
      </rPr>
      <t>delay 4000-7000ms forageassistOFF</t>
    </r>
  </si>
  <si>
    <t>just gonna give him an extra (short) ep to see how he does with equal rip/wait</t>
  </si>
  <si>
    <r>
      <rPr>
        <rFont val="Arial"/>
        <color theme="1"/>
      </rPr>
      <t xml:space="preserve">goal, 8 outers rewarded. </t>
    </r>
    <r>
      <rPr>
        <rFont val="Arial"/>
        <b/>
        <color theme="1"/>
      </rPr>
      <t>25 s lockout</t>
    </r>
    <r>
      <rPr>
        <rFont val="Arial"/>
        <color theme="1"/>
      </rPr>
      <t xml:space="preserve">. 1 s white noise </t>
    </r>
    <r>
      <rPr>
        <rFont val="Arial"/>
        <b/>
        <color theme="1"/>
      </rPr>
      <t>delay 4000-7500ms forageassistOFF</t>
    </r>
  </si>
  <si>
    <t>first goal 2. not biased, but definitely getting impatient toward the end of the ep</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</si>
  <si>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3000-6500 ms forageassistOFF </t>
    </r>
  </si>
  <si>
    <t>same delays since he was pretty impatent yesteday. oops, got 13 extra mins</t>
  </si>
  <si>
    <r>
      <rPr>
        <rFont val="Arial"/>
        <color theme="1"/>
      </rPr>
      <t xml:space="preserve">goal, 8 outers rewarded. </t>
    </r>
    <r>
      <rPr>
        <rFont val="Arial"/>
        <b/>
        <color theme="1"/>
      </rPr>
      <t>25 s lockout</t>
    </r>
    <r>
      <rPr>
        <rFont val="Arial"/>
        <color theme="1"/>
      </rPr>
      <t xml:space="preserve">. 1 s white noise </t>
    </r>
    <r>
      <rPr>
        <rFont val="Arial"/>
        <b/>
        <color theme="1"/>
      </rPr>
      <t>delay 4000-7000ms forageassistOFF</t>
    </r>
  </si>
  <si>
    <t>back to 4-7s to end on a good note. got at least 2 of the click/lockout bug events but didnt seem to care. finally caught the error text in the python window, may be the key to preventing this bug. pasted in new tab</t>
  </si>
  <si>
    <r>
      <rPr>
        <rFont val="Arial"/>
        <color theme="1"/>
      </rPr>
      <t xml:space="preserve">goal, 8 outers rewarded. </t>
    </r>
    <r>
      <rPr>
        <rFont val="Arial"/>
        <b/>
        <color theme="1"/>
      </rPr>
      <t>25 s lockout</t>
    </r>
    <r>
      <rPr>
        <rFont val="Arial"/>
        <color theme="1"/>
      </rPr>
      <t xml:space="preserve">. 1 s white noise </t>
    </r>
    <r>
      <rPr>
        <rFont val="Arial"/>
        <b/>
        <color theme="1"/>
      </rPr>
      <t xml:space="preserve">delay 3000-6500 ms forageassistOFF </t>
    </r>
  </si>
  <si>
    <t>same delays</t>
  </si>
  <si>
    <t>DRIVE VERSION 4.6</t>
  </si>
  <si>
    <t xml:space="preserve">general thoughts:  making tets with the bundle method (might be less regularly packed than the original method which keeps all 4 strand separate at top while twisting) - wondering whether this might contribute to tets generally being tough to load in this drive.  Easy at first, the most all tets hit resistance either briefly or for extended periods. almost all shuttles are thick version - regular version don't hold in place and just fall/slide out of place when installing screw. Using magnalube (dark green) makes it hard to see where shuttles are from the outside of the drive.  Generally pinning did not cause tails to fall, had to trim them after. WAY too much slack in tetrodes; became an issue when lowering EIB to close drive - had to really carefully tuck tetrodes into the drive body. some may have sustained damage or gotten trapped under EIB. tried to seal off internal cavity with superglue before epoxying EIB down to drive body.  Cutting tets between 6-7mm long </t>
  </si>
  <si>
    <t>shuttle installed by</t>
  </si>
  <si>
    <t>ian</t>
  </si>
  <si>
    <t>alex</t>
  </si>
  <si>
    <t>anna</t>
  </si>
  <si>
    <t>shuttle size</t>
  </si>
  <si>
    <t>thick</t>
  </si>
  <si>
    <t>reg</t>
  </si>
  <si>
    <t>tet made by</t>
  </si>
  <si>
    <t>tet installed by</t>
  </si>
  <si>
    <t>anna - had to repin bc all4 got pulled up  in 1 hole</t>
  </si>
  <si>
    <t>anna - very stiff to load most of the way</t>
  </si>
  <si>
    <t>anna- might be short</t>
  </si>
  <si>
    <t>anna/pinned by ian</t>
  </si>
  <si>
    <t>anna - tet had some un-annealed sections but i think they're in the shuttle tube. also bent right at shuttle tube top end</t>
  </si>
  <si>
    <t>ian ?</t>
  </si>
  <si>
    <t>anna- major hysteresis</t>
  </si>
  <si>
    <t>final cut by</t>
  </si>
  <si>
    <t>alex- short tet (5.5-6mm)</t>
  </si>
  <si>
    <t>final cut quality</t>
  </si>
  <si>
    <t>tritrode</t>
  </si>
  <si>
    <t>NO TETRODE</t>
  </si>
  <si>
    <t>4/6/8/10/12 - got pulled tight bc wanted to replace it, but then loosened so can't tell which it was. go back and check - no clues. nothing replaced</t>
  </si>
  <si>
    <t>shuttle number</t>
  </si>
  <si>
    <t xml:space="preserve">major pinning abnormalities, never use this drive's config as a template! </t>
  </si>
  <si>
    <t>No cannula tube, no guide tube, no tetrode</t>
  </si>
  <si>
    <t xml:space="preserve">shuttle installed by </t>
  </si>
  <si>
    <t xml:space="preserve">alex </t>
  </si>
  <si>
    <t>Alex</t>
  </si>
  <si>
    <t>pinner</t>
  </si>
  <si>
    <t xml:space="preserve">anna </t>
  </si>
  <si>
    <t>pinned to EIB pad</t>
  </si>
  <si>
    <t>forgot to skip!</t>
  </si>
  <si>
    <t>PAD EMPTY</t>
  </si>
  <si>
    <t>final cuts - overall many issues with insufficient slack</t>
  </si>
  <si>
    <t>heard a small pop, perhaps partial disconnect</t>
  </si>
  <si>
    <t>lots of up-and-down motion</t>
  </si>
  <si>
    <t>no up-and-down</t>
  </si>
  <si>
    <t>heard small pop, might be partially disconnected</t>
  </si>
  <si>
    <t>definitely fully disconnected (too taut, snapped)</t>
  </si>
  <si>
    <t xml:space="preserve">small pop, cut early (5mm) </t>
  </si>
  <si>
    <t>heard small pop but seemed ok</t>
  </si>
  <si>
    <t>two wires snapped. cut early (5mm) - may need to cut shorter. Had to cut shorter. Did not plate well (had high impedance) after second round</t>
  </si>
  <si>
    <t>small pop but prob fine</t>
  </si>
  <si>
    <t>cut early (5mm) - may need to cut shorter. Had to recut shorter</t>
  </si>
  <si>
    <t>maybe one wire snapped (caught on 31) but now fine</t>
  </si>
  <si>
    <t>taut - cut at 4.5 mm. Had to recut after plating. On second round of plating it seemed to be disconnected</t>
  </si>
  <si>
    <t>glue failed right as shuttle tube was reaching end of cannula. re-glued</t>
  </si>
  <si>
    <t>bent wire in, mediocre cut</t>
  </si>
  <si>
    <t>best cut</t>
  </si>
  <si>
    <t>bent wire in</t>
  </si>
  <si>
    <t>taut - cut short at 5 mm</t>
  </si>
  <si>
    <t>glue failed; also seemed very taut so pulled some extra wire up and re-glued. NOT YET CUT</t>
  </si>
  <si>
    <t>cut early (5mm) - may need to cut shorter</t>
  </si>
  <si>
    <t>looks kind of weird, maybe just bent but maybe snapped? unclear</t>
  </si>
  <si>
    <t>drive body/shuttle/tubes assembled by</t>
  </si>
  <si>
    <t>gabby</t>
  </si>
  <si>
    <t>cutter</t>
  </si>
  <si>
    <t>forage, 8 arms rewarded. 3 s lockout. 1 s white noise</t>
  </si>
  <si>
    <t>doing great! licking all wells, exploring thoroughly. so good!</t>
  </si>
  <si>
    <t>looping a tonnn seems to have a large bias for rip over wait well. pushed manually down an arm, but came right back out, but then wnt down another arm woohoo! and right back to looping... sooo much looping and such a hard bias for rip, definitley need to extinguish that. increase lockout as well otherwise this will be what he learns as the task....</t>
  </si>
  <si>
    <t>forage, 8 arms rewarded. 5 s lockout. 1 s white noise</t>
  </si>
  <si>
    <t>only looping! was hoping that the increase in delay would encourage more exploration. only increased by 2s because thats what we had done in the past with other guys. definitely need to introduce a centerwell antibias tomorrow.</t>
  </si>
  <si>
    <t>more goals woohoo! definitely seems to still be looping a ton. I had also forgotten to add the wait to rip ratio because I rushed back to watch your talk!!</t>
  </si>
  <si>
    <t>forage, 8 arms rewarded. 10 s lockout. 1 s white noise (1:2 rip:wait bias introduced.)</t>
  </si>
  <si>
    <t>wooohoo! so many goals! also super (anti) biased for wait well likely due to the bias that we introduced. Seems to be going to arm 8 for rewards.</t>
  </si>
  <si>
    <t>wow so many goals, doing great! still a lot of lockout2 but thats only natural at this point. his bias seems gone and he is definitely ready to continue moving forward.... perhaps a delay for next epoch.</t>
  </si>
  <si>
    <t>CLEANED TUBES</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</si>
  <si>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500-1000 ms</t>
    </r>
    <r>
      <rPr>
        <rFont val="Arial"/>
        <color theme="1"/>
      </rPr>
      <t xml:space="preserve">. </t>
    </r>
    <r>
      <rPr>
        <rFont val="Arial"/>
        <i/>
        <color theme="1"/>
      </rPr>
      <t xml:space="preserve">preferred arms excluded </t>
    </r>
  </si>
  <si>
    <t>excluded: 8.goals: 2,7,6,5. oops! went 19 mins over!!! still doing quite well! lockout2 needs to go down though. large preference for 2 and 7 but still going to some other arms.</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</si>
  <si>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500-1000 ms</t>
    </r>
    <r>
      <rPr>
        <rFont val="Arial"/>
        <color theme="1"/>
      </rPr>
      <t xml:space="preserve">. </t>
    </r>
    <r>
      <rPr>
        <rFont val="Arial"/>
        <i/>
        <color theme="1"/>
      </rPr>
      <t xml:space="preserve">preferred arms excluded </t>
    </r>
  </si>
  <si>
    <t>excluded: 8,7,2. goals: 6,5,3,4. definitely less motivated, likely very full. preferences of this run were 6 and 3.</t>
  </si>
  <si>
    <r>
      <rPr>
        <rFont val="Arial"/>
        <color theme="1"/>
      </rPr>
      <t xml:space="preserve">hybrid, </t>
    </r>
    <r>
      <rPr>
        <rFont val="Arial"/>
        <b/>
        <color theme="1"/>
      </rPr>
      <t>4 outers</t>
    </r>
    <r>
      <rPr>
        <rFont val="Arial"/>
        <color theme="1"/>
      </rPr>
      <t xml:space="preserve"> rewarded, 15 outerreps. 15 s lockout. 1 s white noise delay </t>
    </r>
    <r>
      <rPr>
        <rFont val="Arial"/>
        <b/>
        <color theme="1"/>
      </rPr>
      <t>500-1000 ms</t>
    </r>
    <r>
      <rPr>
        <rFont val="Arial"/>
        <color theme="1"/>
      </rPr>
      <t xml:space="preserve">. </t>
    </r>
    <r>
      <rPr>
        <rFont val="Arial"/>
        <i/>
        <color theme="1"/>
      </rPr>
      <t xml:space="preserve">preferred arms excluded </t>
    </r>
  </si>
  <si>
    <t>excluded: 8,7,2. goals: 1,6,3,4. woohoo! the break definitely motivated him to do more. pertty good job!! had preferences for 1 6 and 3.</t>
  </si>
  <si>
    <r>
      <rPr>
        <rFont val="Arial"/>
        <color theme="1"/>
      </rPr>
      <t>hybrid, 3</t>
    </r>
    <r>
      <rPr>
        <rFont val="Arial"/>
        <b/>
        <color theme="1"/>
      </rPr>
      <t xml:space="preserve"> outers</t>
    </r>
    <r>
      <rPr>
        <rFont val="Arial"/>
        <color theme="1"/>
      </rPr>
      <t xml:space="preserve"> rewarded, 15 outerreps. 15 s lockout. 1 s white noise delay </t>
    </r>
    <r>
      <rPr>
        <rFont val="Arial"/>
        <b/>
        <color theme="1"/>
      </rPr>
      <t>500-1000 ms</t>
    </r>
    <r>
      <rPr>
        <rFont val="Arial"/>
        <color theme="1"/>
      </rPr>
      <t>.</t>
    </r>
  </si>
  <si>
    <t>goals: 6,3,7. absolutely killing it! going to go down to 2 goals for next run. had preferences for 7 and 3.</t>
  </si>
  <si>
    <r>
      <rPr>
        <rFont val="Arial"/>
        <color theme="1"/>
      </rPr>
      <t>hybrid, 2</t>
    </r>
    <r>
      <rPr>
        <rFont val="Arial"/>
        <b/>
        <color theme="1"/>
      </rPr>
      <t xml:space="preserve"> outers</t>
    </r>
    <r>
      <rPr>
        <rFont val="Arial"/>
        <color theme="1"/>
      </rPr>
      <t xml:space="preserve"> rewarded, 15 outerreps. 15 s lockout. 1 s white noise delay </t>
    </r>
    <r>
      <rPr>
        <rFont val="Arial"/>
        <b/>
        <color theme="1"/>
      </rPr>
      <t>500-1000 ms</t>
    </r>
    <r>
      <rPr>
        <rFont val="Arial"/>
        <color theme="1"/>
      </rPr>
      <t>.</t>
    </r>
  </si>
  <si>
    <t>goals: 2,1. 66 mins over, definitely had a lot harder of a time this time around, soooo many other counts. only 1 contingency. used both goals to get outer reps. goals he didnt get: 4,6.</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</si>
  <si>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</si>
  <si>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goals: 6,8, then 5,1.. woohoo lots of goals! hes doing so well! still a lot of others but its not too bad. according to statescript log seems to be switching off between goals sometimes with a few single arm repeat combos here and there.</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</si>
  <si>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</si>
  <si>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goals: 7,3. oops 10 mins over! only went to 3 for goal. not that many attempts for the hour, tired? full? too many others.</t>
  </si>
  <si>
    <r>
      <rPr>
        <rFont val="Arial"/>
        <color theme="1"/>
      </rPr>
      <t>hybrid, 2</t>
    </r>
    <r>
      <rPr>
        <rFont val="Arial"/>
        <b/>
        <color theme="1"/>
      </rPr>
      <t xml:space="preserve"> outers</t>
    </r>
    <r>
      <rPr>
        <rFont val="Arial"/>
        <color theme="1"/>
      </rPr>
      <t xml:space="preserve"> rewarded, 15 outerreps. 25 s lockout. 1 s white noise delay </t>
    </r>
    <r>
      <rPr>
        <rFont val="Arial"/>
        <b/>
        <color theme="1"/>
      </rPr>
      <t>1000-1500 ms</t>
    </r>
    <r>
      <rPr>
        <rFont val="Arial"/>
        <color theme="1"/>
      </rPr>
      <t>.</t>
    </r>
  </si>
  <si>
    <t>goals 5,4. so bad! right from beginning just went to arm 8 and sat, halfway through taking a break and not doing much. stopped early to check that everything was working (it was). gave 1g of food back in cage bc perhaps too hungry</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</si>
  <si>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</si>
  <si>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 xml:space="preserve">changed locktime and delay back to try and help get him going again. goals 1,5 ; gets reward at both. new goals 5,2 after contingency change and he even gets rewadrd at 2, so unclear why he stop behaving. poops VERY dry. biased against rip well. gave 1g in cage after </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</si>
  <si>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</si>
  <si>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goals 6,8 then 5,7. goals mostly received at 6, but a few at 8. still very low energy. rip/wait bias gone at least. gave 1g in cage after</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</si>
  <si>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</si>
  <si>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 xml:space="preserve">goals 4,1. all rewards received at 1. </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</si>
  <si>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</si>
  <si>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goals 2,7 got one goal at each. more lockouts later in session as frustration increases. poops look much healthier</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</si>
  <si>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</si>
  <si>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much better!! goals 3,4 (all received at 3), the 2,1 mostly goes to 1 then 1,5 stays at 1. got half an hour extra, was just napping in 2</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</si>
  <si>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500-1000 ms</t>
    </r>
    <r>
      <rPr>
        <rFont val="Arial"/>
        <color theme="1"/>
      </rPr>
      <t>.</t>
    </r>
  </si>
  <si>
    <t xml:space="preserve">goals 8,7 mostly visiting 8, then 3,2 getting reward at both </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</si>
  <si>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1000-1500 ms</t>
    </r>
    <r>
      <rPr>
        <rFont val="Arial"/>
        <color theme="1"/>
      </rPr>
      <t>.</t>
    </r>
  </si>
  <si>
    <t>goals: 1,4. 2,6, 4,5. repeating almost exclusively at 1 and 2. did so well, such few lockouts, increased delay doesnt seem to have that much of an impact.</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</si>
  <si>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1000-1500 ms</t>
    </r>
    <r>
      <rPr>
        <rFont val="Arial"/>
        <color theme="1"/>
      </rPr>
      <t>.</t>
    </r>
  </si>
  <si>
    <t>goals: 8,3. 4,3. 1,6. super motivated! but sooo many other counts. repeated a ton on 3.</t>
  </si>
  <si>
    <r>
      <rPr>
        <rFont val="Arial"/>
        <color theme="1"/>
      </rPr>
      <t>hybrid, 2</t>
    </r>
    <r>
      <rPr>
        <rFont val="Arial"/>
        <b/>
        <color theme="1"/>
      </rPr>
      <t xml:space="preserve"> outers</t>
    </r>
    <r>
      <rPr>
        <rFont val="Arial"/>
        <color theme="1"/>
      </rPr>
      <t xml:space="preserve"> rewarded, 15 outerreps. 20 s lockout. 1 s white noise delay </t>
    </r>
    <r>
      <rPr>
        <rFont val="Arial"/>
        <b/>
        <color theme="1"/>
      </rPr>
      <t>1000-1500 ms</t>
    </r>
    <r>
      <rPr>
        <rFont val="Arial"/>
        <color theme="1"/>
      </rPr>
      <t>.</t>
    </r>
  </si>
  <si>
    <t>goals: 5,7. 6,8. 7,2. still doing super well, mostly going to 7. lots of motivation!</t>
  </si>
  <si>
    <r>
      <rPr>
        <rFont val="Arial"/>
        <b/>
        <color theme="1"/>
      </rPr>
      <t>Goal! 1 outer</t>
    </r>
    <r>
      <rPr>
        <rFont val="Arial"/>
        <color theme="1"/>
      </rPr>
      <t xml:space="preserve"> rewarded, 15 outerreps. 20 s lockout. 1 s white noise </t>
    </r>
    <r>
      <rPr>
        <rFont val="Arial"/>
        <b/>
        <color theme="1"/>
      </rPr>
      <t>delay 1000-2000 ms</t>
    </r>
    <r>
      <rPr>
        <rFont val="Arial"/>
        <color theme="1"/>
      </rPr>
      <t xml:space="preserve">, </t>
    </r>
    <r>
      <rPr>
        <rFont val="Arial"/>
        <i/>
        <color theme="1"/>
      </rPr>
      <t>forageassist 3</t>
    </r>
  </si>
  <si>
    <t>goals: 8,7, 6 better ratio of goals to other, no problem with delay at all. got one reward at 6 and t hen just stayed and napped</t>
  </si>
  <si>
    <r>
      <rPr>
        <rFont val="Arial"/>
        <b/>
        <color theme="1"/>
      </rPr>
      <t>Goal! 1 outer</t>
    </r>
    <r>
      <rPr>
        <rFont val="Arial"/>
        <color theme="1"/>
      </rPr>
      <t xml:space="preserve"> rewarded, 15 outerreps. 20 s lockout. 1 s white noise </t>
    </r>
    <r>
      <rPr>
        <rFont val="Arial"/>
        <b/>
        <color theme="1"/>
      </rPr>
      <t>delay 1000-2000 ms</t>
    </r>
    <r>
      <rPr>
        <rFont val="Arial"/>
        <color theme="1"/>
      </rPr>
      <t xml:space="preserve">, </t>
    </r>
    <r>
      <rPr>
        <rFont val="Arial"/>
        <i/>
        <color theme="1"/>
      </rPr>
      <t>forageassist 3</t>
    </r>
  </si>
  <si>
    <t>goals: 1,2,4. oops 8 mins over! goal became 4. didnt even finish contingency! soooo many outers. needs to work on that repeating!</t>
  </si>
  <si>
    <r>
      <rPr>
        <rFont val="Arial"/>
        <b/>
        <color theme="1"/>
      </rPr>
      <t>Goal! 1 outer</t>
    </r>
    <r>
      <rPr>
        <rFont val="Arial"/>
        <color theme="1"/>
      </rPr>
      <t xml:space="preserve"> rewarded, 15 outerreps. 20 s lockout. 1 s white noise </t>
    </r>
    <r>
      <rPr>
        <rFont val="Arial"/>
        <b/>
        <color theme="1"/>
      </rPr>
      <t>delay 1000-2000 ms</t>
    </r>
    <r>
      <rPr>
        <rFont val="Arial"/>
        <color theme="1"/>
      </rPr>
      <t xml:space="preserve">, </t>
    </r>
    <r>
      <rPr>
        <rFont val="Arial"/>
        <i/>
        <color theme="1"/>
      </rPr>
      <t>forageassist 3</t>
    </r>
  </si>
  <si>
    <t>goals: 6,2,7. goal was 2 and then 6. too many outers!</t>
  </si>
  <si>
    <r>
      <rPr>
        <rFont val="Arial"/>
        <b/>
        <color theme="1"/>
      </rPr>
      <t>Goal! 1 outer</t>
    </r>
    <r>
      <rPr>
        <rFont val="Arial"/>
        <color theme="1"/>
      </rPr>
      <t xml:space="preserve"> rewarded, 15 outerreps. 20 s lockout. 1 s white noise </t>
    </r>
    <r>
      <rPr>
        <rFont val="Arial"/>
        <b/>
        <color theme="1"/>
      </rPr>
      <t>delay 1000-2000 ms</t>
    </r>
    <r>
      <rPr>
        <rFont val="Arial"/>
        <color theme="1"/>
      </rPr>
      <t xml:space="preserve">, </t>
    </r>
    <r>
      <rPr>
        <rFont val="Arial"/>
        <i/>
        <color theme="1"/>
      </rPr>
      <t>forageassist 3</t>
    </r>
  </si>
  <si>
    <t>goals: 1,4,5. oops 12 mins over. goal was 5 and then 1. definitely trying! back to his normal amount of home boops. wayyyyyy too many other counts though. still needs to learn the reptition.  his lockouts are still low, so gold star for that!</t>
  </si>
  <si>
    <r>
      <rPr>
        <rFont val="Arial"/>
        <b/>
        <color theme="1"/>
      </rPr>
      <t>Goal! 1 outer</t>
    </r>
    <r>
      <rPr>
        <rFont val="Arial"/>
        <color theme="1"/>
      </rPr>
      <t xml:space="preserve"> rewarded, 15 outerreps. 20 s lockout. 1 s white noise </t>
    </r>
    <r>
      <rPr>
        <rFont val="Arial"/>
        <b/>
        <color theme="1"/>
      </rPr>
      <t>delay 1000-3000 ms</t>
    </r>
    <r>
      <rPr>
        <rFont val="Arial"/>
        <color theme="1"/>
      </rPr>
      <t xml:space="preserve">, </t>
    </r>
    <r>
      <rPr>
        <rFont val="Arial"/>
        <i/>
        <color theme="1"/>
      </rPr>
      <t>forageassist 3</t>
    </r>
  </si>
  <si>
    <t>goals: 7,1,8. goal was 8 and then 4. doesnt seem to notice the increase in delay. still so many others! come on 20 you know what to do!</t>
  </si>
  <si>
    <r>
      <rPr>
        <rFont val="Arial"/>
        <b/>
        <color theme="1"/>
      </rPr>
      <t>Goal! 1 outer</t>
    </r>
    <r>
      <rPr>
        <rFont val="Arial"/>
        <color theme="1"/>
      </rPr>
      <t xml:space="preserve"> rewarded, 15 outerreps. 20 s lockout. 1 s white noise </t>
    </r>
    <r>
      <rPr>
        <rFont val="Arial"/>
        <b/>
        <color theme="1"/>
      </rPr>
      <t>delay 1000-3000 ms</t>
    </r>
    <r>
      <rPr>
        <rFont val="Arial"/>
        <color theme="1"/>
      </rPr>
      <t xml:space="preserve">, </t>
    </r>
    <r>
      <rPr>
        <rFont val="Arial"/>
        <i/>
        <color theme="1"/>
      </rPr>
      <t>forageassist 3</t>
    </r>
  </si>
  <si>
    <t>goals: 2,1,3. so few home boops, still not affected by delay, but not repeating enough. goal to other ratio is still bad. goal was 2 and then 5.</t>
  </si>
  <si>
    <r>
      <rPr>
        <rFont val="Arial"/>
        <b/>
        <color theme="1"/>
      </rPr>
      <t>Goal! 1 outer</t>
    </r>
    <r>
      <rPr>
        <rFont val="Arial"/>
        <color theme="1"/>
      </rPr>
      <t xml:space="preserve"> rewarded, 15 outerreps. 20 s lockout. 1 s white noise </t>
    </r>
    <r>
      <rPr>
        <rFont val="Arial"/>
        <b/>
        <color theme="1"/>
      </rPr>
      <t>delay 1000-3000 ms</t>
    </r>
    <r>
      <rPr>
        <rFont val="Arial"/>
        <color theme="1"/>
      </rPr>
      <t xml:space="preserve">, </t>
    </r>
    <r>
      <rPr>
        <rFont val="Arial"/>
        <i/>
        <color theme="1"/>
      </rPr>
      <t>forageassist 3</t>
    </r>
  </si>
  <si>
    <t>goals: 6,7,3. ramping up his activity as usual! 2 whole contingencies, way to go! still not feeling the impact of the delay at all. goal order: 6--&gt;3--&gt;8.</t>
  </si>
  <si>
    <r>
      <rPr>
        <rFont val="Arial"/>
        <b/>
        <color theme="1"/>
      </rPr>
      <t>Goal! 1 outer</t>
    </r>
    <r>
      <rPr>
        <rFont val="Arial"/>
        <color theme="1"/>
      </rPr>
      <t xml:space="preserve"> rewarded, 15 outerreps. 20 s lockout. 1 s white noise </t>
    </r>
    <r>
      <rPr>
        <rFont val="Arial"/>
        <b/>
        <color theme="1"/>
      </rPr>
      <t>delay 1000-3000 ms</t>
    </r>
    <r>
      <rPr>
        <rFont val="Arial"/>
        <color theme="1"/>
      </rPr>
      <t xml:space="preserve">, </t>
    </r>
    <r>
      <rPr>
        <rFont val="Arial"/>
        <i/>
        <color theme="1"/>
      </rPr>
      <t>forageassist 3</t>
    </r>
  </si>
  <si>
    <t>goals: 5,7,8. by mistake took him out before actually stopping the recording. record number of contingencies! did really well. goal order: 8--&gt;7--&gt;6.</t>
  </si>
  <si>
    <r>
      <rPr>
        <rFont val="Arial"/>
        <color theme="1"/>
      </rPr>
      <t xml:space="preserve">goal, 1 outer rewarded. </t>
    </r>
    <r>
      <rPr>
        <rFont val="Arial"/>
        <b/>
        <color theme="1"/>
      </rPr>
      <t>25 s lockout</t>
    </r>
    <r>
      <rPr>
        <rFont val="Arial"/>
        <color theme="1"/>
      </rPr>
      <t xml:space="preserve">. 1 s white noise </t>
    </r>
    <r>
      <rPr>
        <rFont val="Arial"/>
        <b/>
        <color theme="1"/>
      </rPr>
      <t>delay 1500-3500 ms forageassist2</t>
    </r>
  </si>
  <si>
    <t>goals: 6,2. oops 12 mins over! goal order: 2--&gt;6--&gt;5 did pertty well, doesnt seem to be affected by delay increase. better other to goal ratio, but lowish number of home boops (perhaps due to increase lockout time?)</t>
  </si>
  <si>
    <r>
      <rPr>
        <rFont val="Arial"/>
        <color theme="1"/>
      </rPr>
      <t xml:space="preserve">goal, 1 outer rewarded. </t>
    </r>
    <r>
      <rPr>
        <rFont val="Arial"/>
        <b/>
        <color theme="1"/>
      </rPr>
      <t>25 s lockout</t>
    </r>
    <r>
      <rPr>
        <rFont val="Arial"/>
        <color theme="1"/>
      </rPr>
      <t xml:space="preserve">. 1 s white noise </t>
    </r>
    <r>
      <rPr>
        <rFont val="Arial"/>
        <b/>
        <color theme="1"/>
      </rPr>
      <t>delay 2000-4000 ms forageassist2</t>
    </r>
  </si>
  <si>
    <t>goals: 3,4. low number of home counts, wonder why. very few lockouts. goal order: 4--&gt; 6.</t>
  </si>
  <si>
    <r>
      <rPr>
        <rFont val="Arial"/>
        <color theme="1"/>
      </rPr>
      <t xml:space="preserve">goal, 1 outer rewarded. </t>
    </r>
    <r>
      <rPr>
        <rFont val="Arial"/>
        <b/>
        <color theme="1"/>
      </rPr>
      <t>25 s lockout</t>
    </r>
    <r>
      <rPr>
        <rFont val="Arial"/>
        <color theme="1"/>
      </rPr>
      <t xml:space="preserve">. 1 s white noise </t>
    </r>
    <r>
      <rPr>
        <rFont val="Arial"/>
        <b/>
        <color theme="1"/>
      </rPr>
      <t>delay 2000-4000 ms forageassist2</t>
    </r>
  </si>
  <si>
    <t>goals: 1,7. oops 7 mins over. and back to a high home count! did super well! more lockout3 than usual but 3 contingencies and less other counts! woohoo! goal order: 1--&gt;8--&gt;4.</t>
  </si>
  <si>
    <r>
      <rPr>
        <rFont val="Arial"/>
        <color theme="1"/>
      </rPr>
      <t xml:space="preserve">goal, 1 outer rewarded. </t>
    </r>
    <r>
      <rPr>
        <rFont val="Arial"/>
        <b/>
        <color theme="1"/>
      </rPr>
      <t>25 s lockout</t>
    </r>
    <r>
      <rPr>
        <rFont val="Arial"/>
        <color theme="1"/>
      </rPr>
      <t xml:space="preserve">. 1 s white noise </t>
    </r>
    <r>
      <rPr>
        <rFont val="Arial"/>
        <b/>
        <color theme="1"/>
      </rPr>
      <t>delay 2000-4000 ms forageassist2</t>
    </r>
  </si>
  <si>
    <t>goals: 3,5. more lockouts than typical, but also last run of a full day. less goals than we would have hoped for, but still motivated. goal order: 5--&gt;2.</t>
  </si>
  <si>
    <t>Function</t>
  </si>
  <si>
    <t>Parameter</t>
  </si>
  <si>
    <t>Script</t>
  </si>
  <si>
    <t>Lines</t>
  </si>
  <si>
    <t>Steps</t>
  </si>
  <si>
    <t>Arguments</t>
  </si>
  <si>
    <t>Linked Parameters</t>
  </si>
  <si>
    <t>Language</t>
  </si>
  <si>
    <t>Lockout Length</t>
  </si>
  <si>
    <t>lockoutPeriod</t>
  </si>
  <si>
    <t>V8pre_delay_locknoise_newBB_debug.sc</t>
  </si>
  <si>
    <t>int in ms</t>
  </si>
  <si>
    <t>StateScript</t>
  </si>
  <si>
    <t>Centerwell  Delay Length</t>
  </si>
  <si>
    <t>waitdist</t>
  </si>
  <si>
    <t>V8pre_hybrid_locknoise_forageassist_newBB.py</t>
  </si>
  <si>
    <t>list of ints in ms</t>
  </si>
  <si>
    <t>Python</t>
  </si>
  <si>
    <t># Outer Arms Rewarded</t>
  </si>
  <si>
    <t>numgoals</t>
  </si>
  <si>
    <t>int 1-8</t>
  </si>
  <si>
    <t>Excluding Reward Arms</t>
  </si>
  <si>
    <t>validOuterWells</t>
  </si>
  <si>
    <t>191, 377</t>
  </si>
  <si>
    <t>if line 191 is commented out (and 192 is not), then the valid outer options will only be enforced for the first contingency, not subsequent ones. note that the numgoals must be &gt;= the number of validouter wells</t>
  </si>
  <si>
    <t>list of well # 1-8</t>
  </si>
  <si>
    <t>numgoals &gt;= 2</t>
  </si>
  <si>
    <t>Forage Assist</t>
  </si>
  <si>
    <t>forageNum</t>
  </si>
  <si>
    <t>int 1-8 (usually 1-3)</t>
  </si>
  <si>
    <t>numgoals = 1</t>
  </si>
  <si>
    <t>Outer Arm Repetition #</t>
  </si>
  <si>
    <t>outerReps</t>
  </si>
  <si>
    <t>int (default=15)</t>
  </si>
  <si>
    <t>Outer Arm Rep Variability</t>
  </si>
  <si>
    <t>230, 388</t>
  </si>
  <si>
    <t>Comment out line 387 and uncomment lines 388 and 230</t>
  </si>
  <si>
    <t>N/A</t>
  </si>
  <si>
    <t>Center Well Choice Bias</t>
  </si>
  <si>
    <t>opts, randnum</t>
  </si>
  <si>
    <t>60, 61</t>
  </si>
  <si>
    <t>change proportion of 1s and 2s to desired fraction AND change the last parameter of randint on line 61 to match the length of the opts vector.  ie opts=[1,1,2] and randnum=np.random.randint(0,3) would give you a 2:1 rip:wait bias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</si>
</sst>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m/d/yy"/>
    <numFmt numFmtId="166" formatCode="mm/dd/yyyy"/>
    <numFmt numFmtId="167" formatCode="mm/dd/yy"/>
  </numFmts>
  <fonts count="11">
    <font>
      <sz val="10.0"/>
      <color rgb="FF000000"/>
      <name val="Arial"/>
      <scheme val="minor"/>
    </font>
    <font>
      <b/>
      <color theme="1"/>
      <name val="Arial"/>
    </font>
    <font>
      <color theme="1"/>
      <name val="Arial"/>
    </font>
    <font>
      <color rgb="FF000000"/>
      <name val="Arial"/>
    </font>
    <font>
      <b/>
      <color rgb="FF000000"/>
      <name val="Arial"/>
    </font>
    <font>
      <b/>
      <sz val="18.0"/>
      <color rgb="FFFF0000"/>
      <name val="Arial"/>
    </font>
    <font>
      <b/>
      <sz val="18.0"/>
      <color rgb="FF000000"/>
      <name val="Arial"/>
    </font>
    <font>
      <b/>
      <sz val="18.0"/>
      <color rgb="FF34A853"/>
      <name val="Arial"/>
    </font>
    <font>
      <b/>
      <sz val="18.0"/>
      <color rgb="FF0000FF"/>
      <name val="Arial"/>
    </font>
    <font>
      <b/>
      <color rgb="FFFF0000"/>
      <name val="Arial"/>
    </font>
    <font>
      <u/>
      <color rgb="FF1155CC"/>
    </font>
  </fonts>
  <fills count="36">
    <fill>
      <patternFill patternType="none"/>
    </fill>
    <fill>
      <patternFill patternType="lightGray"/>
    </fill>
    <fill>
      <patternFill patternType="solid">
        <fgColor rgb="FF6AA84F"/>
        <bgColor rgb="FF6AA84F"/>
      </patternFill>
    </fill>
    <fill>
      <patternFill patternType="solid">
        <fgColor rgb="FFEAD1DC"/>
        <bgColor rgb="FFEAD1DC"/>
      </patternFill>
    </fill>
    <fill>
      <patternFill patternType="solid">
        <fgColor rgb="FFD5A6BD"/>
        <bgColor rgb="FFD5A6BD"/>
      </patternFill>
    </fill>
    <fill>
      <patternFill patternType="solid">
        <fgColor rgb="FFA64D79"/>
        <bgColor rgb="FFA64D79"/>
      </patternFill>
    </fill>
    <fill>
      <patternFill patternType="solid">
        <fgColor rgb="FFF6B26B"/>
        <bgColor rgb="FFF6B26B"/>
      </patternFill>
    </fill>
    <fill>
      <patternFill patternType="solid">
        <fgColor rgb="FFDD7E6B"/>
        <bgColor rgb="FFDD7E6B"/>
      </patternFill>
    </fill>
    <fill>
      <patternFill patternType="solid">
        <fgColor rgb="FFB6D7A8"/>
        <bgColor rgb="FFB6D7A8"/>
      </patternFill>
    </fill>
    <fill>
      <patternFill patternType="solid">
        <fgColor rgb="FFB4A7D6"/>
        <bgColor rgb="FFB4A7D6"/>
      </patternFill>
    </fill>
    <fill>
      <patternFill patternType="solid">
        <fgColor rgb="FF9FC5E8"/>
        <bgColor rgb="FF9FC5E8"/>
      </patternFill>
    </fill>
    <fill>
      <patternFill patternType="solid">
        <fgColor rgb="FFCCCCCC"/>
        <bgColor rgb="FFCCCCCC"/>
      </patternFill>
    </fill>
    <fill>
      <patternFill patternType="solid">
        <fgColor rgb="FFE6B8AF"/>
        <bgColor rgb="FFE6B8AF"/>
      </patternFill>
    </fill>
    <fill>
      <patternFill patternType="solid">
        <fgColor rgb="FF6FA8DC"/>
        <bgColor rgb="FF6FA8DC"/>
      </patternFill>
    </fill>
    <fill>
      <patternFill patternType="solid">
        <fgColor rgb="FFD9D9D9"/>
        <bgColor rgb="FFD9D9D9"/>
      </patternFill>
    </fill>
    <fill>
      <patternFill patternType="solid">
        <fgColor rgb="FFB7B7B7"/>
        <bgColor rgb="FFB7B7B7"/>
      </patternFill>
    </fill>
    <fill>
      <patternFill patternType="solid">
        <fgColor rgb="FFF4CCCC"/>
        <bgColor rgb="FFF4CCCC"/>
      </patternFill>
    </fill>
    <fill>
      <patternFill patternType="solid">
        <fgColor rgb="FFD9EAD3"/>
        <bgColor rgb="FFD9EAD3"/>
      </patternFill>
    </fill>
    <fill>
      <patternFill patternType="solid">
        <fgColor rgb="FF6D9EEB"/>
        <bgColor rgb="FF6D9EEB"/>
      </patternFill>
    </fill>
    <fill>
      <patternFill patternType="solid">
        <fgColor rgb="FFEA9999"/>
        <bgColor rgb="FFEA9999"/>
      </patternFill>
    </fill>
    <fill>
      <patternFill patternType="solid">
        <fgColor rgb="FFFFE599"/>
        <bgColor rgb="FFFFE599"/>
      </patternFill>
    </fill>
    <fill>
      <patternFill patternType="solid">
        <fgColor rgb="FFA4C2F4"/>
        <bgColor rgb="FFA4C2F4"/>
      </patternFill>
    </fill>
    <fill>
      <patternFill patternType="solid">
        <fgColor rgb="FFFFFF00"/>
        <bgColor rgb="FFFFFF00"/>
      </patternFill>
    </fill>
    <fill>
      <patternFill patternType="solid">
        <fgColor rgb="FFFFFFFF"/>
        <bgColor rgb="FFFFFFFF"/>
      </patternFill>
    </fill>
    <fill>
      <patternFill patternType="solid">
        <fgColor rgb="FFD9D2E9"/>
        <bgColor rgb="FFD9D2E9"/>
      </patternFill>
    </fill>
    <fill>
      <patternFill patternType="solid">
        <fgColor rgb="FF00FFFF"/>
        <bgColor rgb="FF00FFFF"/>
      </patternFill>
    </fill>
    <fill>
      <patternFill patternType="solid">
        <fgColor rgb="FFC9DAF8"/>
        <bgColor rgb="FFC9DAF8"/>
      </patternFill>
    </fill>
    <fill>
      <patternFill patternType="solid">
        <fgColor rgb="FFFCE5CD"/>
        <bgColor rgb="FFFCE5CD"/>
      </patternFill>
    </fill>
    <fill>
      <patternFill patternType="solid">
        <fgColor rgb="FF93C47D"/>
        <bgColor rgb="FF93C47D"/>
      </patternFill>
    </fill>
    <fill>
      <patternFill patternType="solid">
        <fgColor rgb="FFCFE2F3"/>
        <bgColor rgb="FFCFE2F3"/>
      </patternFill>
    </fill>
    <fill>
      <patternFill patternType="solid">
        <fgColor rgb="FF999999"/>
        <bgColor rgb="FF999999"/>
      </patternFill>
    </fill>
    <fill>
      <patternFill patternType="solid">
        <fgColor rgb="FFFF0000"/>
        <bgColor rgb="FFFF0000"/>
      </patternFill>
    </fill>
    <fill>
      <patternFill patternType="solid">
        <fgColor rgb="FFC27BA0"/>
        <bgColor rgb="FFC27BA0"/>
      </patternFill>
    </fill>
    <fill>
      <patternFill patternType="solid">
        <fgColor rgb="FFEFEFEF"/>
        <bgColor rgb="FFEFEFEF"/>
      </patternFill>
    </fill>
    <fill>
      <patternFill patternType="solid">
        <fgColor rgb="FFFF00FF"/>
        <bgColor rgb="FFFF00FF"/>
      </patternFill>
    </fill>
    <fill>
      <patternFill patternType="solid">
        <fgColor rgb="FFFFD966"/>
        <bgColor rgb="FFFFD966"/>
      </patternFill>
    </fill>
  </fills>
  <borders count="17">
    <border/>
    <border>
      <bottom style="thin">
        <color rgb="FF000000"/>
      </bottom>
    </border>
    <border>
      <right style="thin">
        <color rgb="FF000000"/>
      </right>
      <bottom style="thin">
        <color rgb="FF000000"/>
      </bottom>
    </border>
    <border>
      <right style="thin">
        <color rgb="FF000000"/>
      </right>
    </border>
    <border>
      <left style="thin">
        <color rgb="FF000000"/>
      </left>
      <right style="thick">
        <color rgb="FF000000"/>
      </right>
      <top style="thin">
        <color rgb="FF000000"/>
      </top>
      <bottom style="thin">
        <color rgb="FF000000"/>
      </bottom>
    </border>
    <border>
      <right style="thick">
        <color rgb="FF000000"/>
      </right>
      <top style="thin">
        <color rgb="FF000000"/>
      </top>
      <bottom style="thin">
        <color rgb="FF000000"/>
      </bottom>
    </border>
    <border>
      <right style="thick">
        <color rgb="FF000000"/>
      </right>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rder>
    <border>
      <right style="thick">
        <color rgb="FF000000"/>
      </right>
      <bottom style="thin">
        <color rgb="FF000000"/>
      </bottom>
    </border>
    <border>
      <right style="thick">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bottom style="thick">
        <color rgb="FF000000"/>
      </bottom>
    </border>
    <border>
      <left style="thin">
        <color rgb="FF000000"/>
      </left>
      <bottom style="thin">
        <color rgb="FF000000"/>
      </bottom>
    </border>
  </borders>
  <cellStyleXfs count="1">
    <xf borderId="0" fillId="0" fontId="0" numFmtId="0" applyAlignment="1" applyFont="1"/>
  </cellStyleXfs>
  <cellXfs count="242">
    <xf borderId="0" fillId="0" fontId="0" numFmtId="0" xfId="0" applyAlignment="1" applyFont="1">
      <alignment readingOrder="0" shrinkToFit="0" vertical="bottom" wrapText="0"/>
    </xf>
    <xf borderId="1" fillId="0" fontId="1" numFmtId="0" xfId="0" applyAlignment="1" applyBorder="1" applyFont="1">
      <alignment shrinkToFit="0" wrapText="1"/>
    </xf>
    <xf borderId="1" fillId="2" fontId="1" numFmtId="0" xfId="0" applyAlignment="1" applyBorder="1" applyFill="1" applyFont="1">
      <alignment shrinkToFit="0" wrapText="1"/>
    </xf>
    <xf borderId="1" fillId="3" fontId="1" numFmtId="0" xfId="0" applyAlignment="1" applyBorder="1" applyFill="1" applyFont="1">
      <alignment shrinkToFit="0" wrapText="1"/>
    </xf>
    <xf borderId="2" fillId="4" fontId="1" numFmtId="0" xfId="0" applyAlignment="1" applyBorder="1" applyFill="1" applyFont="1">
      <alignment shrinkToFit="0" wrapText="1"/>
    </xf>
    <xf borderId="1" fillId="5" fontId="1" numFmtId="0" xfId="0" applyAlignment="1" applyBorder="1" applyFill="1" applyFont="1">
      <alignment shrinkToFit="0" wrapText="1"/>
    </xf>
    <xf borderId="2" fillId="5" fontId="1" numFmtId="0" xfId="0" applyAlignment="1" applyBorder="1" applyFont="1">
      <alignment shrinkToFit="0" wrapText="1"/>
    </xf>
    <xf borderId="1" fillId="6" fontId="1" numFmtId="0" xfId="0" applyAlignment="1" applyBorder="1" applyFill="1" applyFont="1">
      <alignment shrinkToFit="0" wrapText="1"/>
    </xf>
    <xf borderId="1" fillId="7" fontId="1" numFmtId="0" xfId="0" applyAlignment="1" applyBorder="1" applyFill="1" applyFont="1">
      <alignment shrinkToFit="0" wrapText="1"/>
    </xf>
    <xf borderId="1" fillId="0" fontId="1" numFmtId="0" xfId="0" applyAlignment="1" applyBorder="1" applyFont="1">
      <alignment horizontal="center"/>
    </xf>
    <xf borderId="0" fillId="0" fontId="2" numFmtId="0" xfId="0" applyAlignment="1" applyFont="1">
      <alignment shrinkToFit="0" wrapText="1"/>
    </xf>
    <xf borderId="0" fillId="0" fontId="2" numFmtId="0" xfId="0" applyAlignment="1" applyFont="1">
      <alignment horizontal="center" shrinkToFit="0" vertical="center" wrapText="1"/>
    </xf>
    <xf borderId="3" fillId="0" fontId="2" numFmtId="0" xfId="0" applyAlignment="1" applyBorder="1" applyFont="1">
      <alignment horizontal="center" shrinkToFit="0" vertical="center" wrapText="1"/>
    </xf>
    <xf borderId="0" fillId="0" fontId="2" numFmtId="0" xfId="0" applyFont="1"/>
    <xf borderId="1" fillId="0" fontId="2" numFmtId="0" xfId="0" applyAlignment="1" applyBorder="1" applyFont="1">
      <alignment shrinkToFit="0" wrapText="1"/>
    </xf>
    <xf borderId="1" fillId="0" fontId="2" numFmtId="0" xfId="0" applyAlignment="1" applyBorder="1" applyFont="1">
      <alignment horizontal="center" shrinkToFit="0" vertical="center" wrapText="1"/>
    </xf>
    <xf borderId="2" fillId="0" fontId="2" numFmtId="0" xfId="0" applyAlignment="1" applyBorder="1" applyFont="1">
      <alignment horizontal="center" shrinkToFit="0" vertical="center" wrapText="1"/>
    </xf>
    <xf borderId="0" fillId="0" fontId="2" numFmtId="0" xfId="0" applyAlignment="1" applyFont="1">
      <alignment horizontal="center" shrinkToFit="0" wrapText="1"/>
    </xf>
    <xf borderId="3" fillId="0" fontId="2" numFmtId="0" xfId="0" applyAlignment="1" applyBorder="1" applyFont="1">
      <alignment horizontal="center" shrinkToFit="0" wrapText="1"/>
    </xf>
    <xf borderId="3" fillId="0" fontId="2" numFmtId="0" xfId="0" applyAlignment="1" applyBorder="1" applyFont="1">
      <alignment shrinkToFit="0" wrapText="1"/>
    </xf>
    <xf borderId="0" fillId="0" fontId="2" numFmtId="0" xfId="0" applyAlignment="1" applyFont="1">
      <alignment shrinkToFit="0" vertical="bottom" wrapText="1"/>
    </xf>
    <xf borderId="0" fillId="0" fontId="2" numFmtId="0" xfId="0" applyAlignment="1" applyFont="1">
      <alignment horizontal="right" shrinkToFit="0" vertical="bottom" wrapText="1"/>
    </xf>
    <xf borderId="0" fillId="0" fontId="2" numFmtId="2" xfId="0" applyAlignment="1" applyFont="1" applyNumberFormat="1">
      <alignment horizontal="right" shrinkToFit="0" vertical="bottom" wrapText="1"/>
    </xf>
    <xf borderId="0" fillId="0" fontId="2" numFmtId="2" xfId="0" applyAlignment="1" applyFont="1" applyNumberFormat="1">
      <alignment shrinkToFit="0" vertical="bottom" wrapText="1"/>
    </xf>
    <xf borderId="0" fillId="0" fontId="2" numFmtId="164" xfId="0" applyAlignment="1" applyFont="1" applyNumberFormat="1">
      <alignment shrinkToFit="0" wrapText="1"/>
    </xf>
    <xf borderId="0" fillId="0" fontId="2" numFmtId="20" xfId="0" applyAlignment="1" applyFont="1" applyNumberFormat="1">
      <alignment shrinkToFit="0" wrapText="1"/>
    </xf>
    <xf borderId="0" fillId="8" fontId="2" numFmtId="0" xfId="0" applyAlignment="1" applyFill="1" applyFont="1">
      <alignment shrinkToFit="0" vertical="bottom" wrapText="1"/>
    </xf>
    <xf borderId="0" fillId="0" fontId="2" numFmtId="165" xfId="0" applyAlignment="1" applyFont="1" applyNumberFormat="1">
      <alignment shrinkToFit="0" wrapText="1"/>
    </xf>
    <xf borderId="0" fillId="0" fontId="2" numFmtId="20" xfId="0" applyFont="1" applyNumberFormat="1"/>
    <xf borderId="0" fillId="0" fontId="2" numFmtId="164" xfId="0" applyFont="1" applyNumberFormat="1"/>
    <xf borderId="0" fillId="0" fontId="2" numFmtId="165" xfId="0" applyFont="1" applyNumberFormat="1"/>
    <xf borderId="0" fillId="0" fontId="3" numFmtId="0" xfId="0" applyAlignment="1" applyFont="1">
      <alignment shrinkToFit="0" wrapText="1"/>
    </xf>
    <xf borderId="0" fillId="0" fontId="4" numFmtId="0" xfId="0" applyAlignment="1" applyFont="1">
      <alignment shrinkToFit="0" wrapText="1"/>
    </xf>
    <xf borderId="0" fillId="0" fontId="2" numFmtId="166" xfId="0" applyAlignment="1" applyFont="1" applyNumberFormat="1">
      <alignment shrinkToFit="0" wrapText="1"/>
    </xf>
    <xf borderId="0" fillId="9" fontId="2" numFmtId="0" xfId="0" applyAlignment="1" applyFill="1" applyFont="1">
      <alignment shrinkToFit="0" vertical="bottom" wrapText="1"/>
    </xf>
    <xf borderId="4" fillId="0" fontId="2" numFmtId="0" xfId="0" applyAlignment="1" applyBorder="1" applyFont="1">
      <alignment horizontal="center" shrinkToFit="0" vertical="bottom" wrapText="1"/>
    </xf>
    <xf borderId="5" fillId="0" fontId="2" numFmtId="0" xfId="0" applyAlignment="1" applyBorder="1" applyFont="1">
      <alignment shrinkToFit="0" vertical="bottom" wrapText="1"/>
    </xf>
    <xf borderId="0" fillId="8" fontId="3" numFmtId="0" xfId="0" applyAlignment="1" applyFont="1">
      <alignment horizontal="center" shrinkToFit="0" vertical="bottom" wrapText="1"/>
    </xf>
    <xf borderId="0" fillId="10" fontId="3" numFmtId="0" xfId="0" applyAlignment="1" applyFill="1" applyFont="1">
      <alignment horizontal="center" shrinkToFit="0" vertical="bottom" wrapText="1"/>
    </xf>
    <xf borderId="0" fillId="9" fontId="3" numFmtId="0" xfId="0" applyAlignment="1" applyFont="1">
      <alignment horizontal="center" shrinkToFit="0" vertical="bottom" wrapText="1"/>
    </xf>
    <xf borderId="0" fillId="11" fontId="2" numFmtId="0" xfId="0" applyAlignment="1" applyFill="1" applyFont="1">
      <alignment shrinkToFit="0" vertical="bottom" wrapText="1"/>
    </xf>
    <xf borderId="0" fillId="0" fontId="4" numFmtId="0" xfId="0" applyAlignment="1" applyFont="1">
      <alignment horizontal="center" shrinkToFit="0" vertical="bottom" wrapText="1"/>
    </xf>
    <xf borderId="6" fillId="0" fontId="2" numFmtId="0" xfId="0" applyAlignment="1" applyBorder="1" applyFont="1">
      <alignment shrinkToFit="0" vertical="bottom" wrapText="1"/>
    </xf>
    <xf borderId="0" fillId="12" fontId="2" numFmtId="0" xfId="0" applyAlignment="1" applyFill="1" applyFont="1">
      <alignment shrinkToFit="0" vertical="bottom" wrapText="1"/>
    </xf>
    <xf borderId="6" fillId="11" fontId="2" numFmtId="0" xfId="0" applyAlignment="1" applyBorder="1" applyFont="1">
      <alignment shrinkToFit="0" vertical="bottom" wrapText="1"/>
    </xf>
    <xf borderId="5" fillId="0" fontId="3" numFmtId="0" xfId="0" applyAlignment="1" applyBorder="1" applyFont="1">
      <alignment horizontal="center" shrinkToFit="0" vertical="bottom" wrapText="1"/>
    </xf>
    <xf borderId="0" fillId="0" fontId="3" numFmtId="0" xfId="0" applyAlignment="1" applyFont="1">
      <alignment horizontal="center" shrinkToFit="0" vertical="bottom" wrapText="1"/>
    </xf>
    <xf borderId="0" fillId="11" fontId="3" numFmtId="0" xfId="0" applyAlignment="1" applyFont="1">
      <alignment horizontal="center" shrinkToFit="0" vertical="bottom" wrapText="1"/>
    </xf>
    <xf borderId="0" fillId="0" fontId="2" numFmtId="49" xfId="0" applyAlignment="1" applyFont="1" applyNumberFormat="1">
      <alignment shrinkToFit="0" vertical="bottom" wrapText="1"/>
    </xf>
    <xf borderId="0" fillId="0" fontId="2" numFmtId="0" xfId="0" applyAlignment="1" applyFont="1">
      <alignment horizontal="center" shrinkToFit="0" vertical="bottom" wrapText="1"/>
    </xf>
    <xf borderId="6" fillId="0" fontId="2" numFmtId="49" xfId="0" applyAlignment="1" applyBorder="1" applyFont="1" applyNumberFormat="1">
      <alignment shrinkToFit="0" vertical="bottom" wrapText="1"/>
    </xf>
    <xf borderId="6" fillId="11" fontId="3" numFmtId="0" xfId="0" applyAlignment="1" applyBorder="1" applyFont="1">
      <alignment horizontal="center" shrinkToFit="0" vertical="bottom" wrapText="1"/>
    </xf>
    <xf borderId="0" fillId="0" fontId="3" numFmtId="0" xfId="0" applyAlignment="1" applyFont="1">
      <alignment horizontal="center" readingOrder="0" shrinkToFit="0" vertical="bottom" wrapText="1"/>
    </xf>
    <xf borderId="7" fillId="0" fontId="5" numFmtId="0" xfId="0" applyAlignment="1" applyBorder="1" applyFont="1">
      <alignment horizontal="center" shrinkToFit="0" vertical="bottom" wrapText="1"/>
    </xf>
    <xf borderId="8" fillId="0" fontId="6" numFmtId="0" xfId="0" applyAlignment="1" applyBorder="1" applyFont="1">
      <alignment horizontal="center" shrinkToFit="0" vertical="bottom" wrapText="1"/>
    </xf>
    <xf borderId="8" fillId="0" fontId="7" numFmtId="0" xfId="0" applyAlignment="1" applyBorder="1" applyFont="1">
      <alignment horizontal="center" shrinkToFit="0" vertical="bottom" wrapText="1"/>
    </xf>
    <xf borderId="8" fillId="0" fontId="8" numFmtId="0" xfId="0" applyAlignment="1" applyBorder="1" applyFont="1">
      <alignment horizontal="center" shrinkToFit="0" vertical="bottom" wrapText="1"/>
    </xf>
    <xf borderId="8" fillId="11" fontId="6" numFmtId="0" xfId="0" applyAlignment="1" applyBorder="1" applyFont="1">
      <alignment horizontal="center" shrinkToFit="0" vertical="bottom" wrapText="1"/>
    </xf>
    <xf borderId="8" fillId="0" fontId="5" numFmtId="0" xfId="0" applyAlignment="1" applyBorder="1" applyFont="1">
      <alignment horizontal="center" shrinkToFit="0" vertical="bottom" wrapText="1"/>
    </xf>
    <xf borderId="4" fillId="0" fontId="8" numFmtId="49" xfId="0" applyAlignment="1" applyBorder="1" applyFont="1" applyNumberFormat="1">
      <alignment horizontal="center" shrinkToFit="0" vertical="bottom" wrapText="1"/>
    </xf>
    <xf borderId="7" fillId="0" fontId="5" numFmtId="49" xfId="0" applyAlignment="1" applyBorder="1" applyFont="1" applyNumberFormat="1">
      <alignment horizontal="center" shrinkToFit="0" vertical="bottom" wrapText="1"/>
    </xf>
    <xf borderId="8" fillId="0" fontId="6" numFmtId="49" xfId="0" applyAlignment="1" applyBorder="1" applyFont="1" applyNumberFormat="1">
      <alignment horizontal="center" shrinkToFit="0" vertical="bottom" wrapText="1"/>
    </xf>
    <xf borderId="4" fillId="0" fontId="8" numFmtId="0" xfId="0" applyAlignment="1" applyBorder="1" applyFont="1">
      <alignment horizontal="center" shrinkToFit="0" vertical="bottom" wrapText="1"/>
    </xf>
    <xf borderId="8" fillId="12" fontId="6" numFmtId="0" xfId="0" applyAlignment="1" applyBorder="1" applyFont="1">
      <alignment horizontal="center" shrinkToFit="0" vertical="bottom" wrapText="1"/>
    </xf>
    <xf borderId="8" fillId="11" fontId="5" numFmtId="0" xfId="0" applyAlignment="1" applyBorder="1" applyFont="1">
      <alignment horizontal="center" shrinkToFit="0" vertical="bottom" wrapText="1"/>
    </xf>
    <xf borderId="9" fillId="0" fontId="6" numFmtId="0" xfId="0" applyAlignment="1" applyBorder="1" applyFont="1">
      <alignment horizontal="center" shrinkToFit="0" vertical="bottom" wrapText="1"/>
    </xf>
    <xf borderId="4" fillId="11" fontId="8" numFmtId="0" xfId="0" applyAlignment="1" applyBorder="1" applyFont="1">
      <alignment horizontal="center" shrinkToFit="0" vertical="bottom" wrapText="1"/>
    </xf>
    <xf borderId="6" fillId="0" fontId="2" numFmtId="165" xfId="0" applyAlignment="1" applyBorder="1" applyFont="1" applyNumberFormat="1">
      <alignment horizontal="center" shrinkToFit="0" wrapText="1"/>
    </xf>
    <xf borderId="6" fillId="0" fontId="2" numFmtId="0" xfId="0" applyAlignment="1" applyBorder="1" applyFont="1">
      <alignment shrinkToFit="0" wrapText="1"/>
    </xf>
    <xf borderId="0" fillId="11" fontId="2" numFmtId="0" xfId="0" applyAlignment="1" applyFont="1">
      <alignment shrinkToFit="0" wrapText="1"/>
    </xf>
    <xf borderId="0" fillId="12" fontId="2" numFmtId="0" xfId="0" applyAlignment="1" applyFont="1">
      <alignment shrinkToFit="0" wrapText="1"/>
    </xf>
    <xf borderId="10" fillId="0" fontId="2" numFmtId="0" xfId="0" applyAlignment="1" applyBorder="1" applyFont="1">
      <alignment shrinkToFit="0" wrapText="1"/>
    </xf>
    <xf borderId="6" fillId="11" fontId="2" numFmtId="0" xfId="0" applyAlignment="1" applyBorder="1" applyFont="1">
      <alignment shrinkToFit="0" wrapText="1"/>
    </xf>
    <xf borderId="11" fillId="0" fontId="2" numFmtId="0" xfId="0" applyAlignment="1" applyBorder="1" applyFont="1">
      <alignment horizontal="center" shrinkToFit="0" wrapText="1"/>
    </xf>
    <xf borderId="1" fillId="0" fontId="2" numFmtId="0" xfId="0" applyAlignment="1" applyBorder="1" applyFont="1">
      <alignment horizontal="center" shrinkToFit="0" wrapText="1"/>
    </xf>
    <xf borderId="1" fillId="11" fontId="2" numFmtId="0" xfId="0" applyAlignment="1" applyBorder="1" applyFont="1">
      <alignment horizontal="center" shrinkToFit="0" wrapText="1"/>
    </xf>
    <xf borderId="1" fillId="12" fontId="2" numFmtId="0" xfId="0" applyAlignment="1" applyBorder="1" applyFont="1">
      <alignment horizontal="center" shrinkToFit="0" wrapText="1"/>
    </xf>
    <xf borderId="11" fillId="11" fontId="2" numFmtId="0" xfId="0" applyAlignment="1" applyBorder="1" applyFont="1">
      <alignment horizontal="center" shrinkToFit="0" wrapText="1"/>
    </xf>
    <xf borderId="11" fillId="0" fontId="2" numFmtId="0" xfId="0" applyAlignment="1" applyBorder="1" applyFont="1">
      <alignment shrinkToFit="0" wrapText="1"/>
    </xf>
    <xf borderId="1" fillId="11" fontId="2" numFmtId="0" xfId="0" applyAlignment="1" applyBorder="1" applyFont="1">
      <alignment shrinkToFit="0" wrapText="1"/>
    </xf>
    <xf borderId="1" fillId="12" fontId="2" numFmtId="0" xfId="0" applyAlignment="1" applyBorder="1" applyFont="1">
      <alignment shrinkToFit="0" wrapText="1"/>
    </xf>
    <xf borderId="11" fillId="11" fontId="2" numFmtId="0" xfId="0" applyAlignment="1" applyBorder="1" applyFont="1">
      <alignment shrinkToFit="0" wrapText="1"/>
    </xf>
    <xf borderId="6" fillId="0" fontId="2" numFmtId="164" xfId="0" applyAlignment="1" applyBorder="1" applyFont="1" applyNumberFormat="1">
      <alignment horizontal="center" shrinkToFit="0" wrapText="1"/>
    </xf>
    <xf borderId="6" fillId="8" fontId="2" numFmtId="0" xfId="0" applyAlignment="1" applyBorder="1" applyFont="1">
      <alignment shrinkToFit="0" wrapText="1"/>
    </xf>
    <xf borderId="0" fillId="8" fontId="2" numFmtId="0" xfId="0" applyAlignment="1" applyFont="1">
      <alignment shrinkToFit="0" wrapText="1"/>
    </xf>
    <xf borderId="0" fillId="10" fontId="2" numFmtId="0" xfId="0" applyAlignment="1" applyFont="1">
      <alignment shrinkToFit="0" wrapText="1"/>
    </xf>
    <xf borderId="0" fillId="9" fontId="2" numFmtId="0" xfId="0" applyAlignment="1" applyFont="1">
      <alignment shrinkToFit="0" wrapText="1"/>
    </xf>
    <xf borderId="0" fillId="0" fontId="2" numFmtId="0" xfId="0" applyAlignment="1" applyFont="1">
      <alignment readingOrder="0" shrinkToFit="0" wrapText="1"/>
    </xf>
    <xf borderId="11" fillId="0" fontId="2" numFmtId="165" xfId="0" applyAlignment="1" applyBorder="1" applyFont="1" applyNumberFormat="1">
      <alignment horizontal="center" shrinkToFit="0" wrapText="1"/>
    </xf>
    <xf borderId="1" fillId="0" fontId="3" numFmtId="0" xfId="0" applyAlignment="1" applyBorder="1" applyFont="1">
      <alignment shrinkToFit="0" wrapText="1"/>
    </xf>
    <xf borderId="12" fillId="0" fontId="2" numFmtId="164" xfId="0" applyAlignment="1" applyBorder="1" applyFont="1" applyNumberFormat="1">
      <alignment horizontal="center" shrinkToFit="0" wrapText="1"/>
    </xf>
    <xf borderId="12" fillId="0" fontId="2" numFmtId="0" xfId="0" applyAlignment="1" applyBorder="1" applyFont="1">
      <alignment shrinkToFit="0" wrapText="1"/>
    </xf>
    <xf borderId="10" fillId="8" fontId="2" numFmtId="0" xfId="0" applyAlignment="1" applyBorder="1" applyFont="1">
      <alignment shrinkToFit="0" wrapText="1"/>
    </xf>
    <xf borderId="10" fillId="10" fontId="2" numFmtId="0" xfId="0" applyAlignment="1" applyBorder="1" applyFont="1">
      <alignment shrinkToFit="0" wrapText="1"/>
    </xf>
    <xf borderId="10" fillId="11" fontId="2" numFmtId="0" xfId="0" applyAlignment="1" applyBorder="1" applyFont="1">
      <alignment shrinkToFit="0" wrapText="1"/>
    </xf>
    <xf borderId="12" fillId="8" fontId="2" numFmtId="0" xfId="0" applyAlignment="1" applyBorder="1" applyFont="1">
      <alignment shrinkToFit="0" wrapText="1"/>
    </xf>
    <xf borderId="10" fillId="9" fontId="2" numFmtId="0" xfId="0" applyAlignment="1" applyBorder="1" applyFont="1">
      <alignment shrinkToFit="0" wrapText="1"/>
    </xf>
    <xf borderId="12" fillId="11" fontId="2" numFmtId="0" xfId="0" applyAlignment="1" applyBorder="1" applyFont="1">
      <alignment shrinkToFit="0" wrapText="1"/>
    </xf>
    <xf borderId="6" fillId="0" fontId="2" numFmtId="0" xfId="0" applyAlignment="1" applyBorder="1" applyFont="1">
      <alignment horizontal="center" shrinkToFit="0" wrapText="1"/>
    </xf>
    <xf borderId="8" fillId="0" fontId="2" numFmtId="0" xfId="0" applyAlignment="1" applyBorder="1" applyFont="1">
      <alignment horizontal="center" shrinkToFit="0" vertical="bottom" wrapText="1"/>
    </xf>
    <xf borderId="8" fillId="0" fontId="2" numFmtId="0" xfId="0" applyAlignment="1" applyBorder="1" applyFont="1">
      <alignment shrinkToFit="0" vertical="bottom" wrapText="1"/>
    </xf>
    <xf borderId="0" fillId="13" fontId="3" numFmtId="0" xfId="0" applyAlignment="1" applyFill="1" applyFont="1">
      <alignment horizontal="center" shrinkToFit="0" vertical="bottom" wrapText="1"/>
    </xf>
    <xf borderId="8" fillId="0" fontId="3" numFmtId="0" xfId="0" applyAlignment="1" applyBorder="1" applyFont="1">
      <alignment horizontal="center" shrinkToFit="0" vertical="bottom" wrapText="1"/>
    </xf>
    <xf quotePrefix="1" borderId="0" fillId="0" fontId="2" numFmtId="0" xfId="0" applyAlignment="1" applyFont="1">
      <alignment shrinkToFit="0" vertical="bottom" wrapText="1"/>
    </xf>
    <xf borderId="6" fillId="0" fontId="3" numFmtId="0" xfId="0" applyAlignment="1" applyBorder="1" applyFont="1">
      <alignment horizontal="center" shrinkToFit="0" vertical="bottom" wrapText="1"/>
    </xf>
    <xf borderId="3" fillId="0" fontId="2" numFmtId="165" xfId="0" applyAlignment="1" applyBorder="1" applyFont="1" applyNumberFormat="1">
      <alignment horizontal="center" shrinkToFit="0" wrapText="1"/>
    </xf>
    <xf borderId="2" fillId="0" fontId="2" numFmtId="0" xfId="0" applyAlignment="1" applyBorder="1" applyFont="1">
      <alignment horizontal="center" shrinkToFit="0" wrapText="1"/>
    </xf>
    <xf borderId="0" fillId="14" fontId="2" numFmtId="0" xfId="0" applyAlignment="1" applyFill="1" applyFont="1">
      <alignment shrinkToFit="0" wrapText="1"/>
    </xf>
    <xf borderId="0" fillId="15" fontId="2" numFmtId="0" xfId="0" applyAlignment="1" applyFill="1" applyFont="1">
      <alignment shrinkToFit="0" wrapText="1"/>
    </xf>
    <xf borderId="0" fillId="16" fontId="2" numFmtId="0" xfId="0" applyAlignment="1" applyFill="1" applyFont="1">
      <alignment shrinkToFit="0" wrapText="1"/>
    </xf>
    <xf borderId="0" fillId="17" fontId="2" numFmtId="0" xfId="0" applyAlignment="1" applyFill="1" applyFont="1">
      <alignment shrinkToFit="0" wrapText="1"/>
    </xf>
    <xf borderId="0" fillId="18" fontId="2" numFmtId="0" xfId="0" applyAlignment="1" applyFill="1" applyFont="1">
      <alignment shrinkToFit="0" wrapText="1"/>
    </xf>
    <xf borderId="0" fillId="13" fontId="2" numFmtId="0" xfId="0" applyAlignment="1" applyFont="1">
      <alignment shrinkToFit="0" wrapText="1"/>
    </xf>
    <xf borderId="0" fillId="8" fontId="2" numFmtId="0" xfId="0" applyFont="1"/>
    <xf borderId="0" fillId="13" fontId="2" numFmtId="0" xfId="0" applyFont="1"/>
    <xf borderId="0" fillId="14" fontId="2" numFmtId="0" xfId="0" applyFont="1"/>
    <xf borderId="0" fillId="15" fontId="2" numFmtId="0" xfId="0" applyFont="1"/>
    <xf borderId="0" fillId="11" fontId="2" numFmtId="0" xfId="0" applyFont="1"/>
    <xf borderId="0" fillId="19" fontId="2" numFmtId="0" xfId="0" applyFill="1" applyFont="1"/>
    <xf borderId="0" fillId="19" fontId="2" numFmtId="0" xfId="0" applyAlignment="1" applyFont="1">
      <alignment shrinkToFit="0" wrapText="1"/>
    </xf>
    <xf borderId="0" fillId="19" fontId="4" numFmtId="0" xfId="0" applyAlignment="1" applyFont="1">
      <alignment shrinkToFit="0" wrapText="1"/>
    </xf>
    <xf borderId="0" fillId="7" fontId="2" numFmtId="0" xfId="0" applyAlignment="1" applyFont="1">
      <alignment shrinkToFit="0" vertical="bottom" wrapText="1"/>
    </xf>
    <xf borderId="0" fillId="0" fontId="1" numFmtId="0" xfId="0" applyAlignment="1" applyFont="1">
      <alignment horizontal="center" vertical="bottom"/>
    </xf>
    <xf borderId="0" fillId="0" fontId="2" numFmtId="0" xfId="0" applyAlignment="1" applyFont="1">
      <alignment vertical="bottom"/>
    </xf>
    <xf borderId="0" fillId="0" fontId="2" numFmtId="2" xfId="0" applyAlignment="1" applyFont="1" applyNumberFormat="1">
      <alignment horizontal="right" vertical="bottom"/>
    </xf>
    <xf borderId="0" fillId="0" fontId="2" numFmtId="2" xfId="0" applyAlignment="1" applyFont="1" applyNumberFormat="1">
      <alignment vertical="bottom"/>
    </xf>
    <xf borderId="0" fillId="0" fontId="1" numFmtId="0" xfId="0" applyFont="1"/>
    <xf borderId="0" fillId="0" fontId="2" numFmtId="14" xfId="0" applyAlignment="1" applyFont="1" applyNumberFormat="1">
      <alignment horizontal="right" shrinkToFit="0" vertical="bottom" wrapText="1"/>
    </xf>
    <xf borderId="0" fillId="0" fontId="2" numFmtId="0" xfId="0" applyAlignment="1" applyFont="1">
      <alignment horizontal="right" vertical="bottom"/>
    </xf>
    <xf borderId="0" fillId="0" fontId="2" numFmtId="20" xfId="0" applyAlignment="1" applyFont="1" applyNumberFormat="1">
      <alignment horizontal="right" vertical="bottom"/>
    </xf>
    <xf borderId="0" fillId="20" fontId="2" numFmtId="0" xfId="0" applyAlignment="1" applyFill="1" applyFont="1">
      <alignment shrinkToFit="0" vertical="bottom" wrapText="1"/>
    </xf>
    <xf borderId="0" fillId="15" fontId="2" numFmtId="0" xfId="0" applyAlignment="1" applyFont="1">
      <alignment vertical="bottom"/>
    </xf>
    <xf borderId="0" fillId="0" fontId="2" numFmtId="2" xfId="0" applyFont="1" applyNumberFormat="1"/>
    <xf borderId="0" fillId="0" fontId="3" numFmtId="0" xfId="0" applyFont="1"/>
    <xf borderId="0" fillId="21" fontId="2" numFmtId="0" xfId="0" applyAlignment="1" applyFill="1" applyFont="1">
      <alignment shrinkToFit="0" vertical="bottom" wrapText="1"/>
    </xf>
    <xf borderId="0" fillId="0" fontId="1" numFmtId="0" xfId="0" applyAlignment="1" applyFont="1">
      <alignment horizontal="center"/>
    </xf>
    <xf borderId="0" fillId="0" fontId="2" numFmtId="165" xfId="0" applyAlignment="1" applyFont="1" applyNumberFormat="1">
      <alignment vertical="bottom"/>
    </xf>
    <xf borderId="0" fillId="0" fontId="2" numFmtId="20" xfId="0" applyAlignment="1" applyFont="1" applyNumberFormat="1">
      <alignment vertical="bottom"/>
    </xf>
    <xf borderId="0" fillId="0" fontId="1" numFmtId="0" xfId="0" applyAlignment="1" applyFont="1">
      <alignment vertical="bottom"/>
    </xf>
    <xf borderId="0" fillId="0" fontId="2" numFmtId="14" xfId="0" applyAlignment="1" applyFont="1" applyNumberFormat="1">
      <alignment shrinkToFit="0" wrapText="1"/>
    </xf>
    <xf borderId="0" fillId="16" fontId="2" numFmtId="0" xfId="0" applyFont="1"/>
    <xf borderId="0" fillId="0" fontId="2" numFmtId="0" xfId="0" applyAlignment="1" applyFont="1">
      <alignment horizontal="left" shrinkToFit="0" vertical="bottom" wrapText="0"/>
    </xf>
    <xf borderId="0" fillId="15" fontId="2" numFmtId="0" xfId="0" applyAlignment="1" applyFont="1">
      <alignment shrinkToFit="0" vertical="bottom" wrapText="1"/>
    </xf>
    <xf borderId="0" fillId="15" fontId="3" numFmtId="0" xfId="0" applyAlignment="1" applyFont="1">
      <alignment horizontal="center" shrinkToFit="0" vertical="bottom" wrapText="1"/>
    </xf>
    <xf borderId="8" fillId="15" fontId="8" numFmtId="0" xfId="0" applyAlignment="1" applyBorder="1" applyFont="1">
      <alignment horizontal="center" shrinkToFit="0" vertical="bottom" wrapText="1"/>
    </xf>
    <xf borderId="8" fillId="15" fontId="7" numFmtId="0" xfId="0" applyAlignment="1" applyBorder="1" applyFont="1">
      <alignment horizontal="center" shrinkToFit="0" vertical="bottom" wrapText="1"/>
    </xf>
    <xf borderId="1" fillId="15" fontId="2" numFmtId="0" xfId="0" applyAlignment="1" applyBorder="1" applyFont="1">
      <alignment horizontal="center" shrinkToFit="0" wrapText="1"/>
    </xf>
    <xf borderId="0" fillId="22" fontId="2" numFmtId="0" xfId="0" applyAlignment="1" applyFill="1" applyFont="1">
      <alignment shrinkToFit="0" wrapText="1"/>
    </xf>
    <xf borderId="1" fillId="15" fontId="2" numFmtId="0" xfId="0" applyAlignment="1" applyBorder="1" applyFont="1">
      <alignment shrinkToFit="0" wrapText="1"/>
    </xf>
    <xf borderId="1" fillId="8" fontId="2" numFmtId="0" xfId="0" applyAlignment="1" applyBorder="1" applyFont="1">
      <alignment shrinkToFit="0" wrapText="1"/>
    </xf>
    <xf borderId="1" fillId="13" fontId="2" numFmtId="0" xfId="0" applyAlignment="1" applyBorder="1" applyFont="1">
      <alignment shrinkToFit="0" wrapText="1"/>
    </xf>
    <xf borderId="1" fillId="9" fontId="2" numFmtId="0" xfId="0" applyAlignment="1" applyBorder="1" applyFont="1">
      <alignment shrinkToFit="0" wrapText="1"/>
    </xf>
    <xf borderId="0" fillId="23" fontId="2" numFmtId="0" xfId="0" applyAlignment="1" applyFill="1" applyFont="1">
      <alignment shrinkToFit="0" wrapText="1"/>
    </xf>
    <xf borderId="1" fillId="23" fontId="2" numFmtId="0" xfId="0" applyAlignment="1" applyBorder="1" applyFont="1">
      <alignment shrinkToFit="0" wrapText="1"/>
    </xf>
    <xf borderId="1" fillId="0" fontId="2" numFmtId="0" xfId="0" applyBorder="1" applyFont="1"/>
    <xf borderId="0" fillId="21" fontId="2" numFmtId="0" xfId="0" applyAlignment="1" applyFont="1">
      <alignment shrinkToFit="0" wrapText="1"/>
    </xf>
    <xf borderId="1" fillId="21" fontId="2" numFmtId="0" xfId="0" applyAlignment="1" applyBorder="1" applyFont="1">
      <alignment shrinkToFit="0" wrapText="1"/>
    </xf>
    <xf borderId="1" fillId="0" fontId="2" numFmtId="165" xfId="0" applyAlignment="1" applyBorder="1" applyFont="1" applyNumberFormat="1">
      <alignment shrinkToFit="0" wrapText="1"/>
    </xf>
    <xf borderId="1" fillId="8" fontId="3" numFmtId="0" xfId="0" applyAlignment="1" applyBorder="1" applyFont="1">
      <alignment shrinkToFit="0" wrapText="1"/>
    </xf>
    <xf borderId="13" fillId="0" fontId="2" numFmtId="165" xfId="0" applyAlignment="1" applyBorder="1" applyFont="1" applyNumberFormat="1">
      <alignment shrinkToFit="0" wrapText="1"/>
    </xf>
    <xf borderId="14" fillId="0" fontId="2" numFmtId="0" xfId="0" applyAlignment="1" applyBorder="1" applyFont="1">
      <alignment shrinkToFit="0" wrapText="1"/>
    </xf>
    <xf borderId="14" fillId="8" fontId="2" numFmtId="0" xfId="0" applyAlignment="1" applyBorder="1" applyFont="1">
      <alignment shrinkToFit="0" wrapText="1"/>
    </xf>
    <xf borderId="14" fillId="15" fontId="2" numFmtId="0" xfId="0" applyAlignment="1" applyBorder="1" applyFont="1">
      <alignment shrinkToFit="0" wrapText="1"/>
    </xf>
    <xf borderId="14" fillId="9" fontId="2" numFmtId="0" xfId="0" applyAlignment="1" applyBorder="1" applyFont="1">
      <alignment shrinkToFit="0" wrapText="1"/>
    </xf>
    <xf borderId="7" fillId="8" fontId="2" numFmtId="0" xfId="0" applyAlignment="1" applyBorder="1" applyFont="1">
      <alignment shrinkToFit="0" wrapText="1"/>
    </xf>
    <xf borderId="13" fillId="0" fontId="2" numFmtId="164" xfId="0" applyAlignment="1" applyBorder="1" applyFont="1" applyNumberFormat="1">
      <alignment shrinkToFit="0" wrapText="1"/>
    </xf>
    <xf borderId="14" fillId="0" fontId="2" numFmtId="165" xfId="0" applyAlignment="1" applyBorder="1" applyFont="1" applyNumberFormat="1">
      <alignment shrinkToFit="0" wrapText="1"/>
    </xf>
    <xf borderId="1" fillId="0" fontId="2" numFmtId="164" xfId="0" applyAlignment="1" applyBorder="1" applyFont="1" applyNumberFormat="1">
      <alignment shrinkToFit="0" wrapText="1"/>
    </xf>
    <xf borderId="10" fillId="0" fontId="2" numFmtId="165" xfId="0" applyAlignment="1" applyBorder="1" applyFont="1" applyNumberFormat="1">
      <alignment shrinkToFit="0" wrapText="1"/>
    </xf>
    <xf borderId="10" fillId="15" fontId="2" numFmtId="0" xfId="0" applyAlignment="1" applyBorder="1" applyFont="1">
      <alignment shrinkToFit="0" wrapText="1"/>
    </xf>
    <xf borderId="0" fillId="24" fontId="2" numFmtId="0" xfId="0" applyAlignment="1" applyFill="1" applyFont="1">
      <alignment shrinkToFit="0" wrapText="1"/>
    </xf>
    <xf borderId="0" fillId="25" fontId="2" numFmtId="0" xfId="0" applyAlignment="1" applyFill="1" applyFont="1">
      <alignment shrinkToFit="0" wrapText="1"/>
    </xf>
    <xf borderId="0" fillId="25" fontId="4" numFmtId="0" xfId="0" applyAlignment="1" applyFont="1">
      <alignment shrinkToFit="0" wrapText="1"/>
    </xf>
    <xf borderId="0" fillId="3" fontId="2" numFmtId="0" xfId="0" applyAlignment="1" applyFont="1">
      <alignment shrinkToFit="0" wrapText="1"/>
    </xf>
    <xf borderId="0" fillId="4" fontId="2" numFmtId="0" xfId="0" applyAlignment="1" applyFont="1">
      <alignment shrinkToFit="0" wrapText="1"/>
    </xf>
    <xf borderId="0" fillId="6" fontId="2" numFmtId="0" xfId="0" applyAlignment="1" applyFont="1">
      <alignment shrinkToFit="0" wrapText="1"/>
    </xf>
    <xf borderId="8" fillId="15" fontId="6" numFmtId="0" xfId="0" applyAlignment="1" applyBorder="1" applyFont="1">
      <alignment horizontal="center" shrinkToFit="0" vertical="bottom" wrapText="1"/>
    </xf>
    <xf borderId="7" fillId="15" fontId="5" numFmtId="0" xfId="0" applyAlignment="1" applyBorder="1" applyFont="1">
      <alignment horizontal="center" shrinkToFit="0" vertical="bottom" wrapText="1"/>
    </xf>
    <xf borderId="1" fillId="16" fontId="2" numFmtId="0" xfId="0" applyAlignment="1" applyBorder="1" applyFont="1">
      <alignment shrinkToFit="0" wrapText="1"/>
    </xf>
    <xf borderId="0" fillId="26" fontId="2" numFmtId="0" xfId="0" applyAlignment="1" applyFill="1" applyFont="1">
      <alignment shrinkToFit="0" wrapText="1"/>
    </xf>
    <xf borderId="0" fillId="27" fontId="2" numFmtId="0" xfId="0" applyAlignment="1" applyFill="1" applyFont="1">
      <alignment shrinkToFit="0" wrapText="1"/>
    </xf>
    <xf borderId="1" fillId="26" fontId="2" numFmtId="0" xfId="0" applyAlignment="1" applyBorder="1" applyFont="1">
      <alignment shrinkToFit="0" wrapText="1"/>
    </xf>
    <xf borderId="1" fillId="27" fontId="2" numFmtId="0" xfId="0" applyAlignment="1" applyBorder="1" applyFont="1">
      <alignment shrinkToFit="0" wrapText="1"/>
    </xf>
    <xf borderId="1" fillId="17" fontId="2" numFmtId="0" xfId="0" applyAlignment="1" applyBorder="1" applyFont="1">
      <alignment shrinkToFit="0" wrapText="1"/>
    </xf>
    <xf borderId="0" fillId="28" fontId="2" numFmtId="0" xfId="0" applyAlignment="1" applyFill="1" applyFont="1">
      <alignment shrinkToFit="0" wrapText="1"/>
    </xf>
    <xf borderId="1" fillId="28" fontId="2" numFmtId="0" xfId="0" applyAlignment="1" applyBorder="1" applyFont="1">
      <alignment shrinkToFit="0" wrapText="1"/>
    </xf>
    <xf borderId="0" fillId="29" fontId="2" numFmtId="0" xfId="0" applyAlignment="1" applyFill="1" applyFont="1">
      <alignment shrinkToFit="0" wrapText="1"/>
    </xf>
    <xf borderId="1" fillId="16" fontId="3" numFmtId="0" xfId="0" applyBorder="1" applyFont="1"/>
    <xf borderId="0" fillId="30" fontId="2" numFmtId="0" xfId="0" applyAlignment="1" applyFill="1" applyFont="1">
      <alignment shrinkToFit="0" wrapText="1"/>
    </xf>
    <xf borderId="1" fillId="30" fontId="2" numFmtId="0" xfId="0" applyAlignment="1" applyBorder="1" applyFont="1">
      <alignment shrinkToFit="0" wrapText="1"/>
    </xf>
    <xf borderId="0" fillId="2" fontId="2" numFmtId="0" xfId="0" applyAlignment="1" applyFont="1">
      <alignment shrinkToFit="0" wrapText="1"/>
    </xf>
    <xf borderId="1" fillId="2" fontId="2" numFmtId="0" xfId="0" applyAlignment="1" applyBorder="1" applyFont="1">
      <alignment shrinkToFit="0" wrapText="1"/>
    </xf>
    <xf borderId="0" fillId="2" fontId="3" numFmtId="0" xfId="0" applyFont="1"/>
    <xf borderId="0" fillId="30" fontId="2" numFmtId="0" xfId="0" applyFont="1"/>
    <xf borderId="1" fillId="30" fontId="2" numFmtId="0" xfId="0" applyBorder="1" applyFont="1"/>
    <xf borderId="1" fillId="30" fontId="3" numFmtId="0" xfId="0" applyAlignment="1" applyBorder="1" applyFont="1">
      <alignment shrinkToFit="0" wrapText="1"/>
    </xf>
    <xf borderId="14" fillId="28" fontId="2" numFmtId="0" xfId="0" applyAlignment="1" applyBorder="1" applyFont="1">
      <alignment shrinkToFit="0" wrapText="1"/>
    </xf>
    <xf borderId="14" fillId="30" fontId="2" numFmtId="0" xfId="0" applyAlignment="1" applyBorder="1" applyFont="1">
      <alignment shrinkToFit="0" wrapText="1"/>
    </xf>
    <xf borderId="14" fillId="2" fontId="2" numFmtId="0" xfId="0" applyAlignment="1" applyBorder="1" applyFont="1">
      <alignment shrinkToFit="0" wrapText="1"/>
    </xf>
    <xf borderId="7" fillId="15" fontId="2" numFmtId="0" xfId="0" applyAlignment="1" applyBorder="1" applyFont="1">
      <alignment shrinkToFit="0" wrapText="1"/>
    </xf>
    <xf borderId="13" fillId="0" fontId="2" numFmtId="0" xfId="0" applyAlignment="1" applyBorder="1" applyFont="1">
      <alignment shrinkToFit="0" wrapText="1"/>
    </xf>
    <xf borderId="7" fillId="0" fontId="2" numFmtId="0" xfId="0" applyAlignment="1" applyBorder="1" applyFont="1">
      <alignment shrinkToFit="0" wrapText="1"/>
    </xf>
    <xf borderId="0" fillId="23" fontId="2" numFmtId="0" xfId="0" applyAlignment="1" applyFont="1">
      <alignment shrinkToFit="0" vertical="bottom" wrapText="1"/>
    </xf>
    <xf borderId="0" fillId="31" fontId="2" numFmtId="0" xfId="0" applyFill="1" applyFont="1"/>
    <xf borderId="1" fillId="12" fontId="1" numFmtId="0" xfId="0" applyAlignment="1" applyBorder="1" applyFont="1">
      <alignment shrinkToFit="0" wrapText="1"/>
    </xf>
    <xf borderId="0" fillId="0" fontId="2" numFmtId="167" xfId="0" applyFont="1" applyNumberFormat="1"/>
    <xf borderId="0" fillId="0" fontId="2" numFmtId="0" xfId="0" applyAlignment="1" applyFont="1">
      <alignment horizontal="left" shrinkToFit="0" vertical="bottom" wrapText="1"/>
    </xf>
    <xf borderId="0" fillId="0" fontId="1" numFmtId="0" xfId="0" applyAlignment="1" applyFont="1">
      <alignment shrinkToFit="0" wrapText="1"/>
    </xf>
    <xf borderId="0" fillId="0" fontId="2" numFmtId="166" xfId="0" applyFont="1" applyNumberFormat="1"/>
    <xf borderId="0" fillId="32" fontId="2" numFmtId="0" xfId="0" applyAlignment="1" applyFill="1" applyFont="1">
      <alignment shrinkToFit="0" vertical="bottom" wrapText="1"/>
    </xf>
    <xf borderId="0" fillId="33" fontId="2" numFmtId="0" xfId="0" applyAlignment="1" applyFill="1" applyFont="1">
      <alignment shrinkToFit="0" wrapText="1"/>
    </xf>
    <xf borderId="0" fillId="0" fontId="2" numFmtId="14" xfId="0" applyFont="1" applyNumberFormat="1"/>
    <xf borderId="15" fillId="0" fontId="2" numFmtId="0" xfId="0" applyBorder="1" applyFont="1"/>
    <xf borderId="0" fillId="20" fontId="2" numFmtId="0" xfId="0" applyAlignment="1" applyFont="1">
      <alignment shrinkToFit="0" wrapText="1"/>
    </xf>
    <xf borderId="0" fillId="23" fontId="2" numFmtId="0" xfId="0" applyAlignment="1" applyFont="1">
      <alignment vertical="bottom"/>
    </xf>
    <xf borderId="0" fillId="20" fontId="2" numFmtId="0" xfId="0" applyFont="1"/>
    <xf borderId="0" fillId="21" fontId="2" numFmtId="0" xfId="0" applyFont="1"/>
    <xf borderId="0" fillId="10" fontId="2" numFmtId="0" xfId="0" applyFont="1"/>
    <xf borderId="0" fillId="9" fontId="2" numFmtId="0" xfId="0" applyFont="1"/>
    <xf borderId="0" fillId="34" fontId="1" numFmtId="0" xfId="0" applyAlignment="1" applyFill="1" applyFont="1">
      <alignment horizontal="center"/>
    </xf>
    <xf borderId="1" fillId="0" fontId="5" numFmtId="0" xfId="0" applyAlignment="1" applyBorder="1" applyFont="1">
      <alignment horizontal="center" shrinkToFit="0" vertical="bottom" wrapText="1"/>
    </xf>
    <xf borderId="1" fillId="0" fontId="6" numFmtId="0" xfId="0" applyAlignment="1" applyBorder="1" applyFont="1">
      <alignment horizontal="center" shrinkToFit="0" vertical="bottom" wrapText="1"/>
    </xf>
    <xf borderId="1" fillId="0" fontId="7" numFmtId="0" xfId="0" applyAlignment="1" applyBorder="1" applyFont="1">
      <alignment horizontal="center" shrinkToFit="0" vertical="bottom" wrapText="1"/>
    </xf>
    <xf borderId="1" fillId="0" fontId="8" numFmtId="0" xfId="0" applyAlignment="1" applyBorder="1" applyFont="1">
      <alignment horizontal="center" shrinkToFit="0" vertical="bottom" wrapText="1"/>
    </xf>
    <xf borderId="16" fillId="0" fontId="8" numFmtId="49" xfId="0" applyAlignment="1" applyBorder="1" applyFont="1" applyNumberFormat="1">
      <alignment horizontal="center" shrinkToFit="0" vertical="bottom" wrapText="1"/>
    </xf>
    <xf borderId="1" fillId="0" fontId="5" numFmtId="49" xfId="0" applyAlignment="1" applyBorder="1" applyFont="1" applyNumberFormat="1">
      <alignment horizontal="center" shrinkToFit="0" vertical="bottom" wrapText="1"/>
    </xf>
    <xf borderId="1" fillId="0" fontId="6" numFmtId="49" xfId="0" applyAlignment="1" applyBorder="1" applyFont="1" applyNumberFormat="1">
      <alignment horizontal="center" shrinkToFit="0" vertical="bottom" wrapText="1"/>
    </xf>
    <xf borderId="1" fillId="15" fontId="7" numFmtId="0" xfId="0" applyAlignment="1" applyBorder="1" applyFont="1">
      <alignment horizontal="center" shrinkToFit="0" vertical="bottom" wrapText="1"/>
    </xf>
    <xf borderId="11" fillId="0" fontId="8" numFmtId="0" xfId="0" applyAlignment="1" applyBorder="1" applyFont="1">
      <alignment horizontal="center" shrinkToFit="0" vertical="bottom" wrapText="1"/>
    </xf>
    <xf borderId="1" fillId="0" fontId="8" numFmtId="49" xfId="0" applyAlignment="1" applyBorder="1" applyFont="1" applyNumberFormat="1">
      <alignment horizontal="center" shrinkToFit="0" vertical="bottom" wrapText="1"/>
    </xf>
    <xf borderId="1" fillId="0" fontId="3" numFmtId="0" xfId="0" applyAlignment="1" applyBorder="1" applyFont="1">
      <alignment horizontal="center" shrinkToFit="0" vertical="center" wrapText="1"/>
    </xf>
    <xf borderId="10" fillId="0" fontId="2" numFmtId="0" xfId="0" applyAlignment="1" applyBorder="1" applyFont="1">
      <alignment shrinkToFit="0" vertical="bottom" wrapText="1"/>
    </xf>
    <xf borderId="0" fillId="0" fontId="3" numFmtId="0" xfId="0" applyAlignment="1" applyFont="1">
      <alignment horizontal="center" shrinkToFit="0" vertical="center" wrapText="1"/>
    </xf>
    <xf borderId="0" fillId="0" fontId="2" numFmtId="0" xfId="0" applyAlignment="1" applyFont="1">
      <alignment shrinkToFit="0" vertical="center" wrapText="1"/>
    </xf>
    <xf borderId="0" fillId="0" fontId="9" numFmtId="0" xfId="0" applyAlignment="1" applyFont="1">
      <alignment shrinkToFit="0" wrapText="1"/>
    </xf>
    <xf borderId="1" fillId="15" fontId="5" numFmtId="0" xfId="0" applyAlignment="1" applyBorder="1" applyFont="1">
      <alignment horizontal="center" shrinkToFit="0" vertical="bottom" wrapText="1"/>
    </xf>
    <xf borderId="0" fillId="32" fontId="2" numFmtId="0" xfId="0" applyFont="1"/>
    <xf borderId="0" fillId="6" fontId="2" numFmtId="0" xfId="0" applyFont="1"/>
    <xf borderId="0" fillId="35" fontId="2" numFmtId="0" xfId="0" applyFill="1" applyFont="1"/>
    <xf borderId="11" fillId="30" fontId="8" numFmtId="0" xfId="0" applyAlignment="1" applyBorder="1" applyFont="1">
      <alignment horizontal="center" shrinkToFit="0" vertical="bottom" wrapText="1"/>
    </xf>
    <xf borderId="0" fillId="0" fontId="10" numFmtId="0" xfId="0" applyFont="1"/>
    <xf borderId="0" fillId="0" fontId="2" numFmtId="0" xfId="0" applyAlignment="1" applyFont="1">
      <alignment horizontal="right"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24" Type="http://schemas.openxmlformats.org/officeDocument/2006/relationships/worksheet" Target="worksheets/sheet21.xml"/><Relationship Id="rId12" Type="http://schemas.openxmlformats.org/officeDocument/2006/relationships/worksheet" Target="worksheets/sheet9.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v8pre_delay_locknoise_newbb_debug.sc/" TargetMode="External"/><Relationship Id="rId2" Type="http://schemas.openxmlformats.org/officeDocument/2006/relationships/hyperlink" Target="http://v8pre_hybrid_locknoise_forageassist_newbb.py/" TargetMode="External"/><Relationship Id="rId3" Type="http://schemas.openxmlformats.org/officeDocument/2006/relationships/hyperlink" Target="http://v8pre_hybrid_locknoise_forageassist_newbb.py/" TargetMode="External"/><Relationship Id="rId4" Type="http://schemas.openxmlformats.org/officeDocument/2006/relationships/hyperlink" Target="http://v8pre_hybrid_locknoise_forageassist_newbb.py/" TargetMode="External"/><Relationship Id="rId9" Type="http://schemas.openxmlformats.org/officeDocument/2006/relationships/drawing" Target="../drawings/drawing21.xml"/><Relationship Id="rId5" Type="http://schemas.openxmlformats.org/officeDocument/2006/relationships/hyperlink" Target="http://v8pre_hybrid_locknoise_forageassist_newbb.py/" TargetMode="External"/><Relationship Id="rId6" Type="http://schemas.openxmlformats.org/officeDocument/2006/relationships/hyperlink" Target="http://v8pre_hybrid_locknoise_forageassist_newbb.py/" TargetMode="External"/><Relationship Id="rId7" Type="http://schemas.openxmlformats.org/officeDocument/2006/relationships/hyperlink" Target="http://v8pre_hybrid_locknoise_forageassist_newbb.py/" TargetMode="External"/><Relationship Id="rId8" Type="http://schemas.openxmlformats.org/officeDocument/2006/relationships/hyperlink" Target="http://v8pre_hybrid_locknoise_forageassist_newbb.p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 max="1" width="12.63"/>
    <col customWidth="1" min="2" max="5" width="7.13"/>
    <col customWidth="1" min="6" max="6" width="11.25"/>
    <col customWidth="1" min="7" max="7" width="11.38"/>
    <col customWidth="1" min="8" max="8" width="11.25"/>
    <col customWidth="1" min="9" max="9" width="12.5"/>
    <col customWidth="1" min="16" max="16" width="12.63"/>
    <col customWidth="1" min="17" max="17" width="78.75"/>
  </cols>
  <sheetData>
    <row r="1" ht="69.0" customHeight="1">
      <c r="A1" s="1" t="s">
        <v>0</v>
      </c>
      <c r="B1" s="1" t="s">
        <v>1</v>
      </c>
      <c r="C1" s="1" t="s">
        <v>2</v>
      </c>
      <c r="D1" s="1" t="s">
        <v>3</v>
      </c>
      <c r="E1" s="1" t="s">
        <v>4</v>
      </c>
      <c r="F1" s="2" t="s">
        <v>5</v>
      </c>
      <c r="G1" s="3" t="s">
        <v>6</v>
      </c>
      <c r="H1" s="3" t="s">
        <v>7</v>
      </c>
      <c r="I1" s="3" t="s">
        <v>8</v>
      </c>
      <c r="J1" s="4" t="s">
        <v>9</v>
      </c>
      <c r="K1" s="5" t="s">
        <v>10</v>
      </c>
      <c r="L1" s="6" t="s">
        <v>11</v>
      </c>
      <c r="M1" s="7" t="s">
        <v>12</v>
      </c>
      <c r="N1" s="8" t="s">
        <v>13</v>
      </c>
      <c r="O1" s="8" t="s">
        <v>14</v>
      </c>
      <c r="P1" s="9" t="s">
        <v>15</v>
      </c>
      <c r="Q1" s="1" t="s">
        <v>16</v>
      </c>
      <c r="R1" s="1"/>
      <c r="S1" s="1"/>
      <c r="T1" s="1"/>
      <c r="U1" s="1"/>
      <c r="V1" s="1"/>
      <c r="W1" s="1"/>
      <c r="X1" s="1"/>
      <c r="Y1" s="1"/>
      <c r="Z1" s="1"/>
      <c r="AA1" s="1"/>
      <c r="AB1" s="1"/>
      <c r="AC1" s="1"/>
      <c r="AD1" s="1"/>
      <c r="AE1" s="1"/>
    </row>
    <row r="2" ht="28.5" customHeight="1">
      <c r="A2" s="10" t="s">
        <v>17</v>
      </c>
      <c r="B2" s="11"/>
      <c r="C2" s="11"/>
      <c r="D2" s="11"/>
      <c r="E2" s="11"/>
      <c r="F2" s="11" t="s">
        <v>18</v>
      </c>
      <c r="G2" s="11">
        <v>2.0</v>
      </c>
      <c r="H2" s="11">
        <v>2.0</v>
      </c>
      <c r="I2" s="11" t="s">
        <v>18</v>
      </c>
      <c r="J2" s="12">
        <v>11.0</v>
      </c>
      <c r="K2" s="11">
        <v>3.0</v>
      </c>
      <c r="L2" s="12">
        <v>3.0</v>
      </c>
      <c r="M2" s="11" t="s">
        <v>18</v>
      </c>
      <c r="N2" s="11">
        <v>4.0</v>
      </c>
      <c r="O2" s="11" t="s">
        <v>18</v>
      </c>
      <c r="P2" s="10" t="s">
        <v>19</v>
      </c>
      <c r="Q2" s="13" t="s">
        <v>20</v>
      </c>
      <c r="R2" s="10"/>
      <c r="S2" s="10"/>
      <c r="T2" s="10"/>
      <c r="U2" s="10"/>
      <c r="V2" s="10"/>
      <c r="W2" s="10"/>
      <c r="X2" s="10"/>
      <c r="Y2" s="10"/>
      <c r="Z2" s="10"/>
      <c r="AA2" s="10"/>
      <c r="AB2" s="10"/>
      <c r="AC2" s="10"/>
      <c r="AD2" s="10"/>
      <c r="AE2" s="10"/>
    </row>
    <row r="3" ht="28.5" customHeight="1">
      <c r="A3" s="10" t="s">
        <v>21</v>
      </c>
      <c r="B3" s="11"/>
      <c r="C3" s="11"/>
      <c r="D3" s="11"/>
      <c r="E3" s="11"/>
      <c r="F3" s="11" t="s">
        <v>18</v>
      </c>
      <c r="G3" s="11">
        <v>2.0</v>
      </c>
      <c r="H3" s="11" t="s">
        <v>18</v>
      </c>
      <c r="I3" s="11" t="s">
        <v>18</v>
      </c>
      <c r="J3" s="12">
        <v>8.0</v>
      </c>
      <c r="K3" s="11" t="s">
        <v>18</v>
      </c>
      <c r="L3" s="12">
        <v>6.0</v>
      </c>
      <c r="M3" s="11">
        <v>5.0</v>
      </c>
      <c r="N3" s="11">
        <v>5.0</v>
      </c>
      <c r="O3" s="11" t="s">
        <v>18</v>
      </c>
      <c r="P3" s="10" t="s">
        <v>22</v>
      </c>
      <c r="Q3" s="10"/>
      <c r="R3" s="10"/>
      <c r="S3" s="10"/>
      <c r="T3" s="10"/>
      <c r="U3" s="10"/>
      <c r="V3" s="10"/>
      <c r="W3" s="10"/>
      <c r="X3" s="10"/>
      <c r="Y3" s="10"/>
      <c r="Z3" s="10"/>
      <c r="AA3" s="10"/>
      <c r="AB3" s="10"/>
      <c r="AC3" s="10"/>
      <c r="AD3" s="10"/>
      <c r="AE3" s="10"/>
    </row>
    <row r="4" ht="28.5" customHeight="1">
      <c r="A4" s="10" t="s">
        <v>23</v>
      </c>
      <c r="B4" s="11"/>
      <c r="C4" s="11"/>
      <c r="D4" s="11"/>
      <c r="E4" s="11"/>
      <c r="F4" s="11" t="s">
        <v>18</v>
      </c>
      <c r="G4" s="11" t="s">
        <v>18</v>
      </c>
      <c r="H4" s="11" t="s">
        <v>18</v>
      </c>
      <c r="I4" s="11">
        <v>2.0</v>
      </c>
      <c r="J4" s="12">
        <v>9.0</v>
      </c>
      <c r="K4" s="11" t="s">
        <v>18</v>
      </c>
      <c r="L4" s="12">
        <v>7.0</v>
      </c>
      <c r="M4" s="11">
        <v>2.0</v>
      </c>
      <c r="N4" s="11">
        <v>4.0</v>
      </c>
      <c r="O4" s="11" t="s">
        <v>18</v>
      </c>
      <c r="P4" s="10" t="s">
        <v>22</v>
      </c>
      <c r="Q4" s="10"/>
      <c r="R4" s="10"/>
      <c r="S4" s="10"/>
      <c r="T4" s="10"/>
      <c r="U4" s="10"/>
      <c r="V4" s="10"/>
      <c r="W4" s="10"/>
      <c r="X4" s="10"/>
      <c r="Y4" s="10"/>
      <c r="Z4" s="10"/>
      <c r="AA4" s="10"/>
      <c r="AB4" s="10"/>
      <c r="AC4" s="10"/>
      <c r="AD4" s="10"/>
      <c r="AE4" s="10"/>
    </row>
    <row r="5" ht="28.5" customHeight="1">
      <c r="A5" s="10" t="s">
        <v>24</v>
      </c>
      <c r="B5" s="11"/>
      <c r="C5" s="11"/>
      <c r="D5" s="11"/>
      <c r="E5" s="11"/>
      <c r="F5" s="11">
        <v>5.0</v>
      </c>
      <c r="G5" s="11">
        <v>7.0</v>
      </c>
      <c r="H5" s="11">
        <v>3.0</v>
      </c>
      <c r="I5" s="11" t="s">
        <v>18</v>
      </c>
      <c r="J5" s="12" t="s">
        <v>18</v>
      </c>
      <c r="K5" s="11" t="s">
        <v>18</v>
      </c>
      <c r="L5" s="12" t="s">
        <v>18</v>
      </c>
      <c r="M5" s="11" t="s">
        <v>18</v>
      </c>
      <c r="N5" s="11" t="s">
        <v>18</v>
      </c>
      <c r="O5" s="11">
        <v>6.0</v>
      </c>
      <c r="P5" s="10" t="s">
        <v>25</v>
      </c>
      <c r="Q5" s="10" t="s">
        <v>26</v>
      </c>
      <c r="R5" s="10"/>
      <c r="S5" s="10"/>
      <c r="T5" s="10"/>
      <c r="U5" s="10"/>
      <c r="V5" s="10"/>
      <c r="W5" s="10"/>
      <c r="X5" s="10"/>
      <c r="Y5" s="10"/>
      <c r="Z5" s="10"/>
      <c r="AA5" s="10"/>
      <c r="AB5" s="10"/>
      <c r="AC5" s="10"/>
      <c r="AD5" s="10"/>
      <c r="AE5" s="10"/>
    </row>
    <row r="6" ht="28.5" customHeight="1">
      <c r="A6" s="14" t="s">
        <v>27</v>
      </c>
      <c r="B6" s="15"/>
      <c r="C6" s="15"/>
      <c r="D6" s="15"/>
      <c r="E6" s="15"/>
      <c r="F6" s="15" t="s">
        <v>18</v>
      </c>
      <c r="G6" s="15">
        <v>4.0</v>
      </c>
      <c r="H6" s="15">
        <v>4.0</v>
      </c>
      <c r="I6" s="15" t="s">
        <v>18</v>
      </c>
      <c r="J6" s="16" t="s">
        <v>28</v>
      </c>
      <c r="K6" s="15">
        <v>6.0</v>
      </c>
      <c r="L6" s="16" t="s">
        <v>28</v>
      </c>
      <c r="M6" s="15" t="s">
        <v>18</v>
      </c>
      <c r="N6" s="15">
        <v>4.0</v>
      </c>
      <c r="O6" s="15" t="s">
        <v>18</v>
      </c>
      <c r="P6" s="14"/>
      <c r="Q6" s="14"/>
      <c r="R6" s="14"/>
      <c r="S6" s="14"/>
      <c r="T6" s="14"/>
      <c r="U6" s="14"/>
      <c r="V6" s="14"/>
      <c r="W6" s="14"/>
      <c r="X6" s="14"/>
      <c r="Y6" s="14"/>
      <c r="Z6" s="14"/>
      <c r="AA6" s="14"/>
      <c r="AB6" s="14"/>
      <c r="AC6" s="14"/>
      <c r="AD6" s="14"/>
      <c r="AE6" s="14"/>
    </row>
    <row r="7" ht="28.5" customHeight="1">
      <c r="A7" s="10" t="s">
        <v>29</v>
      </c>
      <c r="B7" s="11"/>
      <c r="C7" s="11"/>
      <c r="D7" s="11"/>
      <c r="E7" s="11"/>
      <c r="F7" s="11" t="s">
        <v>18</v>
      </c>
      <c r="G7" s="11">
        <v>1.0</v>
      </c>
      <c r="H7" s="11">
        <v>4.0</v>
      </c>
      <c r="I7" s="11" t="s">
        <v>18</v>
      </c>
      <c r="J7" s="12">
        <v>6.0</v>
      </c>
      <c r="K7" s="11">
        <v>3.0</v>
      </c>
      <c r="L7" s="12">
        <v>4.0</v>
      </c>
      <c r="M7" s="11" t="s">
        <v>18</v>
      </c>
      <c r="N7" s="11">
        <v>5.0</v>
      </c>
      <c r="O7" s="11" t="s">
        <v>18</v>
      </c>
      <c r="P7" s="11"/>
      <c r="Q7" s="10"/>
      <c r="R7" s="10"/>
      <c r="S7" s="10"/>
      <c r="T7" s="10"/>
      <c r="U7" s="10"/>
      <c r="V7" s="10"/>
      <c r="W7" s="10"/>
      <c r="X7" s="10"/>
      <c r="Y7" s="10"/>
      <c r="Z7" s="10"/>
      <c r="AA7" s="10"/>
      <c r="AB7" s="10"/>
      <c r="AC7" s="10"/>
      <c r="AD7" s="10"/>
      <c r="AE7" s="10"/>
    </row>
    <row r="8" ht="28.5" customHeight="1">
      <c r="A8" s="10" t="s">
        <v>30</v>
      </c>
      <c r="B8" s="11"/>
      <c r="C8" s="11"/>
      <c r="D8" s="11"/>
      <c r="E8" s="11"/>
      <c r="F8" s="11">
        <v>5.0</v>
      </c>
      <c r="G8" s="11">
        <v>4.0</v>
      </c>
      <c r="H8" s="11" t="s">
        <v>18</v>
      </c>
      <c r="I8" s="11" t="s">
        <v>18</v>
      </c>
      <c r="J8" s="11" t="s">
        <v>18</v>
      </c>
      <c r="K8" s="11" t="s">
        <v>18</v>
      </c>
      <c r="L8" s="11" t="s">
        <v>18</v>
      </c>
      <c r="M8" s="11" t="s">
        <v>18</v>
      </c>
      <c r="N8" s="11" t="s">
        <v>18</v>
      </c>
      <c r="O8" s="11">
        <v>5.0</v>
      </c>
      <c r="P8" s="11"/>
      <c r="Q8" s="10"/>
      <c r="R8" s="10"/>
      <c r="S8" s="10"/>
      <c r="T8" s="10"/>
      <c r="U8" s="10"/>
      <c r="V8" s="10"/>
      <c r="W8" s="10"/>
      <c r="X8" s="10"/>
      <c r="Y8" s="10"/>
      <c r="Z8" s="10"/>
      <c r="AA8" s="10"/>
      <c r="AB8" s="10"/>
      <c r="AC8" s="10"/>
      <c r="AD8" s="10"/>
      <c r="AE8" s="10"/>
    </row>
    <row r="9" ht="15.75" customHeight="1">
      <c r="A9" s="10" t="s">
        <v>31</v>
      </c>
      <c r="B9" s="11"/>
      <c r="C9" s="11"/>
      <c r="D9" s="11"/>
      <c r="E9" s="11"/>
      <c r="F9" s="11" t="s">
        <v>18</v>
      </c>
      <c r="G9" s="11">
        <v>2.0</v>
      </c>
      <c r="H9" s="11">
        <v>5.0</v>
      </c>
      <c r="I9" s="11" t="s">
        <v>18</v>
      </c>
      <c r="J9" s="11" t="s">
        <v>18</v>
      </c>
      <c r="K9" s="11">
        <v>4.0</v>
      </c>
      <c r="L9" s="11" t="s">
        <v>18</v>
      </c>
      <c r="M9" s="11" t="s">
        <v>18</v>
      </c>
      <c r="N9" s="11">
        <v>4.0</v>
      </c>
      <c r="O9" s="11" t="s">
        <v>18</v>
      </c>
      <c r="P9" s="11"/>
      <c r="Q9" s="10"/>
      <c r="R9" s="10"/>
      <c r="S9" s="10"/>
      <c r="T9" s="10"/>
      <c r="U9" s="10"/>
      <c r="V9" s="10"/>
      <c r="W9" s="10"/>
      <c r="X9" s="10"/>
      <c r="Y9" s="10"/>
      <c r="Z9" s="10"/>
      <c r="AA9" s="10"/>
      <c r="AB9" s="10"/>
      <c r="AC9" s="10"/>
      <c r="AD9" s="10"/>
      <c r="AE9" s="10"/>
    </row>
    <row r="10" ht="15.75" customHeight="1">
      <c r="A10" s="10" t="s">
        <v>32</v>
      </c>
      <c r="B10" s="11"/>
      <c r="C10" s="11"/>
      <c r="D10" s="11"/>
      <c r="E10" s="11"/>
      <c r="F10" s="11">
        <v>5.0</v>
      </c>
      <c r="G10" s="11">
        <v>8.0</v>
      </c>
      <c r="H10" s="11">
        <v>2.0</v>
      </c>
      <c r="I10" s="11" t="s">
        <v>18</v>
      </c>
      <c r="J10" s="12" t="s">
        <v>18</v>
      </c>
      <c r="K10" s="11" t="s">
        <v>18</v>
      </c>
      <c r="L10" s="12" t="s">
        <v>18</v>
      </c>
      <c r="M10" s="11" t="s">
        <v>18</v>
      </c>
      <c r="N10" s="11" t="s">
        <v>18</v>
      </c>
      <c r="O10" s="11">
        <v>6.0</v>
      </c>
      <c r="P10" s="10"/>
      <c r="Q10" s="10"/>
      <c r="R10" s="10"/>
      <c r="S10" s="10"/>
      <c r="T10" s="10"/>
      <c r="U10" s="10"/>
      <c r="V10" s="10"/>
      <c r="W10" s="10"/>
      <c r="X10" s="10"/>
      <c r="Y10" s="10"/>
      <c r="Z10" s="10"/>
      <c r="AA10" s="10"/>
      <c r="AB10" s="10"/>
      <c r="AC10" s="10"/>
      <c r="AD10" s="10"/>
      <c r="AE10" s="10"/>
    </row>
    <row r="11" ht="15.75" customHeight="1">
      <c r="A11" s="10"/>
      <c r="B11" s="11"/>
      <c r="C11" s="11"/>
      <c r="D11" s="11"/>
      <c r="E11" s="11"/>
      <c r="F11" s="11"/>
      <c r="G11" s="11"/>
      <c r="H11" s="11"/>
      <c r="I11" s="11"/>
      <c r="J11" s="12"/>
      <c r="K11" s="11"/>
      <c r="L11" s="12"/>
      <c r="M11" s="11"/>
      <c r="N11" s="11"/>
      <c r="O11" s="11"/>
      <c r="P11" s="10"/>
      <c r="Q11" s="10"/>
      <c r="R11" s="10"/>
      <c r="S11" s="10"/>
      <c r="T11" s="10"/>
      <c r="U11" s="10"/>
      <c r="V11" s="10"/>
      <c r="W11" s="10"/>
      <c r="X11" s="10"/>
      <c r="Y11" s="10"/>
      <c r="Z11" s="10"/>
      <c r="AA11" s="10"/>
      <c r="AB11" s="10"/>
      <c r="AC11" s="10"/>
      <c r="AD11" s="10"/>
      <c r="AE11" s="10"/>
    </row>
    <row r="12" ht="15.75" customHeight="1">
      <c r="A12" s="10"/>
      <c r="B12" s="11"/>
      <c r="C12" s="11"/>
      <c r="D12" s="11"/>
      <c r="E12" s="11"/>
      <c r="F12" s="11"/>
      <c r="G12" s="11"/>
      <c r="H12" s="11"/>
      <c r="I12" s="11"/>
      <c r="J12" s="12"/>
      <c r="K12" s="11"/>
      <c r="L12" s="12"/>
      <c r="M12" s="11"/>
      <c r="N12" s="11"/>
      <c r="O12" s="11"/>
      <c r="P12" s="10"/>
      <c r="Q12" s="10"/>
      <c r="R12" s="10"/>
      <c r="S12" s="10"/>
      <c r="T12" s="10"/>
      <c r="U12" s="10"/>
      <c r="V12" s="10"/>
      <c r="W12" s="10"/>
      <c r="X12" s="10"/>
      <c r="Y12" s="10"/>
      <c r="Z12" s="10"/>
      <c r="AA12" s="10"/>
      <c r="AB12" s="10"/>
      <c r="AC12" s="10"/>
      <c r="AD12" s="10"/>
      <c r="AE12" s="10"/>
    </row>
    <row r="13" ht="15.75" customHeight="1">
      <c r="A13" s="10"/>
      <c r="B13" s="11"/>
      <c r="C13" s="11"/>
      <c r="D13" s="11"/>
      <c r="E13" s="11"/>
      <c r="F13" s="11"/>
      <c r="G13" s="11"/>
      <c r="H13" s="11"/>
      <c r="I13" s="11"/>
      <c r="J13" s="12"/>
      <c r="K13" s="11"/>
      <c r="L13" s="12"/>
      <c r="M13" s="11"/>
      <c r="N13" s="11"/>
      <c r="O13" s="11"/>
      <c r="P13" s="10"/>
      <c r="Q13" s="10"/>
      <c r="R13" s="10"/>
      <c r="S13" s="10"/>
      <c r="T13" s="10"/>
      <c r="U13" s="10"/>
      <c r="V13" s="10"/>
      <c r="W13" s="10"/>
      <c r="X13" s="10"/>
      <c r="Y13" s="10"/>
      <c r="Z13" s="10"/>
      <c r="AA13" s="10"/>
      <c r="AB13" s="10"/>
      <c r="AC13" s="10"/>
      <c r="AD13" s="10"/>
      <c r="AE13" s="10"/>
    </row>
    <row r="14" ht="15.75" customHeight="1">
      <c r="A14" s="10"/>
      <c r="B14" s="11"/>
      <c r="C14" s="11"/>
      <c r="D14" s="11"/>
      <c r="E14" s="11"/>
      <c r="F14" s="11"/>
      <c r="G14" s="11"/>
      <c r="H14" s="11"/>
      <c r="I14" s="11"/>
      <c r="J14" s="12"/>
      <c r="K14" s="11"/>
      <c r="L14" s="12"/>
      <c r="M14" s="11"/>
      <c r="N14" s="11"/>
      <c r="O14" s="11"/>
      <c r="P14" s="10"/>
      <c r="Q14" s="10"/>
      <c r="R14" s="10"/>
      <c r="S14" s="10"/>
      <c r="T14" s="10"/>
      <c r="U14" s="10"/>
      <c r="V14" s="10"/>
      <c r="W14" s="10"/>
      <c r="X14" s="10"/>
      <c r="Y14" s="10"/>
      <c r="Z14" s="10"/>
      <c r="AA14" s="10"/>
      <c r="AB14" s="10"/>
      <c r="AC14" s="10"/>
      <c r="AD14" s="10"/>
      <c r="AE14" s="10"/>
    </row>
    <row r="15" ht="15.75" customHeight="1">
      <c r="A15" s="10"/>
      <c r="B15" s="11"/>
      <c r="C15" s="11"/>
      <c r="D15" s="11"/>
      <c r="E15" s="11"/>
      <c r="F15" s="11"/>
      <c r="G15" s="11"/>
      <c r="H15" s="11"/>
      <c r="I15" s="11"/>
      <c r="J15" s="12"/>
      <c r="K15" s="11"/>
      <c r="L15" s="12"/>
      <c r="M15" s="11"/>
      <c r="N15" s="11"/>
      <c r="O15" s="11"/>
      <c r="P15" s="10"/>
      <c r="Q15" s="10"/>
      <c r="R15" s="10"/>
      <c r="S15" s="10"/>
      <c r="T15" s="10"/>
      <c r="U15" s="10"/>
      <c r="V15" s="10"/>
      <c r="W15" s="10"/>
      <c r="X15" s="10"/>
      <c r="Y15" s="10"/>
      <c r="Z15" s="10"/>
      <c r="AA15" s="10"/>
      <c r="AB15" s="10"/>
      <c r="AC15" s="10"/>
      <c r="AD15" s="10"/>
      <c r="AE15" s="10"/>
    </row>
    <row r="16" ht="15.75" customHeight="1">
      <c r="A16" s="10"/>
      <c r="B16" s="11"/>
      <c r="C16" s="11"/>
      <c r="D16" s="11"/>
      <c r="E16" s="11"/>
      <c r="F16" s="11"/>
      <c r="G16" s="11"/>
      <c r="H16" s="11"/>
      <c r="I16" s="11"/>
      <c r="J16" s="12"/>
      <c r="K16" s="11"/>
      <c r="L16" s="12"/>
      <c r="M16" s="11"/>
      <c r="N16" s="11"/>
      <c r="O16" s="11"/>
      <c r="P16" s="10"/>
      <c r="Q16" s="10"/>
      <c r="R16" s="10"/>
      <c r="S16" s="10"/>
      <c r="T16" s="10"/>
      <c r="U16" s="10"/>
      <c r="V16" s="10"/>
      <c r="W16" s="10"/>
      <c r="X16" s="10"/>
      <c r="Y16" s="10"/>
      <c r="Z16" s="10"/>
      <c r="AA16" s="10"/>
      <c r="AB16" s="10"/>
      <c r="AC16" s="10"/>
      <c r="AD16" s="10"/>
      <c r="AE16" s="10"/>
    </row>
    <row r="17" ht="15.75" customHeight="1">
      <c r="A17" s="10"/>
      <c r="B17" s="11"/>
      <c r="C17" s="11"/>
      <c r="D17" s="11"/>
      <c r="E17" s="11"/>
      <c r="F17" s="11"/>
      <c r="G17" s="11"/>
      <c r="H17" s="11"/>
      <c r="I17" s="11"/>
      <c r="J17" s="12"/>
      <c r="K17" s="11"/>
      <c r="L17" s="12"/>
      <c r="M17" s="11"/>
      <c r="N17" s="11"/>
      <c r="O17" s="11"/>
      <c r="P17" s="10"/>
      <c r="Q17" s="10"/>
      <c r="R17" s="10"/>
      <c r="S17" s="10"/>
      <c r="T17" s="10"/>
      <c r="U17" s="10"/>
      <c r="V17" s="10"/>
      <c r="W17" s="10"/>
      <c r="X17" s="10"/>
      <c r="Y17" s="10"/>
      <c r="Z17" s="10"/>
      <c r="AA17" s="10"/>
      <c r="AB17" s="10"/>
      <c r="AC17" s="10"/>
      <c r="AD17" s="10"/>
      <c r="AE17" s="10"/>
    </row>
    <row r="18" ht="15.75" customHeight="1">
      <c r="A18" s="10"/>
      <c r="B18" s="11"/>
      <c r="C18" s="11"/>
      <c r="D18" s="11"/>
      <c r="E18" s="11"/>
      <c r="F18" s="11"/>
      <c r="G18" s="11"/>
      <c r="H18" s="11"/>
      <c r="I18" s="11"/>
      <c r="J18" s="12"/>
      <c r="K18" s="11"/>
      <c r="L18" s="12"/>
      <c r="M18" s="11"/>
      <c r="N18" s="11"/>
      <c r="O18" s="11"/>
      <c r="P18" s="10"/>
      <c r="Q18" s="10"/>
      <c r="R18" s="10"/>
      <c r="S18" s="10"/>
      <c r="T18" s="10"/>
      <c r="U18" s="10"/>
      <c r="V18" s="10"/>
      <c r="W18" s="10"/>
      <c r="X18" s="10"/>
      <c r="Y18" s="10"/>
      <c r="Z18" s="10"/>
      <c r="AA18" s="10"/>
      <c r="AB18" s="10"/>
      <c r="AC18" s="10"/>
      <c r="AD18" s="10"/>
      <c r="AE18" s="10"/>
    </row>
    <row r="19" ht="15.75" customHeight="1">
      <c r="A19" s="10"/>
      <c r="B19" s="11"/>
      <c r="C19" s="11"/>
      <c r="D19" s="11"/>
      <c r="E19" s="11"/>
      <c r="F19" s="11"/>
      <c r="G19" s="11"/>
      <c r="H19" s="11"/>
      <c r="I19" s="11"/>
      <c r="J19" s="12"/>
      <c r="K19" s="11"/>
      <c r="L19" s="12"/>
      <c r="M19" s="11"/>
      <c r="N19" s="11"/>
      <c r="O19" s="11"/>
      <c r="P19" s="10"/>
      <c r="Q19" s="10"/>
      <c r="R19" s="10"/>
      <c r="S19" s="10"/>
      <c r="T19" s="10"/>
      <c r="U19" s="10"/>
      <c r="V19" s="10"/>
      <c r="W19" s="10"/>
      <c r="X19" s="10"/>
      <c r="Y19" s="10"/>
      <c r="Z19" s="10"/>
      <c r="AA19" s="10"/>
      <c r="AB19" s="10"/>
      <c r="AC19" s="10"/>
      <c r="AD19" s="10"/>
      <c r="AE19" s="10"/>
    </row>
    <row r="20" ht="15.75" customHeight="1">
      <c r="A20" s="10"/>
      <c r="B20" s="17"/>
      <c r="C20" s="17"/>
      <c r="D20" s="17"/>
      <c r="E20" s="17"/>
      <c r="F20" s="17"/>
      <c r="G20" s="17"/>
      <c r="H20" s="17"/>
      <c r="I20" s="17"/>
      <c r="J20" s="18"/>
      <c r="K20" s="17"/>
      <c r="L20" s="18"/>
      <c r="M20" s="17"/>
      <c r="N20" s="17"/>
      <c r="O20" s="17"/>
      <c r="P20" s="10"/>
      <c r="Q20" s="10"/>
      <c r="R20" s="10"/>
      <c r="S20" s="10"/>
      <c r="T20" s="10"/>
      <c r="U20" s="10"/>
      <c r="V20" s="10"/>
      <c r="W20" s="10"/>
      <c r="X20" s="10"/>
      <c r="Y20" s="10"/>
      <c r="Z20" s="10"/>
      <c r="AA20" s="10"/>
      <c r="AB20" s="10"/>
      <c r="AC20" s="10"/>
      <c r="AD20" s="10"/>
      <c r="AE20" s="10"/>
    </row>
    <row r="21" ht="15.75" customHeight="1">
      <c r="A21" s="10"/>
      <c r="B21" s="17"/>
      <c r="C21" s="17"/>
      <c r="D21" s="17"/>
      <c r="E21" s="17"/>
      <c r="F21" s="17"/>
      <c r="G21" s="17"/>
      <c r="H21" s="17"/>
      <c r="I21" s="17"/>
      <c r="J21" s="18"/>
      <c r="K21" s="17"/>
      <c r="L21" s="18"/>
      <c r="M21" s="17"/>
      <c r="N21" s="17"/>
      <c r="O21" s="17"/>
      <c r="P21" s="10"/>
      <c r="Q21" s="10"/>
      <c r="R21" s="10"/>
      <c r="S21" s="10"/>
      <c r="T21" s="10"/>
      <c r="U21" s="10"/>
      <c r="V21" s="10"/>
      <c r="W21" s="10"/>
      <c r="X21" s="10"/>
      <c r="Y21" s="10"/>
      <c r="Z21" s="10"/>
      <c r="AA21" s="10"/>
      <c r="AB21" s="10"/>
      <c r="AC21" s="10"/>
      <c r="AD21" s="10"/>
      <c r="AE21" s="10"/>
    </row>
    <row r="22" ht="15.75" customHeight="1">
      <c r="A22" s="10"/>
      <c r="B22" s="17"/>
      <c r="C22" s="17"/>
      <c r="D22" s="17"/>
      <c r="E22" s="17"/>
      <c r="F22" s="17"/>
      <c r="G22" s="17"/>
      <c r="H22" s="17"/>
      <c r="I22" s="17"/>
      <c r="J22" s="18"/>
      <c r="K22" s="17"/>
      <c r="L22" s="18"/>
      <c r="M22" s="17"/>
      <c r="N22" s="17"/>
      <c r="O22" s="17"/>
      <c r="P22" s="10"/>
      <c r="Q22" s="10"/>
      <c r="R22" s="10"/>
      <c r="S22" s="10"/>
      <c r="T22" s="10"/>
      <c r="U22" s="10"/>
      <c r="V22" s="10"/>
      <c r="W22" s="10"/>
      <c r="X22" s="10"/>
      <c r="Y22" s="10"/>
      <c r="Z22" s="10"/>
      <c r="AA22" s="10"/>
      <c r="AB22" s="10"/>
      <c r="AC22" s="10"/>
      <c r="AD22" s="10"/>
      <c r="AE22" s="10"/>
    </row>
    <row r="23" ht="15.75" customHeight="1">
      <c r="A23" s="10"/>
      <c r="B23" s="17"/>
      <c r="C23" s="17"/>
      <c r="D23" s="17"/>
      <c r="E23" s="17"/>
      <c r="F23" s="17"/>
      <c r="G23" s="17"/>
      <c r="H23" s="17"/>
      <c r="I23" s="17"/>
      <c r="J23" s="18"/>
      <c r="K23" s="17"/>
      <c r="L23" s="18"/>
      <c r="M23" s="17"/>
      <c r="N23" s="17"/>
      <c r="O23" s="17"/>
      <c r="P23" s="10"/>
      <c r="Q23" s="10"/>
      <c r="R23" s="10"/>
      <c r="S23" s="10"/>
      <c r="T23" s="10"/>
      <c r="U23" s="10"/>
      <c r="V23" s="10"/>
      <c r="W23" s="10"/>
      <c r="X23" s="10"/>
      <c r="Y23" s="10"/>
      <c r="Z23" s="10"/>
      <c r="AA23" s="10"/>
      <c r="AB23" s="10"/>
      <c r="AC23" s="10"/>
      <c r="AD23" s="10"/>
      <c r="AE23" s="10"/>
    </row>
    <row r="24" ht="15.75" customHeight="1">
      <c r="A24" s="10"/>
      <c r="B24" s="17"/>
      <c r="C24" s="17"/>
      <c r="D24" s="17"/>
      <c r="E24" s="17"/>
      <c r="F24" s="17"/>
      <c r="G24" s="17"/>
      <c r="H24" s="17"/>
      <c r="I24" s="17"/>
      <c r="J24" s="18"/>
      <c r="K24" s="17"/>
      <c r="L24" s="18"/>
      <c r="M24" s="17"/>
      <c r="N24" s="17"/>
      <c r="O24" s="17"/>
      <c r="P24" s="10"/>
      <c r="Q24" s="10"/>
      <c r="R24" s="10"/>
      <c r="S24" s="10"/>
      <c r="T24" s="10"/>
      <c r="U24" s="10"/>
      <c r="V24" s="10"/>
      <c r="W24" s="10"/>
      <c r="X24" s="10"/>
      <c r="Y24" s="10"/>
      <c r="Z24" s="10"/>
      <c r="AA24" s="10"/>
      <c r="AB24" s="10"/>
      <c r="AC24" s="10"/>
      <c r="AD24" s="10"/>
      <c r="AE24" s="10"/>
    </row>
    <row r="25" ht="15.75" customHeight="1">
      <c r="A25" s="10"/>
      <c r="B25" s="17"/>
      <c r="C25" s="17"/>
      <c r="D25" s="17"/>
      <c r="E25" s="17"/>
      <c r="F25" s="17"/>
      <c r="G25" s="17"/>
      <c r="H25" s="17"/>
      <c r="I25" s="17"/>
      <c r="J25" s="18"/>
      <c r="K25" s="17"/>
      <c r="L25" s="18"/>
      <c r="M25" s="17"/>
      <c r="N25" s="17"/>
      <c r="O25" s="17"/>
      <c r="P25" s="10"/>
      <c r="Q25" s="10"/>
      <c r="R25" s="10"/>
      <c r="S25" s="10"/>
      <c r="T25" s="10"/>
      <c r="U25" s="10"/>
      <c r="V25" s="10"/>
      <c r="W25" s="10"/>
      <c r="X25" s="10"/>
      <c r="Y25" s="10"/>
      <c r="Z25" s="10"/>
      <c r="AA25" s="10"/>
      <c r="AB25" s="10"/>
      <c r="AC25" s="10"/>
      <c r="AD25" s="10"/>
      <c r="AE25" s="10"/>
    </row>
    <row r="26" ht="15.75" customHeight="1">
      <c r="A26" s="10"/>
      <c r="B26" s="17"/>
      <c r="C26" s="17"/>
      <c r="D26" s="17"/>
      <c r="E26" s="17"/>
      <c r="F26" s="17"/>
      <c r="G26" s="17"/>
      <c r="H26" s="17"/>
      <c r="I26" s="17"/>
      <c r="J26" s="18"/>
      <c r="K26" s="17"/>
      <c r="L26" s="18"/>
      <c r="M26" s="17"/>
      <c r="N26" s="17"/>
      <c r="O26" s="17"/>
      <c r="P26" s="10"/>
      <c r="Q26" s="10"/>
      <c r="R26" s="10"/>
      <c r="S26" s="10"/>
      <c r="T26" s="10"/>
      <c r="U26" s="10"/>
      <c r="V26" s="10"/>
      <c r="W26" s="10"/>
      <c r="X26" s="10"/>
      <c r="Y26" s="10"/>
      <c r="Z26" s="10"/>
      <c r="AA26" s="10"/>
      <c r="AB26" s="10"/>
      <c r="AC26" s="10"/>
      <c r="AD26" s="10"/>
      <c r="AE26" s="10"/>
    </row>
    <row r="27" ht="15.75" customHeight="1">
      <c r="A27" s="10"/>
      <c r="B27" s="17"/>
      <c r="C27" s="17"/>
      <c r="D27" s="17"/>
      <c r="E27" s="17"/>
      <c r="F27" s="17"/>
      <c r="G27" s="17"/>
      <c r="H27" s="17"/>
      <c r="I27" s="17"/>
      <c r="J27" s="18"/>
      <c r="K27" s="17"/>
      <c r="L27" s="18"/>
      <c r="M27" s="17"/>
      <c r="N27" s="17"/>
      <c r="O27" s="17"/>
      <c r="P27" s="10"/>
      <c r="Q27" s="10"/>
      <c r="R27" s="10"/>
      <c r="S27" s="10"/>
      <c r="T27" s="10"/>
      <c r="U27" s="10"/>
      <c r="V27" s="10"/>
      <c r="W27" s="10"/>
      <c r="X27" s="10"/>
      <c r="Y27" s="10"/>
      <c r="Z27" s="10"/>
      <c r="AA27" s="10"/>
      <c r="AB27" s="10"/>
      <c r="AC27" s="10"/>
      <c r="AD27" s="10"/>
      <c r="AE27" s="10"/>
    </row>
    <row r="28" ht="15.75" customHeight="1">
      <c r="A28" s="10"/>
      <c r="B28" s="10"/>
      <c r="C28" s="10"/>
      <c r="D28" s="10"/>
      <c r="E28" s="10"/>
      <c r="F28" s="10"/>
      <c r="G28" s="10"/>
      <c r="H28" s="10"/>
      <c r="I28" s="10"/>
      <c r="J28" s="19"/>
      <c r="K28" s="10"/>
      <c r="L28" s="19"/>
      <c r="M28" s="10"/>
      <c r="N28" s="10"/>
      <c r="O28" s="10"/>
      <c r="P28" s="10"/>
      <c r="Q28" s="10"/>
      <c r="R28" s="10"/>
      <c r="S28" s="10"/>
      <c r="T28" s="10"/>
      <c r="U28" s="10"/>
      <c r="V28" s="10"/>
      <c r="W28" s="10"/>
      <c r="X28" s="10"/>
      <c r="Y28" s="10"/>
      <c r="Z28" s="10"/>
      <c r="AA28" s="10"/>
      <c r="AB28" s="10"/>
      <c r="AC28" s="10"/>
      <c r="AD28" s="10"/>
      <c r="AE28" s="10"/>
    </row>
    <row r="29" ht="15.75" customHeight="1">
      <c r="A29" s="10"/>
      <c r="B29" s="10"/>
      <c r="C29" s="10"/>
      <c r="D29" s="10"/>
      <c r="E29" s="10"/>
      <c r="F29" s="10"/>
      <c r="G29" s="10"/>
      <c r="H29" s="10"/>
      <c r="I29" s="10"/>
      <c r="J29" s="19"/>
      <c r="K29" s="10"/>
      <c r="L29" s="19"/>
      <c r="M29" s="10"/>
      <c r="N29" s="10"/>
      <c r="O29" s="10"/>
      <c r="P29" s="10"/>
      <c r="Q29" s="10"/>
      <c r="R29" s="10"/>
      <c r="S29" s="10"/>
      <c r="T29" s="10"/>
      <c r="U29" s="10"/>
      <c r="V29" s="10"/>
      <c r="W29" s="10"/>
      <c r="X29" s="10"/>
      <c r="Y29" s="10"/>
      <c r="Z29" s="10"/>
      <c r="AA29" s="10"/>
      <c r="AB29" s="10"/>
      <c r="AC29" s="10"/>
      <c r="AD29" s="10"/>
      <c r="AE29" s="10"/>
    </row>
    <row r="30" ht="15.75" customHeight="1">
      <c r="A30" s="10"/>
      <c r="B30" s="10"/>
      <c r="C30" s="10"/>
      <c r="D30" s="10"/>
      <c r="E30" s="10"/>
      <c r="F30" s="10"/>
      <c r="G30" s="10"/>
      <c r="H30" s="10"/>
      <c r="I30" s="10"/>
      <c r="J30" s="19"/>
      <c r="K30" s="10"/>
      <c r="L30" s="19"/>
      <c r="M30" s="10"/>
      <c r="N30" s="10"/>
      <c r="O30" s="10"/>
      <c r="P30" s="10"/>
      <c r="Q30" s="10"/>
      <c r="R30" s="10"/>
      <c r="S30" s="10"/>
      <c r="T30" s="10"/>
      <c r="U30" s="10"/>
      <c r="V30" s="10"/>
      <c r="W30" s="10"/>
      <c r="X30" s="10"/>
      <c r="Y30" s="10"/>
      <c r="Z30" s="10"/>
      <c r="AA30" s="10"/>
      <c r="AB30" s="10"/>
      <c r="AC30" s="10"/>
      <c r="AD30" s="10"/>
      <c r="AE30" s="10"/>
    </row>
    <row r="31" ht="15.75" customHeight="1">
      <c r="A31" s="10"/>
      <c r="B31" s="10"/>
      <c r="C31" s="10"/>
      <c r="D31" s="10"/>
      <c r="E31" s="10"/>
      <c r="F31" s="10"/>
      <c r="G31" s="10"/>
      <c r="H31" s="10"/>
      <c r="I31" s="10"/>
      <c r="J31" s="19"/>
      <c r="K31" s="10"/>
      <c r="L31" s="19"/>
      <c r="M31" s="10"/>
      <c r="N31" s="10"/>
      <c r="O31" s="10"/>
      <c r="P31" s="10"/>
      <c r="Q31" s="10"/>
      <c r="R31" s="10"/>
      <c r="S31" s="10"/>
      <c r="T31" s="10"/>
      <c r="U31" s="10"/>
      <c r="V31" s="10"/>
      <c r="W31" s="10"/>
      <c r="X31" s="10"/>
      <c r="Y31" s="10"/>
      <c r="Z31" s="10"/>
      <c r="AA31" s="10"/>
      <c r="AB31" s="10"/>
      <c r="AC31" s="10"/>
      <c r="AD31" s="10"/>
      <c r="AE31" s="10"/>
    </row>
    <row r="32" ht="15.75" customHeight="1">
      <c r="A32" s="10"/>
      <c r="B32" s="10"/>
      <c r="C32" s="10"/>
      <c r="D32" s="10"/>
      <c r="E32" s="10"/>
      <c r="F32" s="10"/>
      <c r="G32" s="10"/>
      <c r="H32" s="10"/>
      <c r="I32" s="10"/>
      <c r="J32" s="19"/>
      <c r="K32" s="10"/>
      <c r="L32" s="19"/>
      <c r="M32" s="10"/>
      <c r="N32" s="10"/>
      <c r="O32" s="10"/>
      <c r="P32" s="10"/>
      <c r="Q32" s="10"/>
      <c r="R32" s="10"/>
      <c r="S32" s="10"/>
      <c r="T32" s="10"/>
      <c r="U32" s="10"/>
      <c r="V32" s="10"/>
      <c r="W32" s="10"/>
      <c r="X32" s="10"/>
      <c r="Y32" s="10"/>
      <c r="Z32" s="10"/>
      <c r="AA32" s="10"/>
      <c r="AB32" s="10"/>
      <c r="AC32" s="10"/>
      <c r="AD32" s="10"/>
      <c r="AE32" s="10"/>
    </row>
    <row r="33" ht="15.75" customHeight="1">
      <c r="A33" s="10"/>
      <c r="B33" s="10"/>
      <c r="C33" s="10"/>
      <c r="D33" s="10"/>
      <c r="E33" s="10"/>
      <c r="F33" s="10"/>
      <c r="G33" s="10"/>
      <c r="H33" s="10"/>
      <c r="I33" s="10"/>
      <c r="J33" s="19"/>
      <c r="K33" s="10"/>
      <c r="L33" s="19"/>
      <c r="M33" s="10"/>
      <c r="N33" s="10"/>
      <c r="O33" s="10"/>
      <c r="P33" s="10"/>
      <c r="Q33" s="10"/>
      <c r="R33" s="10"/>
      <c r="S33" s="10"/>
      <c r="T33" s="10"/>
      <c r="U33" s="10"/>
      <c r="V33" s="10"/>
      <c r="W33" s="10"/>
      <c r="X33" s="10"/>
      <c r="Y33" s="10"/>
      <c r="Z33" s="10"/>
      <c r="AA33" s="10"/>
      <c r="AB33" s="10"/>
      <c r="AC33" s="10"/>
      <c r="AD33" s="10"/>
      <c r="AE33" s="10"/>
    </row>
    <row r="34" ht="15.75" customHeight="1">
      <c r="A34" s="10"/>
      <c r="B34" s="10"/>
      <c r="C34" s="10"/>
      <c r="D34" s="10"/>
      <c r="E34" s="10"/>
      <c r="F34" s="10"/>
      <c r="G34" s="10"/>
      <c r="H34" s="10"/>
      <c r="I34" s="10"/>
      <c r="J34" s="19"/>
      <c r="K34" s="10"/>
      <c r="L34" s="19"/>
      <c r="M34" s="10"/>
      <c r="N34" s="10"/>
      <c r="O34" s="10"/>
      <c r="P34" s="10"/>
      <c r="Q34" s="10"/>
      <c r="R34" s="10"/>
      <c r="S34" s="10"/>
      <c r="T34" s="10"/>
      <c r="U34" s="10"/>
      <c r="V34" s="10"/>
      <c r="W34" s="10"/>
      <c r="X34" s="10"/>
      <c r="Y34" s="10"/>
      <c r="Z34" s="10"/>
      <c r="AA34" s="10"/>
      <c r="AB34" s="10"/>
      <c r="AC34" s="10"/>
      <c r="AD34" s="10"/>
      <c r="AE34" s="10"/>
    </row>
    <row r="35" ht="15.75" customHeight="1">
      <c r="A35" s="10"/>
      <c r="B35" s="10"/>
      <c r="C35" s="10"/>
      <c r="D35" s="10"/>
      <c r="E35" s="10"/>
      <c r="F35" s="10"/>
      <c r="G35" s="10"/>
      <c r="H35" s="10"/>
      <c r="I35" s="10"/>
      <c r="J35" s="19"/>
      <c r="K35" s="10"/>
      <c r="L35" s="19"/>
      <c r="M35" s="10"/>
      <c r="N35" s="10"/>
      <c r="O35" s="10"/>
      <c r="P35" s="10"/>
      <c r="Q35" s="10"/>
      <c r="R35" s="10"/>
      <c r="S35" s="10"/>
      <c r="T35" s="10"/>
      <c r="U35" s="10"/>
      <c r="V35" s="10"/>
      <c r="W35" s="10"/>
      <c r="X35" s="10"/>
      <c r="Y35" s="10"/>
      <c r="Z35" s="10"/>
      <c r="AA35" s="10"/>
      <c r="AB35" s="10"/>
      <c r="AC35" s="10"/>
      <c r="AD35" s="10"/>
      <c r="AE35" s="10"/>
    </row>
    <row r="36" ht="15.75" customHeight="1">
      <c r="A36" s="10"/>
      <c r="B36" s="10"/>
      <c r="C36" s="10"/>
      <c r="D36" s="10"/>
      <c r="E36" s="10"/>
      <c r="F36" s="10"/>
      <c r="G36" s="10"/>
      <c r="H36" s="10"/>
      <c r="I36" s="10"/>
      <c r="J36" s="19"/>
      <c r="K36" s="10"/>
      <c r="L36" s="19"/>
      <c r="M36" s="10"/>
      <c r="N36" s="10"/>
      <c r="O36" s="10"/>
      <c r="P36" s="10"/>
      <c r="Q36" s="10"/>
      <c r="R36" s="10"/>
      <c r="S36" s="10"/>
      <c r="T36" s="10"/>
      <c r="U36" s="10"/>
      <c r="V36" s="10"/>
      <c r="W36" s="10"/>
      <c r="X36" s="10"/>
      <c r="Y36" s="10"/>
      <c r="Z36" s="10"/>
      <c r="AA36" s="10"/>
      <c r="AB36" s="10"/>
      <c r="AC36" s="10"/>
      <c r="AD36" s="10"/>
      <c r="AE36" s="10"/>
    </row>
    <row r="37" ht="15.75" customHeight="1">
      <c r="A37" s="10"/>
      <c r="B37" s="10"/>
      <c r="C37" s="10"/>
      <c r="D37" s="10"/>
      <c r="E37" s="10"/>
      <c r="F37" s="10"/>
      <c r="G37" s="10"/>
      <c r="H37" s="10"/>
      <c r="I37" s="10"/>
      <c r="J37" s="19"/>
      <c r="K37" s="10"/>
      <c r="L37" s="19"/>
      <c r="M37" s="10"/>
      <c r="N37" s="10"/>
      <c r="O37" s="10"/>
      <c r="P37" s="10"/>
      <c r="Q37" s="10"/>
      <c r="R37" s="10"/>
      <c r="S37" s="10"/>
      <c r="T37" s="10"/>
      <c r="U37" s="10"/>
      <c r="V37" s="10"/>
      <c r="W37" s="10"/>
      <c r="X37" s="10"/>
      <c r="Y37" s="10"/>
      <c r="Z37" s="10"/>
      <c r="AA37" s="10"/>
      <c r="AB37" s="10"/>
      <c r="AC37" s="10"/>
      <c r="AD37" s="10"/>
      <c r="AE37" s="10"/>
    </row>
    <row r="38" ht="15.75" customHeight="1">
      <c r="A38" s="10"/>
      <c r="B38" s="10"/>
      <c r="C38" s="10"/>
      <c r="D38" s="10"/>
      <c r="E38" s="10"/>
      <c r="F38" s="10"/>
      <c r="G38" s="10"/>
      <c r="H38" s="10"/>
      <c r="I38" s="10"/>
      <c r="J38" s="19"/>
      <c r="K38" s="10"/>
      <c r="L38" s="19"/>
      <c r="M38" s="10"/>
      <c r="N38" s="10"/>
      <c r="O38" s="10"/>
      <c r="P38" s="10"/>
      <c r="Q38" s="10"/>
      <c r="R38" s="10"/>
      <c r="S38" s="10"/>
      <c r="T38" s="10"/>
      <c r="U38" s="10"/>
      <c r="V38" s="10"/>
      <c r="W38" s="10"/>
      <c r="X38" s="10"/>
      <c r="Y38" s="10"/>
      <c r="Z38" s="10"/>
      <c r="AA38" s="10"/>
      <c r="AB38" s="10"/>
      <c r="AC38" s="10"/>
      <c r="AD38" s="10"/>
      <c r="AE38" s="10"/>
    </row>
    <row r="39" ht="15.75" customHeight="1">
      <c r="A39" s="10"/>
      <c r="B39" s="10"/>
      <c r="C39" s="10"/>
      <c r="D39" s="10"/>
      <c r="E39" s="10"/>
      <c r="F39" s="10"/>
      <c r="G39" s="10"/>
      <c r="H39" s="10"/>
      <c r="I39" s="10"/>
      <c r="J39" s="19"/>
      <c r="K39" s="10"/>
      <c r="L39" s="19"/>
      <c r="M39" s="10"/>
      <c r="N39" s="10"/>
      <c r="O39" s="10"/>
      <c r="P39" s="10"/>
      <c r="Q39" s="10"/>
      <c r="R39" s="10"/>
      <c r="S39" s="10"/>
      <c r="T39" s="10"/>
      <c r="U39" s="10"/>
      <c r="V39" s="10"/>
      <c r="W39" s="10"/>
      <c r="X39" s="10"/>
      <c r="Y39" s="10"/>
      <c r="Z39" s="10"/>
      <c r="AA39" s="10"/>
      <c r="AB39" s="10"/>
      <c r="AC39" s="10"/>
      <c r="AD39" s="10"/>
      <c r="AE39" s="10"/>
    </row>
    <row r="40" ht="15.75" customHeight="1">
      <c r="A40" s="10"/>
      <c r="B40" s="10"/>
      <c r="C40" s="10"/>
      <c r="D40" s="10"/>
      <c r="E40" s="10"/>
      <c r="F40" s="10"/>
      <c r="G40" s="10"/>
      <c r="H40" s="10"/>
      <c r="I40" s="10"/>
      <c r="J40" s="19"/>
      <c r="K40" s="10"/>
      <c r="L40" s="19"/>
      <c r="M40" s="10"/>
      <c r="N40" s="10"/>
      <c r="O40" s="10"/>
      <c r="P40" s="10"/>
      <c r="Q40" s="10"/>
      <c r="R40" s="10"/>
      <c r="S40" s="10"/>
      <c r="T40" s="10"/>
      <c r="U40" s="10"/>
      <c r="V40" s="10"/>
      <c r="W40" s="10"/>
      <c r="X40" s="10"/>
      <c r="Y40" s="10"/>
      <c r="Z40" s="10"/>
      <c r="AA40" s="10"/>
      <c r="AB40" s="10"/>
      <c r="AC40" s="10"/>
      <c r="AD40" s="10"/>
      <c r="AE40" s="10"/>
    </row>
    <row r="41" ht="15.75" customHeight="1">
      <c r="A41" s="10"/>
      <c r="B41" s="10"/>
      <c r="C41" s="10"/>
      <c r="D41" s="10"/>
      <c r="E41" s="10"/>
      <c r="F41" s="10"/>
      <c r="G41" s="10"/>
      <c r="H41" s="10"/>
      <c r="I41" s="10"/>
      <c r="J41" s="19"/>
      <c r="K41" s="10"/>
      <c r="L41" s="19"/>
      <c r="M41" s="10"/>
      <c r="N41" s="10"/>
      <c r="O41" s="10"/>
      <c r="P41" s="10"/>
      <c r="Q41" s="10"/>
      <c r="R41" s="10"/>
      <c r="S41" s="10"/>
      <c r="T41" s="10"/>
      <c r="U41" s="10"/>
      <c r="V41" s="10"/>
      <c r="W41" s="10"/>
      <c r="X41" s="10"/>
      <c r="Y41" s="10"/>
      <c r="Z41" s="10"/>
      <c r="AA41" s="10"/>
      <c r="AB41" s="10"/>
      <c r="AC41" s="10"/>
      <c r="AD41" s="10"/>
      <c r="AE41" s="10"/>
    </row>
    <row r="42" ht="15.75" customHeight="1">
      <c r="A42" s="10"/>
      <c r="B42" s="10"/>
      <c r="C42" s="10"/>
      <c r="D42" s="10"/>
      <c r="E42" s="10"/>
      <c r="F42" s="10"/>
      <c r="G42" s="10"/>
      <c r="H42" s="10"/>
      <c r="I42" s="10"/>
      <c r="J42" s="19"/>
      <c r="K42" s="10"/>
      <c r="L42" s="19"/>
      <c r="M42" s="10"/>
      <c r="N42" s="10"/>
      <c r="O42" s="10"/>
      <c r="P42" s="10"/>
      <c r="Q42" s="10"/>
      <c r="R42" s="10"/>
      <c r="S42" s="10"/>
      <c r="T42" s="10"/>
      <c r="U42" s="10"/>
      <c r="V42" s="10"/>
      <c r="W42" s="10"/>
      <c r="X42" s="10"/>
      <c r="Y42" s="10"/>
      <c r="Z42" s="10"/>
      <c r="AA42" s="10"/>
      <c r="AB42" s="10"/>
      <c r="AC42" s="10"/>
      <c r="AD42" s="10"/>
      <c r="AE42" s="10"/>
    </row>
    <row r="43" ht="15.75" customHeight="1">
      <c r="A43" s="10"/>
      <c r="B43" s="10"/>
      <c r="C43" s="10"/>
      <c r="D43" s="10"/>
      <c r="E43" s="10"/>
      <c r="F43" s="10"/>
      <c r="G43" s="10"/>
      <c r="H43" s="10"/>
      <c r="I43" s="10"/>
      <c r="J43" s="19"/>
      <c r="K43" s="10"/>
      <c r="L43" s="19"/>
      <c r="M43" s="10"/>
      <c r="N43" s="10"/>
      <c r="O43" s="10"/>
      <c r="P43" s="10"/>
      <c r="Q43" s="10"/>
      <c r="R43" s="10"/>
      <c r="S43" s="10"/>
      <c r="T43" s="10"/>
      <c r="U43" s="10"/>
      <c r="V43" s="10"/>
      <c r="W43" s="10"/>
      <c r="X43" s="10"/>
      <c r="Y43" s="10"/>
      <c r="Z43" s="10"/>
      <c r="AA43" s="10"/>
      <c r="AB43" s="10"/>
      <c r="AC43" s="10"/>
      <c r="AD43" s="10"/>
      <c r="AE43" s="10"/>
    </row>
    <row r="44" ht="15.75" customHeight="1">
      <c r="A44" s="10"/>
      <c r="B44" s="10"/>
      <c r="C44" s="10"/>
      <c r="D44" s="10"/>
      <c r="E44" s="10"/>
      <c r="F44" s="10"/>
      <c r="G44" s="10"/>
      <c r="H44" s="10"/>
      <c r="I44" s="10"/>
      <c r="J44" s="19"/>
      <c r="K44" s="10"/>
      <c r="L44" s="19"/>
      <c r="M44" s="10"/>
      <c r="N44" s="10"/>
      <c r="O44" s="10"/>
      <c r="P44" s="10"/>
      <c r="Q44" s="10"/>
      <c r="R44" s="10"/>
      <c r="S44" s="10"/>
      <c r="T44" s="10"/>
      <c r="U44" s="10"/>
      <c r="V44" s="10"/>
      <c r="W44" s="10"/>
      <c r="X44" s="10"/>
      <c r="Y44" s="10"/>
      <c r="Z44" s="10"/>
      <c r="AA44" s="10"/>
      <c r="AB44" s="10"/>
      <c r="AC44" s="10"/>
      <c r="AD44" s="10"/>
      <c r="AE44" s="10"/>
    </row>
    <row r="45" ht="15.75" customHeight="1">
      <c r="A45" s="10"/>
      <c r="B45" s="10"/>
      <c r="C45" s="10"/>
      <c r="D45" s="10"/>
      <c r="E45" s="10"/>
      <c r="F45" s="10"/>
      <c r="G45" s="10"/>
      <c r="H45" s="10"/>
      <c r="I45" s="10"/>
      <c r="J45" s="19"/>
      <c r="K45" s="10"/>
      <c r="L45" s="19"/>
      <c r="M45" s="10"/>
      <c r="N45" s="10"/>
      <c r="O45" s="10"/>
      <c r="P45" s="10"/>
      <c r="Q45" s="10"/>
      <c r="R45" s="10"/>
      <c r="S45" s="10"/>
      <c r="T45" s="10"/>
      <c r="U45" s="10"/>
      <c r="V45" s="10"/>
      <c r="W45" s="10"/>
      <c r="X45" s="10"/>
      <c r="Y45" s="10"/>
      <c r="Z45" s="10"/>
      <c r="AA45" s="10"/>
      <c r="AB45" s="10"/>
      <c r="AC45" s="10"/>
      <c r="AD45" s="10"/>
      <c r="AE45" s="10"/>
    </row>
    <row r="46" ht="15.75" customHeight="1">
      <c r="A46" s="10"/>
      <c r="B46" s="10"/>
      <c r="C46" s="10"/>
      <c r="D46" s="10"/>
      <c r="E46" s="10"/>
      <c r="F46" s="10"/>
      <c r="G46" s="10"/>
      <c r="H46" s="10"/>
      <c r="I46" s="10"/>
      <c r="J46" s="19"/>
      <c r="K46" s="10"/>
      <c r="L46" s="19"/>
      <c r="M46" s="10"/>
      <c r="N46" s="10"/>
      <c r="O46" s="10"/>
      <c r="P46" s="10"/>
      <c r="Q46" s="10"/>
      <c r="R46" s="10"/>
      <c r="S46" s="10"/>
      <c r="T46" s="10"/>
      <c r="U46" s="10"/>
      <c r="V46" s="10"/>
      <c r="W46" s="10"/>
      <c r="X46" s="10"/>
      <c r="Y46" s="10"/>
      <c r="Z46" s="10"/>
      <c r="AA46" s="10"/>
      <c r="AB46" s="10"/>
      <c r="AC46" s="10"/>
      <c r="AD46" s="10"/>
      <c r="AE46" s="10"/>
    </row>
    <row r="47" ht="15.75" customHeight="1">
      <c r="A47" s="10"/>
      <c r="B47" s="10"/>
      <c r="C47" s="10"/>
      <c r="D47" s="10"/>
      <c r="E47" s="10"/>
      <c r="F47" s="10"/>
      <c r="G47" s="10"/>
      <c r="H47" s="10"/>
      <c r="I47" s="10"/>
      <c r="J47" s="19"/>
      <c r="K47" s="10"/>
      <c r="L47" s="19"/>
      <c r="M47" s="10"/>
      <c r="N47" s="10"/>
      <c r="O47" s="10"/>
      <c r="P47" s="10"/>
      <c r="Q47" s="10"/>
      <c r="R47" s="10"/>
      <c r="S47" s="10"/>
      <c r="T47" s="10"/>
      <c r="U47" s="10"/>
      <c r="V47" s="10"/>
      <c r="W47" s="10"/>
      <c r="X47" s="10"/>
      <c r="Y47" s="10"/>
      <c r="Z47" s="10"/>
      <c r="AA47" s="10"/>
      <c r="AB47" s="10"/>
      <c r="AC47" s="10"/>
      <c r="AD47" s="10"/>
      <c r="AE47" s="10"/>
    </row>
    <row r="48" ht="15.75" customHeight="1">
      <c r="A48" s="10"/>
      <c r="B48" s="10"/>
      <c r="C48" s="10"/>
      <c r="D48" s="10"/>
      <c r="E48" s="10"/>
      <c r="F48" s="10"/>
      <c r="G48" s="10"/>
      <c r="H48" s="10"/>
      <c r="I48" s="10"/>
      <c r="J48" s="19"/>
      <c r="K48" s="10"/>
      <c r="L48" s="19"/>
      <c r="M48" s="10"/>
      <c r="N48" s="10"/>
      <c r="O48" s="10"/>
      <c r="P48" s="10"/>
      <c r="Q48" s="10"/>
      <c r="R48" s="10"/>
      <c r="S48" s="10"/>
      <c r="T48" s="10"/>
      <c r="U48" s="10"/>
      <c r="V48" s="10"/>
      <c r="W48" s="10"/>
      <c r="X48" s="10"/>
      <c r="Y48" s="10"/>
      <c r="Z48" s="10"/>
      <c r="AA48" s="10"/>
      <c r="AB48" s="10"/>
      <c r="AC48" s="10"/>
      <c r="AD48" s="10"/>
      <c r="AE48" s="10"/>
    </row>
    <row r="49" ht="15.75" customHeight="1">
      <c r="A49" s="10"/>
      <c r="B49" s="10"/>
      <c r="C49" s="10"/>
      <c r="D49" s="10"/>
      <c r="E49" s="10"/>
      <c r="F49" s="10"/>
      <c r="G49" s="10"/>
      <c r="H49" s="10"/>
      <c r="I49" s="10"/>
      <c r="J49" s="19"/>
      <c r="K49" s="10"/>
      <c r="L49" s="19"/>
      <c r="M49" s="10"/>
      <c r="N49" s="10"/>
      <c r="O49" s="10"/>
      <c r="P49" s="10"/>
      <c r="Q49" s="10"/>
      <c r="R49" s="10"/>
      <c r="S49" s="10"/>
      <c r="T49" s="10"/>
      <c r="U49" s="10"/>
      <c r="V49" s="10"/>
      <c r="W49" s="10"/>
      <c r="X49" s="10"/>
      <c r="Y49" s="10"/>
      <c r="Z49" s="10"/>
      <c r="AA49" s="10"/>
      <c r="AB49" s="10"/>
      <c r="AC49" s="10"/>
      <c r="AD49" s="10"/>
      <c r="AE49" s="10"/>
    </row>
    <row r="50" ht="15.75" customHeight="1">
      <c r="A50" s="10"/>
      <c r="B50" s="10"/>
      <c r="C50" s="10"/>
      <c r="D50" s="10"/>
      <c r="E50" s="10"/>
      <c r="F50" s="10"/>
      <c r="G50" s="10"/>
      <c r="H50" s="10"/>
      <c r="I50" s="10"/>
      <c r="J50" s="19"/>
      <c r="K50" s="10"/>
      <c r="L50" s="19"/>
      <c r="M50" s="10"/>
      <c r="N50" s="10"/>
      <c r="O50" s="10"/>
      <c r="P50" s="10"/>
      <c r="Q50" s="10"/>
      <c r="R50" s="10"/>
      <c r="S50" s="10"/>
      <c r="T50" s="10"/>
      <c r="U50" s="10"/>
      <c r="V50" s="10"/>
      <c r="W50" s="10"/>
      <c r="X50" s="10"/>
      <c r="Y50" s="10"/>
      <c r="Z50" s="10"/>
      <c r="AA50" s="10"/>
      <c r="AB50" s="10"/>
      <c r="AC50" s="10"/>
      <c r="AD50" s="10"/>
      <c r="AE50" s="10"/>
    </row>
    <row r="51" ht="15.75" customHeight="1">
      <c r="A51" s="10"/>
      <c r="B51" s="10"/>
      <c r="C51" s="10"/>
      <c r="D51" s="10"/>
      <c r="E51" s="10"/>
      <c r="F51" s="10"/>
      <c r="G51" s="10"/>
      <c r="H51" s="10"/>
      <c r="I51" s="10"/>
      <c r="J51" s="19"/>
      <c r="K51" s="10"/>
      <c r="L51" s="19"/>
      <c r="M51" s="10"/>
      <c r="N51" s="10"/>
      <c r="O51" s="10"/>
      <c r="P51" s="10"/>
      <c r="Q51" s="10"/>
      <c r="R51" s="10"/>
      <c r="S51" s="10"/>
      <c r="T51" s="10"/>
      <c r="U51" s="10"/>
      <c r="V51" s="10"/>
      <c r="W51" s="10"/>
      <c r="X51" s="10"/>
      <c r="Y51" s="10"/>
      <c r="Z51" s="10"/>
      <c r="AA51" s="10"/>
      <c r="AB51" s="10"/>
      <c r="AC51" s="10"/>
      <c r="AD51" s="10"/>
      <c r="AE51" s="10"/>
    </row>
    <row r="52" ht="15.75" customHeight="1">
      <c r="A52" s="10"/>
      <c r="B52" s="10"/>
      <c r="C52" s="10"/>
      <c r="D52" s="10"/>
      <c r="E52" s="10"/>
      <c r="F52" s="10"/>
      <c r="G52" s="10"/>
      <c r="H52" s="10"/>
      <c r="I52" s="10"/>
      <c r="J52" s="19"/>
      <c r="K52" s="10"/>
      <c r="L52" s="19"/>
      <c r="M52" s="10"/>
      <c r="N52" s="10"/>
      <c r="O52" s="10"/>
      <c r="P52" s="10"/>
      <c r="Q52" s="10"/>
      <c r="R52" s="10"/>
      <c r="S52" s="10"/>
      <c r="T52" s="10"/>
      <c r="U52" s="10"/>
      <c r="V52" s="10"/>
      <c r="W52" s="10"/>
      <c r="X52" s="10"/>
      <c r="Y52" s="10"/>
      <c r="Z52" s="10"/>
      <c r="AA52" s="10"/>
      <c r="AB52" s="10"/>
      <c r="AC52" s="10"/>
      <c r="AD52" s="10"/>
      <c r="AE52" s="10"/>
    </row>
    <row r="53" ht="15.75" customHeight="1">
      <c r="A53" s="10"/>
      <c r="B53" s="10"/>
      <c r="C53" s="10"/>
      <c r="D53" s="10"/>
      <c r="E53" s="10"/>
      <c r="F53" s="10"/>
      <c r="G53" s="10"/>
      <c r="H53" s="10"/>
      <c r="I53" s="10"/>
      <c r="J53" s="19"/>
      <c r="K53" s="10"/>
      <c r="L53" s="19"/>
      <c r="M53" s="10"/>
      <c r="N53" s="10"/>
      <c r="O53" s="10"/>
      <c r="P53" s="10"/>
      <c r="Q53" s="10"/>
      <c r="R53" s="10"/>
      <c r="S53" s="10"/>
      <c r="T53" s="10"/>
      <c r="U53" s="10"/>
      <c r="V53" s="10"/>
      <c r="W53" s="10"/>
      <c r="X53" s="10"/>
      <c r="Y53" s="10"/>
      <c r="Z53" s="10"/>
      <c r="AA53" s="10"/>
      <c r="AB53" s="10"/>
      <c r="AC53" s="10"/>
      <c r="AD53" s="10"/>
      <c r="AE53" s="10"/>
    </row>
    <row r="54" ht="15.75" customHeight="1">
      <c r="A54" s="10"/>
      <c r="B54" s="10"/>
      <c r="C54" s="10"/>
      <c r="D54" s="10"/>
      <c r="E54" s="10"/>
      <c r="F54" s="10"/>
      <c r="G54" s="10"/>
      <c r="H54" s="10"/>
      <c r="I54" s="10"/>
      <c r="J54" s="19"/>
      <c r="K54" s="10"/>
      <c r="L54" s="19"/>
      <c r="M54" s="10"/>
      <c r="N54" s="10"/>
      <c r="O54" s="10"/>
      <c r="P54" s="10"/>
      <c r="Q54" s="10"/>
      <c r="R54" s="10"/>
      <c r="S54" s="10"/>
      <c r="T54" s="10"/>
      <c r="U54" s="10"/>
      <c r="V54" s="10"/>
      <c r="W54" s="10"/>
      <c r="X54" s="10"/>
      <c r="Y54" s="10"/>
      <c r="Z54" s="10"/>
      <c r="AA54" s="10"/>
      <c r="AB54" s="10"/>
      <c r="AC54" s="10"/>
      <c r="AD54" s="10"/>
      <c r="AE54" s="10"/>
    </row>
    <row r="55" ht="15.75" customHeight="1">
      <c r="A55" s="10"/>
      <c r="B55" s="10"/>
      <c r="C55" s="10"/>
      <c r="D55" s="10"/>
      <c r="E55" s="10"/>
      <c r="F55" s="10"/>
      <c r="G55" s="10"/>
      <c r="H55" s="10"/>
      <c r="I55" s="10"/>
      <c r="J55" s="19"/>
      <c r="K55" s="10"/>
      <c r="L55" s="19"/>
      <c r="M55" s="10"/>
      <c r="N55" s="10"/>
      <c r="O55" s="10"/>
      <c r="P55" s="10"/>
      <c r="Q55" s="10"/>
      <c r="R55" s="10"/>
      <c r="S55" s="10"/>
      <c r="T55" s="10"/>
      <c r="U55" s="10"/>
      <c r="V55" s="10"/>
      <c r="W55" s="10"/>
      <c r="X55" s="10"/>
      <c r="Y55" s="10"/>
      <c r="Z55" s="10"/>
      <c r="AA55" s="10"/>
      <c r="AB55" s="10"/>
      <c r="AC55" s="10"/>
      <c r="AD55" s="10"/>
      <c r="AE55" s="10"/>
    </row>
    <row r="56" ht="15.75" customHeight="1">
      <c r="A56" s="10"/>
      <c r="B56" s="10"/>
      <c r="C56" s="10"/>
      <c r="D56" s="10"/>
      <c r="E56" s="10"/>
      <c r="F56" s="10"/>
      <c r="G56" s="10"/>
      <c r="H56" s="10"/>
      <c r="I56" s="10"/>
      <c r="J56" s="19"/>
      <c r="K56" s="10"/>
      <c r="L56" s="19"/>
      <c r="M56" s="10"/>
      <c r="N56" s="10"/>
      <c r="O56" s="10"/>
      <c r="P56" s="10"/>
      <c r="Q56" s="10"/>
      <c r="R56" s="10"/>
      <c r="S56" s="10"/>
      <c r="T56" s="10"/>
      <c r="U56" s="10"/>
      <c r="V56" s="10"/>
      <c r="W56" s="10"/>
      <c r="X56" s="10"/>
      <c r="Y56" s="10"/>
      <c r="Z56" s="10"/>
      <c r="AA56" s="10"/>
      <c r="AB56" s="10"/>
      <c r="AC56" s="10"/>
      <c r="AD56" s="10"/>
      <c r="AE56" s="10"/>
    </row>
    <row r="57" ht="15.75" customHeight="1">
      <c r="A57" s="10"/>
      <c r="B57" s="10"/>
      <c r="C57" s="10"/>
      <c r="D57" s="10"/>
      <c r="E57" s="10"/>
      <c r="F57" s="10"/>
      <c r="G57" s="10"/>
      <c r="H57" s="10"/>
      <c r="I57" s="10"/>
      <c r="J57" s="19"/>
      <c r="K57" s="10"/>
      <c r="L57" s="19"/>
      <c r="M57" s="10"/>
      <c r="N57" s="10"/>
      <c r="O57" s="10"/>
      <c r="P57" s="10"/>
      <c r="Q57" s="10"/>
      <c r="R57" s="10"/>
      <c r="S57" s="10"/>
      <c r="T57" s="10"/>
      <c r="U57" s="10"/>
      <c r="V57" s="10"/>
      <c r="W57" s="10"/>
      <c r="X57" s="10"/>
      <c r="Y57" s="10"/>
      <c r="Z57" s="10"/>
      <c r="AA57" s="10"/>
      <c r="AB57" s="10"/>
      <c r="AC57" s="10"/>
      <c r="AD57" s="10"/>
      <c r="AE57" s="10"/>
    </row>
    <row r="58" ht="15.75" customHeight="1">
      <c r="A58" s="10"/>
      <c r="B58" s="10"/>
      <c r="C58" s="10"/>
      <c r="D58" s="10"/>
      <c r="E58" s="10"/>
      <c r="F58" s="10"/>
      <c r="G58" s="10"/>
      <c r="H58" s="10"/>
      <c r="I58" s="10"/>
      <c r="J58" s="19"/>
      <c r="K58" s="10"/>
      <c r="L58" s="19"/>
      <c r="M58" s="10"/>
      <c r="N58" s="10"/>
      <c r="O58" s="10"/>
      <c r="P58" s="10"/>
      <c r="Q58" s="10"/>
      <c r="R58" s="10"/>
      <c r="S58" s="10"/>
      <c r="T58" s="10"/>
      <c r="U58" s="10"/>
      <c r="V58" s="10"/>
      <c r="W58" s="10"/>
      <c r="X58" s="10"/>
      <c r="Y58" s="10"/>
      <c r="Z58" s="10"/>
      <c r="AA58" s="10"/>
      <c r="AB58" s="10"/>
      <c r="AC58" s="10"/>
      <c r="AD58" s="10"/>
      <c r="AE58" s="10"/>
    </row>
    <row r="59" ht="15.75" customHeight="1">
      <c r="A59" s="10"/>
      <c r="B59" s="10"/>
      <c r="C59" s="10"/>
      <c r="D59" s="10"/>
      <c r="E59" s="10"/>
      <c r="F59" s="10"/>
      <c r="G59" s="10"/>
      <c r="H59" s="10"/>
      <c r="I59" s="10"/>
      <c r="J59" s="19"/>
      <c r="K59" s="10"/>
      <c r="L59" s="19"/>
      <c r="M59" s="10"/>
      <c r="N59" s="10"/>
      <c r="O59" s="10"/>
      <c r="P59" s="10"/>
      <c r="Q59" s="10"/>
      <c r="R59" s="10"/>
      <c r="S59" s="10"/>
      <c r="T59" s="10"/>
      <c r="U59" s="10"/>
      <c r="V59" s="10"/>
      <c r="W59" s="10"/>
      <c r="X59" s="10"/>
      <c r="Y59" s="10"/>
      <c r="Z59" s="10"/>
      <c r="AA59" s="10"/>
      <c r="AB59" s="10"/>
      <c r="AC59" s="10"/>
      <c r="AD59" s="10"/>
      <c r="AE59" s="10"/>
    </row>
    <row r="60" ht="15.75" customHeight="1">
      <c r="A60" s="10"/>
      <c r="B60" s="10"/>
      <c r="C60" s="10"/>
      <c r="D60" s="10"/>
      <c r="E60" s="10"/>
      <c r="F60" s="10"/>
      <c r="G60" s="10"/>
      <c r="H60" s="10"/>
      <c r="I60" s="10"/>
      <c r="J60" s="19"/>
      <c r="K60" s="10"/>
      <c r="L60" s="19"/>
      <c r="M60" s="10"/>
      <c r="N60" s="10"/>
      <c r="O60" s="10"/>
      <c r="P60" s="10"/>
      <c r="Q60" s="10"/>
      <c r="R60" s="10"/>
      <c r="S60" s="10"/>
      <c r="T60" s="10"/>
      <c r="U60" s="10"/>
      <c r="V60" s="10"/>
      <c r="W60" s="10"/>
      <c r="X60" s="10"/>
      <c r="Y60" s="10"/>
      <c r="Z60" s="10"/>
      <c r="AA60" s="10"/>
      <c r="AB60" s="10"/>
      <c r="AC60" s="10"/>
      <c r="AD60" s="10"/>
      <c r="AE60" s="10"/>
    </row>
    <row r="61" ht="15.75" customHeight="1">
      <c r="A61" s="10"/>
      <c r="B61" s="10"/>
      <c r="C61" s="10"/>
      <c r="D61" s="10"/>
      <c r="E61" s="10"/>
      <c r="F61" s="10"/>
      <c r="G61" s="10"/>
      <c r="H61" s="10"/>
      <c r="I61" s="10"/>
      <c r="J61" s="19"/>
      <c r="K61" s="10"/>
      <c r="L61" s="19"/>
      <c r="M61" s="10"/>
      <c r="N61" s="10"/>
      <c r="O61" s="10"/>
      <c r="P61" s="10"/>
      <c r="Q61" s="10"/>
      <c r="R61" s="10"/>
      <c r="S61" s="10"/>
      <c r="T61" s="10"/>
      <c r="U61" s="10"/>
      <c r="V61" s="10"/>
      <c r="W61" s="10"/>
      <c r="X61" s="10"/>
      <c r="Y61" s="10"/>
      <c r="Z61" s="10"/>
      <c r="AA61" s="10"/>
      <c r="AB61" s="10"/>
      <c r="AC61" s="10"/>
      <c r="AD61" s="10"/>
      <c r="AE61" s="10"/>
    </row>
    <row r="62" ht="15.75" customHeight="1">
      <c r="A62" s="10"/>
      <c r="B62" s="10"/>
      <c r="C62" s="10"/>
      <c r="D62" s="10"/>
      <c r="E62" s="10"/>
      <c r="F62" s="10"/>
      <c r="G62" s="10"/>
      <c r="H62" s="10"/>
      <c r="I62" s="10"/>
      <c r="J62" s="19"/>
      <c r="K62" s="10"/>
      <c r="L62" s="19"/>
      <c r="M62" s="10"/>
      <c r="N62" s="10"/>
      <c r="O62" s="10"/>
      <c r="P62" s="10"/>
      <c r="Q62" s="10"/>
      <c r="R62" s="10"/>
      <c r="S62" s="10"/>
      <c r="T62" s="10"/>
      <c r="U62" s="10"/>
      <c r="V62" s="10"/>
      <c r="W62" s="10"/>
      <c r="X62" s="10"/>
      <c r="Y62" s="10"/>
      <c r="Z62" s="10"/>
      <c r="AA62" s="10"/>
      <c r="AB62" s="10"/>
      <c r="AC62" s="10"/>
      <c r="AD62" s="10"/>
      <c r="AE62" s="10"/>
    </row>
    <row r="63" ht="15.75" customHeight="1">
      <c r="A63" s="10"/>
      <c r="B63" s="10"/>
      <c r="C63" s="10"/>
      <c r="D63" s="10"/>
      <c r="E63" s="10"/>
      <c r="F63" s="10"/>
      <c r="G63" s="10"/>
      <c r="H63" s="10"/>
      <c r="I63" s="10"/>
      <c r="J63" s="19"/>
      <c r="K63" s="10"/>
      <c r="L63" s="19"/>
      <c r="M63" s="10"/>
      <c r="N63" s="10"/>
      <c r="O63" s="10"/>
      <c r="P63" s="10"/>
      <c r="Q63" s="10"/>
      <c r="R63" s="10"/>
      <c r="S63" s="10"/>
      <c r="T63" s="10"/>
      <c r="U63" s="10"/>
      <c r="V63" s="10"/>
      <c r="W63" s="10"/>
      <c r="X63" s="10"/>
      <c r="Y63" s="10"/>
      <c r="Z63" s="10"/>
      <c r="AA63" s="10"/>
      <c r="AB63" s="10"/>
      <c r="AC63" s="10"/>
      <c r="AD63" s="10"/>
      <c r="AE63" s="10"/>
    </row>
    <row r="64" ht="15.75" customHeight="1">
      <c r="A64" s="10"/>
      <c r="B64" s="10"/>
      <c r="C64" s="10"/>
      <c r="D64" s="10"/>
      <c r="E64" s="10"/>
      <c r="F64" s="10"/>
      <c r="G64" s="10"/>
      <c r="H64" s="10"/>
      <c r="I64" s="10"/>
      <c r="J64" s="19"/>
      <c r="K64" s="10"/>
      <c r="L64" s="19"/>
      <c r="M64" s="10"/>
      <c r="N64" s="10"/>
      <c r="O64" s="10"/>
      <c r="P64" s="10"/>
      <c r="Q64" s="10"/>
      <c r="R64" s="10"/>
      <c r="S64" s="10"/>
      <c r="T64" s="10"/>
      <c r="U64" s="10"/>
      <c r="V64" s="10"/>
      <c r="W64" s="10"/>
      <c r="X64" s="10"/>
      <c r="Y64" s="10"/>
      <c r="Z64" s="10"/>
      <c r="AA64" s="10"/>
      <c r="AB64" s="10"/>
      <c r="AC64" s="10"/>
      <c r="AD64" s="10"/>
      <c r="AE64" s="10"/>
    </row>
    <row r="65" ht="15.75" customHeight="1">
      <c r="A65" s="10"/>
      <c r="B65" s="10"/>
      <c r="C65" s="10"/>
      <c r="D65" s="10"/>
      <c r="E65" s="10"/>
      <c r="F65" s="10"/>
      <c r="G65" s="10"/>
      <c r="H65" s="10"/>
      <c r="I65" s="10"/>
      <c r="J65" s="19"/>
      <c r="K65" s="10"/>
      <c r="L65" s="19"/>
      <c r="M65" s="10"/>
      <c r="N65" s="10"/>
      <c r="O65" s="10"/>
      <c r="P65" s="10"/>
      <c r="Q65" s="10"/>
      <c r="R65" s="10"/>
      <c r="S65" s="10"/>
      <c r="T65" s="10"/>
      <c r="U65" s="10"/>
      <c r="V65" s="10"/>
      <c r="W65" s="10"/>
      <c r="X65" s="10"/>
      <c r="Y65" s="10"/>
      <c r="Z65" s="10"/>
      <c r="AA65" s="10"/>
      <c r="AB65" s="10"/>
      <c r="AC65" s="10"/>
      <c r="AD65" s="10"/>
      <c r="AE65" s="10"/>
    </row>
    <row r="66" ht="15.75" customHeight="1">
      <c r="A66" s="10"/>
      <c r="B66" s="10"/>
      <c r="C66" s="10"/>
      <c r="D66" s="10"/>
      <c r="E66" s="10"/>
      <c r="F66" s="10"/>
      <c r="G66" s="10"/>
      <c r="H66" s="10"/>
      <c r="I66" s="10"/>
      <c r="J66" s="19"/>
      <c r="K66" s="10"/>
      <c r="L66" s="19"/>
      <c r="M66" s="10"/>
      <c r="N66" s="10"/>
      <c r="O66" s="10"/>
      <c r="P66" s="10"/>
      <c r="Q66" s="10"/>
      <c r="R66" s="10"/>
      <c r="S66" s="10"/>
      <c r="T66" s="10"/>
      <c r="U66" s="10"/>
      <c r="V66" s="10"/>
      <c r="W66" s="10"/>
      <c r="X66" s="10"/>
      <c r="Y66" s="10"/>
      <c r="Z66" s="10"/>
      <c r="AA66" s="10"/>
      <c r="AB66" s="10"/>
      <c r="AC66" s="10"/>
      <c r="AD66" s="10"/>
      <c r="AE66" s="10"/>
    </row>
    <row r="67" ht="15.75" customHeight="1">
      <c r="A67" s="10"/>
      <c r="B67" s="10"/>
      <c r="C67" s="10"/>
      <c r="D67" s="10"/>
      <c r="E67" s="10"/>
      <c r="F67" s="10"/>
      <c r="G67" s="10"/>
      <c r="H67" s="10"/>
      <c r="I67" s="10"/>
      <c r="J67" s="19"/>
      <c r="K67" s="10"/>
      <c r="L67" s="19"/>
      <c r="M67" s="10"/>
      <c r="N67" s="10"/>
      <c r="O67" s="10"/>
      <c r="P67" s="10"/>
      <c r="Q67" s="10"/>
      <c r="R67" s="10"/>
      <c r="S67" s="10"/>
      <c r="T67" s="10"/>
      <c r="U67" s="10"/>
      <c r="V67" s="10"/>
      <c r="W67" s="10"/>
      <c r="X67" s="10"/>
      <c r="Y67" s="10"/>
      <c r="Z67" s="10"/>
      <c r="AA67" s="10"/>
      <c r="AB67" s="10"/>
      <c r="AC67" s="10"/>
      <c r="AD67" s="10"/>
      <c r="AE67" s="10"/>
    </row>
    <row r="68" ht="15.75" customHeight="1">
      <c r="A68" s="10"/>
      <c r="B68" s="10"/>
      <c r="C68" s="10"/>
      <c r="D68" s="10"/>
      <c r="E68" s="10"/>
      <c r="F68" s="10"/>
      <c r="G68" s="10"/>
      <c r="H68" s="10"/>
      <c r="I68" s="10"/>
      <c r="J68" s="19"/>
      <c r="K68" s="10"/>
      <c r="L68" s="19"/>
      <c r="M68" s="10"/>
      <c r="N68" s="10"/>
      <c r="O68" s="10"/>
      <c r="P68" s="10"/>
      <c r="Q68" s="10"/>
      <c r="R68" s="10"/>
      <c r="S68" s="10"/>
      <c r="T68" s="10"/>
      <c r="U68" s="10"/>
      <c r="V68" s="10"/>
      <c r="W68" s="10"/>
      <c r="X68" s="10"/>
      <c r="Y68" s="10"/>
      <c r="Z68" s="10"/>
      <c r="AA68" s="10"/>
      <c r="AB68" s="10"/>
      <c r="AC68" s="10"/>
      <c r="AD68" s="10"/>
      <c r="AE68" s="10"/>
    </row>
    <row r="69" ht="15.75" customHeight="1">
      <c r="A69" s="10"/>
      <c r="B69" s="10"/>
      <c r="C69" s="10"/>
      <c r="D69" s="10"/>
      <c r="E69" s="10"/>
      <c r="F69" s="10"/>
      <c r="G69" s="10"/>
      <c r="H69" s="10"/>
      <c r="I69" s="10"/>
      <c r="J69" s="19"/>
      <c r="K69" s="10"/>
      <c r="L69" s="19"/>
      <c r="M69" s="10"/>
      <c r="N69" s="10"/>
      <c r="O69" s="10"/>
      <c r="P69" s="10"/>
      <c r="Q69" s="10"/>
      <c r="R69" s="10"/>
      <c r="S69" s="10"/>
      <c r="T69" s="10"/>
      <c r="U69" s="10"/>
      <c r="V69" s="10"/>
      <c r="W69" s="10"/>
      <c r="X69" s="10"/>
      <c r="Y69" s="10"/>
      <c r="Z69" s="10"/>
      <c r="AA69" s="10"/>
      <c r="AB69" s="10"/>
      <c r="AC69" s="10"/>
      <c r="AD69" s="10"/>
      <c r="AE69" s="10"/>
    </row>
    <row r="70" ht="15.75" customHeight="1">
      <c r="A70" s="10"/>
      <c r="B70" s="10"/>
      <c r="C70" s="10"/>
      <c r="D70" s="10"/>
      <c r="E70" s="10"/>
      <c r="F70" s="10"/>
      <c r="G70" s="10"/>
      <c r="H70" s="10"/>
      <c r="I70" s="10"/>
      <c r="J70" s="19"/>
      <c r="K70" s="10"/>
      <c r="L70" s="19"/>
      <c r="M70" s="10"/>
      <c r="N70" s="10"/>
      <c r="O70" s="10"/>
      <c r="P70" s="10"/>
      <c r="Q70" s="10"/>
      <c r="R70" s="10"/>
      <c r="S70" s="10"/>
      <c r="T70" s="10"/>
      <c r="U70" s="10"/>
      <c r="V70" s="10"/>
      <c r="W70" s="10"/>
      <c r="X70" s="10"/>
      <c r="Y70" s="10"/>
      <c r="Z70" s="10"/>
      <c r="AA70" s="10"/>
      <c r="AB70" s="10"/>
      <c r="AC70" s="10"/>
      <c r="AD70" s="10"/>
      <c r="AE70" s="10"/>
    </row>
    <row r="71" ht="15.75" customHeight="1">
      <c r="A71" s="10"/>
      <c r="B71" s="10"/>
      <c r="C71" s="10"/>
      <c r="D71" s="10"/>
      <c r="E71" s="10"/>
      <c r="F71" s="10"/>
      <c r="G71" s="10"/>
      <c r="H71" s="10"/>
      <c r="I71" s="10"/>
      <c r="J71" s="19"/>
      <c r="K71" s="10"/>
      <c r="L71" s="19"/>
      <c r="M71" s="10"/>
      <c r="N71" s="10"/>
      <c r="O71" s="10"/>
      <c r="P71" s="10"/>
      <c r="Q71" s="10"/>
      <c r="R71" s="10"/>
      <c r="S71" s="10"/>
      <c r="T71" s="10"/>
      <c r="U71" s="10"/>
      <c r="V71" s="10"/>
      <c r="W71" s="10"/>
      <c r="X71" s="10"/>
      <c r="Y71" s="10"/>
      <c r="Z71" s="10"/>
      <c r="AA71" s="10"/>
      <c r="AB71" s="10"/>
      <c r="AC71" s="10"/>
      <c r="AD71" s="10"/>
      <c r="AE71" s="10"/>
    </row>
    <row r="72" ht="15.75" customHeight="1">
      <c r="A72" s="10"/>
      <c r="B72" s="10"/>
      <c r="C72" s="10"/>
      <c r="D72" s="10"/>
      <c r="E72" s="10"/>
      <c r="F72" s="10"/>
      <c r="G72" s="10"/>
      <c r="H72" s="10"/>
      <c r="I72" s="10"/>
      <c r="J72" s="19"/>
      <c r="K72" s="10"/>
      <c r="L72" s="19"/>
      <c r="M72" s="10"/>
      <c r="N72" s="10"/>
      <c r="O72" s="10"/>
      <c r="P72" s="10"/>
      <c r="Q72" s="10"/>
      <c r="R72" s="10"/>
      <c r="S72" s="10"/>
      <c r="T72" s="10"/>
      <c r="U72" s="10"/>
      <c r="V72" s="10"/>
      <c r="W72" s="10"/>
      <c r="X72" s="10"/>
      <c r="Y72" s="10"/>
      <c r="Z72" s="10"/>
      <c r="AA72" s="10"/>
      <c r="AB72" s="10"/>
      <c r="AC72" s="10"/>
      <c r="AD72" s="10"/>
      <c r="AE72" s="10"/>
    </row>
    <row r="73" ht="15.75" customHeight="1">
      <c r="A73" s="10"/>
      <c r="B73" s="10"/>
      <c r="C73" s="10"/>
      <c r="D73" s="10"/>
      <c r="E73" s="10"/>
      <c r="F73" s="10"/>
      <c r="G73" s="10"/>
      <c r="H73" s="10"/>
      <c r="I73" s="10"/>
      <c r="J73" s="19"/>
      <c r="K73" s="10"/>
      <c r="L73" s="19"/>
      <c r="M73" s="10"/>
      <c r="N73" s="10"/>
      <c r="O73" s="10"/>
      <c r="P73" s="10"/>
      <c r="Q73" s="10"/>
      <c r="R73" s="10"/>
      <c r="S73" s="10"/>
      <c r="T73" s="10"/>
      <c r="U73" s="10"/>
      <c r="V73" s="10"/>
      <c r="W73" s="10"/>
      <c r="X73" s="10"/>
      <c r="Y73" s="10"/>
      <c r="Z73" s="10"/>
      <c r="AA73" s="10"/>
      <c r="AB73" s="10"/>
      <c r="AC73" s="10"/>
      <c r="AD73" s="10"/>
      <c r="AE73" s="10"/>
    </row>
    <row r="74" ht="15.75" customHeight="1">
      <c r="A74" s="10"/>
      <c r="B74" s="10"/>
      <c r="C74" s="10"/>
      <c r="D74" s="10"/>
      <c r="E74" s="10"/>
      <c r="F74" s="10"/>
      <c r="G74" s="10"/>
      <c r="H74" s="10"/>
      <c r="I74" s="10"/>
      <c r="J74" s="19"/>
      <c r="K74" s="10"/>
      <c r="L74" s="19"/>
      <c r="M74" s="10"/>
      <c r="N74" s="10"/>
      <c r="O74" s="10"/>
      <c r="P74" s="10"/>
      <c r="Q74" s="10"/>
      <c r="R74" s="10"/>
      <c r="S74" s="10"/>
      <c r="T74" s="10"/>
      <c r="U74" s="10"/>
      <c r="V74" s="10"/>
      <c r="W74" s="10"/>
      <c r="X74" s="10"/>
      <c r="Y74" s="10"/>
      <c r="Z74" s="10"/>
      <c r="AA74" s="10"/>
      <c r="AB74" s="10"/>
      <c r="AC74" s="10"/>
      <c r="AD74" s="10"/>
      <c r="AE74" s="10"/>
    </row>
    <row r="75" ht="15.75" customHeight="1">
      <c r="A75" s="10"/>
      <c r="B75" s="10"/>
      <c r="C75" s="10"/>
      <c r="D75" s="10"/>
      <c r="E75" s="10"/>
      <c r="F75" s="10"/>
      <c r="G75" s="10"/>
      <c r="H75" s="10"/>
      <c r="I75" s="10"/>
      <c r="J75" s="19"/>
      <c r="K75" s="10"/>
      <c r="L75" s="19"/>
      <c r="M75" s="10"/>
      <c r="N75" s="10"/>
      <c r="O75" s="10"/>
      <c r="P75" s="10"/>
      <c r="Q75" s="10"/>
      <c r="R75" s="10"/>
      <c r="S75" s="10"/>
      <c r="T75" s="10"/>
      <c r="U75" s="10"/>
      <c r="V75" s="10"/>
      <c r="W75" s="10"/>
      <c r="X75" s="10"/>
      <c r="Y75" s="10"/>
      <c r="Z75" s="10"/>
      <c r="AA75" s="10"/>
      <c r="AB75" s="10"/>
      <c r="AC75" s="10"/>
      <c r="AD75" s="10"/>
      <c r="AE75" s="10"/>
    </row>
    <row r="76" ht="15.75" customHeight="1">
      <c r="A76" s="10"/>
      <c r="B76" s="10"/>
      <c r="C76" s="10"/>
      <c r="D76" s="10"/>
      <c r="E76" s="10"/>
      <c r="F76" s="10"/>
      <c r="G76" s="10"/>
      <c r="H76" s="10"/>
      <c r="I76" s="10"/>
      <c r="J76" s="19"/>
      <c r="K76" s="10"/>
      <c r="L76" s="19"/>
      <c r="M76" s="10"/>
      <c r="N76" s="10"/>
      <c r="O76" s="10"/>
      <c r="P76" s="10"/>
      <c r="Q76" s="10"/>
      <c r="R76" s="10"/>
      <c r="S76" s="10"/>
      <c r="T76" s="10"/>
      <c r="U76" s="10"/>
      <c r="V76" s="10"/>
      <c r="W76" s="10"/>
      <c r="X76" s="10"/>
      <c r="Y76" s="10"/>
      <c r="Z76" s="10"/>
      <c r="AA76" s="10"/>
      <c r="AB76" s="10"/>
      <c r="AC76" s="10"/>
      <c r="AD76" s="10"/>
      <c r="AE76" s="10"/>
    </row>
    <row r="77" ht="15.75" customHeight="1">
      <c r="A77" s="10"/>
      <c r="B77" s="10"/>
      <c r="C77" s="10"/>
      <c r="D77" s="10"/>
      <c r="E77" s="10"/>
      <c r="F77" s="10"/>
      <c r="G77" s="10"/>
      <c r="H77" s="10"/>
      <c r="I77" s="10"/>
      <c r="J77" s="19"/>
      <c r="K77" s="10"/>
      <c r="L77" s="19"/>
      <c r="M77" s="10"/>
      <c r="N77" s="10"/>
      <c r="O77" s="10"/>
      <c r="P77" s="10"/>
      <c r="Q77" s="10"/>
      <c r="R77" s="10"/>
      <c r="S77" s="10"/>
      <c r="T77" s="10"/>
      <c r="U77" s="10"/>
      <c r="V77" s="10"/>
      <c r="W77" s="10"/>
      <c r="X77" s="10"/>
      <c r="Y77" s="10"/>
      <c r="Z77" s="10"/>
      <c r="AA77" s="10"/>
      <c r="AB77" s="10"/>
      <c r="AC77" s="10"/>
      <c r="AD77" s="10"/>
      <c r="AE77" s="10"/>
    </row>
    <row r="78" ht="15.75" customHeight="1">
      <c r="A78" s="10"/>
      <c r="B78" s="10"/>
      <c r="C78" s="10"/>
      <c r="D78" s="10"/>
      <c r="E78" s="10"/>
      <c r="F78" s="10"/>
      <c r="G78" s="10"/>
      <c r="H78" s="10"/>
      <c r="I78" s="10"/>
      <c r="J78" s="19"/>
      <c r="K78" s="10"/>
      <c r="L78" s="19"/>
      <c r="M78" s="10"/>
      <c r="N78" s="10"/>
      <c r="O78" s="10"/>
      <c r="P78" s="10"/>
      <c r="Q78" s="10"/>
      <c r="R78" s="10"/>
      <c r="S78" s="10"/>
      <c r="T78" s="10"/>
      <c r="U78" s="10"/>
      <c r="V78" s="10"/>
      <c r="W78" s="10"/>
      <c r="X78" s="10"/>
      <c r="Y78" s="10"/>
      <c r="Z78" s="10"/>
      <c r="AA78" s="10"/>
      <c r="AB78" s="10"/>
      <c r="AC78" s="10"/>
      <c r="AD78" s="10"/>
      <c r="AE78" s="10"/>
    </row>
    <row r="79" ht="15.75" customHeight="1">
      <c r="A79" s="10"/>
      <c r="B79" s="10"/>
      <c r="C79" s="10"/>
      <c r="D79" s="10"/>
      <c r="E79" s="10"/>
      <c r="F79" s="10"/>
      <c r="G79" s="10"/>
      <c r="H79" s="10"/>
      <c r="I79" s="10"/>
      <c r="J79" s="19"/>
      <c r="K79" s="10"/>
      <c r="L79" s="19"/>
      <c r="M79" s="10"/>
      <c r="N79" s="10"/>
      <c r="O79" s="10"/>
      <c r="P79" s="10"/>
      <c r="Q79" s="10"/>
      <c r="R79" s="10"/>
      <c r="S79" s="10"/>
      <c r="T79" s="10"/>
      <c r="U79" s="10"/>
      <c r="V79" s="10"/>
      <c r="W79" s="10"/>
      <c r="X79" s="10"/>
      <c r="Y79" s="10"/>
      <c r="Z79" s="10"/>
      <c r="AA79" s="10"/>
      <c r="AB79" s="10"/>
      <c r="AC79" s="10"/>
      <c r="AD79" s="10"/>
      <c r="AE79" s="10"/>
    </row>
    <row r="80" ht="15.75" customHeight="1">
      <c r="A80" s="10"/>
      <c r="B80" s="10"/>
      <c r="C80" s="10"/>
      <c r="D80" s="10"/>
      <c r="E80" s="10"/>
      <c r="F80" s="10"/>
      <c r="G80" s="10"/>
      <c r="H80" s="10"/>
      <c r="I80" s="10"/>
      <c r="J80" s="19"/>
      <c r="K80" s="10"/>
      <c r="L80" s="19"/>
      <c r="M80" s="10"/>
      <c r="N80" s="10"/>
      <c r="O80" s="10"/>
      <c r="P80" s="10"/>
      <c r="Q80" s="10"/>
      <c r="R80" s="10"/>
      <c r="S80" s="10"/>
      <c r="T80" s="10"/>
      <c r="U80" s="10"/>
      <c r="V80" s="10"/>
      <c r="W80" s="10"/>
      <c r="X80" s="10"/>
      <c r="Y80" s="10"/>
      <c r="Z80" s="10"/>
      <c r="AA80" s="10"/>
      <c r="AB80" s="10"/>
      <c r="AC80" s="10"/>
      <c r="AD80" s="10"/>
      <c r="AE80" s="10"/>
    </row>
    <row r="81" ht="15.75" customHeight="1">
      <c r="A81" s="10"/>
      <c r="B81" s="10"/>
      <c r="C81" s="10"/>
      <c r="D81" s="10"/>
      <c r="E81" s="10"/>
      <c r="F81" s="10"/>
      <c r="G81" s="10"/>
      <c r="H81" s="10"/>
      <c r="I81" s="10"/>
      <c r="J81" s="19"/>
      <c r="K81" s="10"/>
      <c r="L81" s="19"/>
      <c r="M81" s="10"/>
      <c r="N81" s="10"/>
      <c r="O81" s="10"/>
      <c r="P81" s="10"/>
      <c r="Q81" s="10"/>
      <c r="R81" s="10"/>
      <c r="S81" s="10"/>
      <c r="T81" s="10"/>
      <c r="U81" s="10"/>
      <c r="V81" s="10"/>
      <c r="W81" s="10"/>
      <c r="X81" s="10"/>
      <c r="Y81" s="10"/>
      <c r="Z81" s="10"/>
      <c r="AA81" s="10"/>
      <c r="AB81" s="10"/>
      <c r="AC81" s="10"/>
      <c r="AD81" s="10"/>
      <c r="AE81" s="10"/>
    </row>
    <row r="82" ht="15.75" customHeight="1">
      <c r="A82" s="10"/>
      <c r="B82" s="10"/>
      <c r="C82" s="10"/>
      <c r="D82" s="10"/>
      <c r="E82" s="10"/>
      <c r="F82" s="10"/>
      <c r="G82" s="10"/>
      <c r="H82" s="10"/>
      <c r="I82" s="10"/>
      <c r="J82" s="19"/>
      <c r="K82" s="10"/>
      <c r="L82" s="19"/>
      <c r="M82" s="10"/>
      <c r="N82" s="10"/>
      <c r="O82" s="10"/>
      <c r="P82" s="10"/>
      <c r="Q82" s="10"/>
      <c r="R82" s="10"/>
      <c r="S82" s="10"/>
      <c r="T82" s="10"/>
      <c r="U82" s="10"/>
      <c r="V82" s="10"/>
      <c r="W82" s="10"/>
      <c r="X82" s="10"/>
      <c r="Y82" s="10"/>
      <c r="Z82" s="10"/>
      <c r="AA82" s="10"/>
      <c r="AB82" s="10"/>
      <c r="AC82" s="10"/>
      <c r="AD82" s="10"/>
      <c r="AE82" s="10"/>
    </row>
    <row r="83" ht="15.75" customHeight="1">
      <c r="A83" s="10"/>
      <c r="B83" s="10"/>
      <c r="C83" s="10"/>
      <c r="D83" s="10"/>
      <c r="E83" s="10"/>
      <c r="F83" s="10"/>
      <c r="G83" s="10"/>
      <c r="H83" s="10"/>
      <c r="I83" s="10"/>
      <c r="J83" s="19"/>
      <c r="K83" s="10"/>
      <c r="L83" s="19"/>
      <c r="M83" s="10"/>
      <c r="N83" s="10"/>
      <c r="O83" s="10"/>
      <c r="P83" s="10"/>
      <c r="Q83" s="10"/>
      <c r="R83" s="10"/>
      <c r="S83" s="10"/>
      <c r="T83" s="10"/>
      <c r="U83" s="10"/>
      <c r="V83" s="10"/>
      <c r="W83" s="10"/>
      <c r="X83" s="10"/>
      <c r="Y83" s="10"/>
      <c r="Z83" s="10"/>
      <c r="AA83" s="10"/>
      <c r="AB83" s="10"/>
      <c r="AC83" s="10"/>
      <c r="AD83" s="10"/>
      <c r="AE83" s="10"/>
    </row>
    <row r="84" ht="15.75" customHeight="1">
      <c r="A84" s="10"/>
      <c r="B84" s="10"/>
      <c r="C84" s="10"/>
      <c r="D84" s="10"/>
      <c r="E84" s="10"/>
      <c r="F84" s="10"/>
      <c r="G84" s="10"/>
      <c r="H84" s="10"/>
      <c r="I84" s="10"/>
      <c r="J84" s="19"/>
      <c r="K84" s="10"/>
      <c r="L84" s="19"/>
      <c r="M84" s="10"/>
      <c r="N84" s="10"/>
      <c r="O84" s="10"/>
      <c r="P84" s="10"/>
      <c r="Q84" s="10"/>
      <c r="R84" s="10"/>
      <c r="S84" s="10"/>
      <c r="T84" s="10"/>
      <c r="U84" s="10"/>
      <c r="V84" s="10"/>
      <c r="W84" s="10"/>
      <c r="X84" s="10"/>
      <c r="Y84" s="10"/>
      <c r="Z84" s="10"/>
      <c r="AA84" s="10"/>
      <c r="AB84" s="10"/>
      <c r="AC84" s="10"/>
      <c r="AD84" s="10"/>
      <c r="AE84" s="10"/>
    </row>
    <row r="85" ht="15.75" customHeight="1">
      <c r="A85" s="10"/>
      <c r="B85" s="10"/>
      <c r="C85" s="10"/>
      <c r="D85" s="10"/>
      <c r="E85" s="10"/>
      <c r="F85" s="10"/>
      <c r="G85" s="10"/>
      <c r="H85" s="10"/>
      <c r="I85" s="10"/>
      <c r="J85" s="19"/>
      <c r="K85" s="10"/>
      <c r="L85" s="19"/>
      <c r="M85" s="10"/>
      <c r="N85" s="10"/>
      <c r="O85" s="10"/>
      <c r="P85" s="10"/>
      <c r="Q85" s="10"/>
      <c r="R85" s="10"/>
      <c r="S85" s="10"/>
      <c r="T85" s="10"/>
      <c r="U85" s="10"/>
      <c r="V85" s="10"/>
      <c r="W85" s="10"/>
      <c r="X85" s="10"/>
      <c r="Y85" s="10"/>
      <c r="Z85" s="10"/>
      <c r="AA85" s="10"/>
      <c r="AB85" s="10"/>
      <c r="AC85" s="10"/>
      <c r="AD85" s="10"/>
      <c r="AE85" s="10"/>
    </row>
    <row r="86" ht="15.75" customHeight="1">
      <c r="A86" s="10"/>
      <c r="B86" s="10"/>
      <c r="C86" s="10"/>
      <c r="D86" s="10"/>
      <c r="E86" s="10"/>
      <c r="F86" s="10"/>
      <c r="G86" s="10"/>
      <c r="H86" s="10"/>
      <c r="I86" s="10"/>
      <c r="J86" s="19"/>
      <c r="K86" s="10"/>
      <c r="L86" s="19"/>
      <c r="M86" s="10"/>
      <c r="N86" s="10"/>
      <c r="O86" s="10"/>
      <c r="P86" s="10"/>
      <c r="Q86" s="10"/>
      <c r="R86" s="10"/>
      <c r="S86" s="10"/>
      <c r="T86" s="10"/>
      <c r="U86" s="10"/>
      <c r="V86" s="10"/>
      <c r="W86" s="10"/>
      <c r="X86" s="10"/>
      <c r="Y86" s="10"/>
      <c r="Z86" s="10"/>
      <c r="AA86" s="10"/>
      <c r="AB86" s="10"/>
      <c r="AC86" s="10"/>
      <c r="AD86" s="10"/>
      <c r="AE86" s="10"/>
    </row>
    <row r="87" ht="15.75" customHeight="1">
      <c r="A87" s="10"/>
      <c r="B87" s="10"/>
      <c r="C87" s="10"/>
      <c r="D87" s="10"/>
      <c r="E87" s="10"/>
      <c r="F87" s="10"/>
      <c r="G87" s="10"/>
      <c r="H87" s="10"/>
      <c r="I87" s="10"/>
      <c r="J87" s="19"/>
      <c r="K87" s="10"/>
      <c r="L87" s="19"/>
      <c r="M87" s="10"/>
      <c r="N87" s="10"/>
      <c r="O87" s="10"/>
      <c r="P87" s="10"/>
      <c r="Q87" s="10"/>
      <c r="R87" s="10"/>
      <c r="S87" s="10"/>
      <c r="T87" s="10"/>
      <c r="U87" s="10"/>
      <c r="V87" s="10"/>
      <c r="W87" s="10"/>
      <c r="X87" s="10"/>
      <c r="Y87" s="10"/>
      <c r="Z87" s="10"/>
      <c r="AA87" s="10"/>
      <c r="AB87" s="10"/>
      <c r="AC87" s="10"/>
      <c r="AD87" s="10"/>
      <c r="AE87" s="10"/>
    </row>
    <row r="88" ht="15.75" customHeight="1">
      <c r="A88" s="10"/>
      <c r="B88" s="10"/>
      <c r="C88" s="10"/>
      <c r="D88" s="10"/>
      <c r="E88" s="10"/>
      <c r="F88" s="10"/>
      <c r="G88" s="10"/>
      <c r="H88" s="10"/>
      <c r="I88" s="10"/>
      <c r="J88" s="19"/>
      <c r="K88" s="10"/>
      <c r="L88" s="19"/>
      <c r="M88" s="10"/>
      <c r="N88" s="10"/>
      <c r="O88" s="10"/>
      <c r="P88" s="10"/>
      <c r="Q88" s="10"/>
      <c r="R88" s="10"/>
      <c r="S88" s="10"/>
      <c r="T88" s="10"/>
      <c r="U88" s="10"/>
      <c r="V88" s="10"/>
      <c r="W88" s="10"/>
      <c r="X88" s="10"/>
      <c r="Y88" s="10"/>
      <c r="Z88" s="10"/>
      <c r="AA88" s="10"/>
      <c r="AB88" s="10"/>
      <c r="AC88" s="10"/>
      <c r="AD88" s="10"/>
      <c r="AE88" s="10"/>
    </row>
    <row r="89" ht="15.75" customHeight="1">
      <c r="A89" s="10"/>
      <c r="B89" s="10"/>
      <c r="C89" s="10"/>
      <c r="D89" s="10"/>
      <c r="E89" s="10"/>
      <c r="F89" s="10"/>
      <c r="G89" s="10"/>
      <c r="H89" s="10"/>
      <c r="I89" s="10"/>
      <c r="J89" s="19"/>
      <c r="K89" s="10"/>
      <c r="L89" s="19"/>
      <c r="M89" s="10"/>
      <c r="N89" s="10"/>
      <c r="O89" s="10"/>
      <c r="P89" s="10"/>
      <c r="Q89" s="10"/>
      <c r="R89" s="10"/>
      <c r="S89" s="10"/>
      <c r="T89" s="10"/>
      <c r="U89" s="10"/>
      <c r="V89" s="10"/>
      <c r="W89" s="10"/>
      <c r="X89" s="10"/>
      <c r="Y89" s="10"/>
      <c r="Z89" s="10"/>
      <c r="AA89" s="10"/>
      <c r="AB89" s="10"/>
      <c r="AC89" s="10"/>
      <c r="AD89" s="10"/>
      <c r="AE89" s="10"/>
    </row>
    <row r="90" ht="15.75" customHeight="1">
      <c r="A90" s="10"/>
      <c r="B90" s="10"/>
      <c r="C90" s="10"/>
      <c r="D90" s="10"/>
      <c r="E90" s="10"/>
      <c r="F90" s="10"/>
      <c r="G90" s="10"/>
      <c r="H90" s="10"/>
      <c r="I90" s="10"/>
      <c r="J90" s="19"/>
      <c r="K90" s="10"/>
      <c r="L90" s="19"/>
      <c r="M90" s="10"/>
      <c r="N90" s="10"/>
      <c r="O90" s="10"/>
      <c r="P90" s="10"/>
      <c r="Q90" s="10"/>
      <c r="R90" s="10"/>
      <c r="S90" s="10"/>
      <c r="T90" s="10"/>
      <c r="U90" s="10"/>
      <c r="V90" s="10"/>
      <c r="W90" s="10"/>
      <c r="X90" s="10"/>
      <c r="Y90" s="10"/>
      <c r="Z90" s="10"/>
      <c r="AA90" s="10"/>
      <c r="AB90" s="10"/>
      <c r="AC90" s="10"/>
      <c r="AD90" s="10"/>
      <c r="AE90" s="10"/>
    </row>
    <row r="91" ht="15.75" customHeight="1">
      <c r="A91" s="10"/>
      <c r="B91" s="10"/>
      <c r="C91" s="10"/>
      <c r="D91" s="10"/>
      <c r="E91" s="10"/>
      <c r="F91" s="10"/>
      <c r="G91" s="10"/>
      <c r="H91" s="10"/>
      <c r="I91" s="10"/>
      <c r="J91" s="19"/>
      <c r="K91" s="10"/>
      <c r="L91" s="19"/>
      <c r="M91" s="10"/>
      <c r="N91" s="10"/>
      <c r="O91" s="10"/>
      <c r="P91" s="10"/>
      <c r="Q91" s="10"/>
      <c r="R91" s="10"/>
      <c r="S91" s="10"/>
      <c r="T91" s="10"/>
      <c r="U91" s="10"/>
      <c r="V91" s="10"/>
      <c r="W91" s="10"/>
      <c r="X91" s="10"/>
      <c r="Y91" s="10"/>
      <c r="Z91" s="10"/>
      <c r="AA91" s="10"/>
      <c r="AB91" s="10"/>
      <c r="AC91" s="10"/>
      <c r="AD91" s="10"/>
      <c r="AE91" s="10"/>
    </row>
    <row r="92" ht="15.75" customHeight="1">
      <c r="A92" s="10"/>
      <c r="B92" s="10"/>
      <c r="C92" s="10"/>
      <c r="D92" s="10"/>
      <c r="E92" s="10"/>
      <c r="F92" s="10"/>
      <c r="G92" s="10"/>
      <c r="H92" s="10"/>
      <c r="I92" s="10"/>
      <c r="J92" s="19"/>
      <c r="K92" s="10"/>
      <c r="L92" s="19"/>
      <c r="M92" s="10"/>
      <c r="N92" s="10"/>
      <c r="O92" s="10"/>
      <c r="P92" s="10"/>
      <c r="Q92" s="10"/>
      <c r="R92" s="10"/>
      <c r="S92" s="10"/>
      <c r="T92" s="10"/>
      <c r="U92" s="10"/>
      <c r="V92" s="10"/>
      <c r="W92" s="10"/>
      <c r="X92" s="10"/>
      <c r="Y92" s="10"/>
      <c r="Z92" s="10"/>
      <c r="AA92" s="10"/>
      <c r="AB92" s="10"/>
      <c r="AC92" s="10"/>
      <c r="AD92" s="10"/>
      <c r="AE92" s="10"/>
    </row>
    <row r="93" ht="15.75" customHeight="1">
      <c r="A93" s="10"/>
      <c r="B93" s="10"/>
      <c r="C93" s="10"/>
      <c r="D93" s="10"/>
      <c r="E93" s="10"/>
      <c r="F93" s="10"/>
      <c r="G93" s="10"/>
      <c r="H93" s="10"/>
      <c r="I93" s="10"/>
      <c r="J93" s="19"/>
      <c r="K93" s="10"/>
      <c r="L93" s="19"/>
      <c r="M93" s="10"/>
      <c r="N93" s="10"/>
      <c r="O93" s="10"/>
      <c r="P93" s="10"/>
      <c r="Q93" s="10"/>
      <c r="R93" s="10"/>
      <c r="S93" s="10"/>
      <c r="T93" s="10"/>
      <c r="U93" s="10"/>
      <c r="V93" s="10"/>
      <c r="W93" s="10"/>
      <c r="X93" s="10"/>
      <c r="Y93" s="10"/>
      <c r="Z93" s="10"/>
      <c r="AA93" s="10"/>
      <c r="AB93" s="10"/>
      <c r="AC93" s="10"/>
      <c r="AD93" s="10"/>
      <c r="AE93" s="10"/>
    </row>
    <row r="94" ht="15.75" customHeight="1">
      <c r="A94" s="10"/>
      <c r="B94" s="10"/>
      <c r="C94" s="10"/>
      <c r="D94" s="10"/>
      <c r="E94" s="10"/>
      <c r="F94" s="10"/>
      <c r="G94" s="10"/>
      <c r="H94" s="10"/>
      <c r="I94" s="10"/>
      <c r="J94" s="19"/>
      <c r="K94" s="10"/>
      <c r="L94" s="19"/>
      <c r="M94" s="10"/>
      <c r="N94" s="10"/>
      <c r="O94" s="10"/>
      <c r="P94" s="10"/>
      <c r="Q94" s="10"/>
      <c r="R94" s="10"/>
      <c r="S94" s="10"/>
      <c r="T94" s="10"/>
      <c r="U94" s="10"/>
      <c r="V94" s="10"/>
      <c r="W94" s="10"/>
      <c r="X94" s="10"/>
      <c r="Y94" s="10"/>
      <c r="Z94" s="10"/>
      <c r="AA94" s="10"/>
      <c r="AB94" s="10"/>
      <c r="AC94" s="10"/>
      <c r="AD94" s="10"/>
      <c r="AE94" s="10"/>
    </row>
    <row r="95" ht="15.75" customHeight="1">
      <c r="A95" s="10"/>
      <c r="B95" s="10"/>
      <c r="C95" s="10"/>
      <c r="D95" s="10"/>
      <c r="E95" s="10"/>
      <c r="F95" s="10"/>
      <c r="G95" s="10"/>
      <c r="H95" s="10"/>
      <c r="I95" s="10"/>
      <c r="J95" s="19"/>
      <c r="K95" s="10"/>
      <c r="L95" s="19"/>
      <c r="M95" s="10"/>
      <c r="N95" s="10"/>
      <c r="O95" s="10"/>
      <c r="P95" s="10"/>
      <c r="Q95" s="10"/>
      <c r="R95" s="10"/>
      <c r="S95" s="10"/>
      <c r="T95" s="10"/>
      <c r="U95" s="10"/>
      <c r="V95" s="10"/>
      <c r="W95" s="10"/>
      <c r="X95" s="10"/>
      <c r="Y95" s="10"/>
      <c r="Z95" s="10"/>
      <c r="AA95" s="10"/>
      <c r="AB95" s="10"/>
      <c r="AC95" s="10"/>
      <c r="AD95" s="10"/>
      <c r="AE95" s="10"/>
    </row>
    <row r="96" ht="15.75" customHeight="1">
      <c r="A96" s="10"/>
      <c r="B96" s="10"/>
      <c r="C96" s="10"/>
      <c r="D96" s="10"/>
      <c r="E96" s="10"/>
      <c r="F96" s="10"/>
      <c r="G96" s="10"/>
      <c r="H96" s="10"/>
      <c r="I96" s="10"/>
      <c r="J96" s="19"/>
      <c r="K96" s="10"/>
      <c r="L96" s="19"/>
      <c r="M96" s="10"/>
      <c r="N96" s="10"/>
      <c r="O96" s="10"/>
      <c r="P96" s="10"/>
      <c r="Q96" s="10"/>
      <c r="R96" s="10"/>
      <c r="S96" s="10"/>
      <c r="T96" s="10"/>
      <c r="U96" s="10"/>
      <c r="V96" s="10"/>
      <c r="W96" s="10"/>
      <c r="X96" s="10"/>
      <c r="Y96" s="10"/>
      <c r="Z96" s="10"/>
      <c r="AA96" s="10"/>
      <c r="AB96" s="10"/>
      <c r="AC96" s="10"/>
      <c r="AD96" s="10"/>
      <c r="AE96" s="10"/>
    </row>
    <row r="97" ht="15.75" customHeight="1">
      <c r="A97" s="10"/>
      <c r="B97" s="10"/>
      <c r="C97" s="10"/>
      <c r="D97" s="10"/>
      <c r="E97" s="10"/>
      <c r="F97" s="10"/>
      <c r="G97" s="10"/>
      <c r="H97" s="10"/>
      <c r="I97" s="10"/>
      <c r="J97" s="19"/>
      <c r="K97" s="10"/>
      <c r="L97" s="19"/>
      <c r="M97" s="10"/>
      <c r="N97" s="10"/>
      <c r="O97" s="10"/>
      <c r="P97" s="10"/>
      <c r="Q97" s="10"/>
      <c r="R97" s="10"/>
      <c r="S97" s="10"/>
      <c r="T97" s="10"/>
      <c r="U97" s="10"/>
      <c r="V97" s="10"/>
      <c r="W97" s="10"/>
      <c r="X97" s="10"/>
      <c r="Y97" s="10"/>
      <c r="Z97" s="10"/>
      <c r="AA97" s="10"/>
      <c r="AB97" s="10"/>
      <c r="AC97" s="10"/>
      <c r="AD97" s="10"/>
      <c r="AE97" s="10"/>
    </row>
    <row r="98" ht="15.75" customHeight="1">
      <c r="A98" s="10"/>
      <c r="B98" s="10"/>
      <c r="C98" s="10"/>
      <c r="D98" s="10"/>
      <c r="E98" s="10"/>
      <c r="F98" s="10"/>
      <c r="G98" s="10"/>
      <c r="H98" s="10"/>
      <c r="I98" s="10"/>
      <c r="J98" s="19"/>
      <c r="K98" s="10"/>
      <c r="L98" s="19"/>
      <c r="M98" s="10"/>
      <c r="N98" s="10"/>
      <c r="O98" s="10"/>
      <c r="P98" s="10"/>
      <c r="Q98" s="10"/>
      <c r="R98" s="10"/>
      <c r="S98" s="10"/>
      <c r="T98" s="10"/>
      <c r="U98" s="10"/>
      <c r="V98" s="10"/>
      <c r="W98" s="10"/>
      <c r="X98" s="10"/>
      <c r="Y98" s="10"/>
      <c r="Z98" s="10"/>
      <c r="AA98" s="10"/>
      <c r="AB98" s="10"/>
      <c r="AC98" s="10"/>
      <c r="AD98" s="10"/>
      <c r="AE98" s="10"/>
    </row>
    <row r="99" ht="15.75" customHeight="1">
      <c r="A99" s="10"/>
      <c r="B99" s="10"/>
      <c r="C99" s="10"/>
      <c r="D99" s="10"/>
      <c r="E99" s="10"/>
      <c r="F99" s="10"/>
      <c r="G99" s="10"/>
      <c r="H99" s="10"/>
      <c r="I99" s="10"/>
      <c r="J99" s="19"/>
      <c r="K99" s="10"/>
      <c r="L99" s="19"/>
      <c r="M99" s="10"/>
      <c r="N99" s="10"/>
      <c r="O99" s="10"/>
      <c r="P99" s="10"/>
      <c r="Q99" s="10"/>
      <c r="R99" s="10"/>
      <c r="S99" s="10"/>
      <c r="T99" s="10"/>
      <c r="U99" s="10"/>
      <c r="V99" s="10"/>
      <c r="W99" s="10"/>
      <c r="X99" s="10"/>
      <c r="Y99" s="10"/>
      <c r="Z99" s="10"/>
      <c r="AA99" s="10"/>
      <c r="AB99" s="10"/>
      <c r="AC99" s="10"/>
      <c r="AD99" s="10"/>
      <c r="AE99" s="10"/>
    </row>
    <row r="100" ht="15.75" customHeight="1">
      <c r="A100" s="10"/>
      <c r="B100" s="10"/>
      <c r="C100" s="10"/>
      <c r="D100" s="10"/>
      <c r="E100" s="10"/>
      <c r="F100" s="10"/>
      <c r="G100" s="10"/>
      <c r="H100" s="10"/>
      <c r="I100" s="10"/>
      <c r="J100" s="19"/>
      <c r="K100" s="10"/>
      <c r="L100" s="19"/>
      <c r="M100" s="10"/>
      <c r="N100" s="10"/>
      <c r="O100" s="10"/>
      <c r="P100" s="10"/>
      <c r="Q100" s="10"/>
      <c r="R100" s="10"/>
      <c r="S100" s="10"/>
      <c r="T100" s="10"/>
      <c r="U100" s="10"/>
      <c r="V100" s="10"/>
      <c r="W100" s="10"/>
      <c r="X100" s="10"/>
      <c r="Y100" s="10"/>
      <c r="Z100" s="10"/>
      <c r="AA100" s="10"/>
      <c r="AB100" s="10"/>
      <c r="AC100" s="10"/>
      <c r="AD100" s="10"/>
      <c r="AE100" s="10"/>
    </row>
    <row r="101" ht="15.75" customHeight="1">
      <c r="A101" s="10"/>
      <c r="B101" s="10"/>
      <c r="C101" s="10"/>
      <c r="D101" s="10"/>
      <c r="E101" s="10"/>
      <c r="F101" s="10"/>
      <c r="G101" s="10"/>
      <c r="H101" s="10"/>
      <c r="I101" s="10"/>
      <c r="J101" s="19"/>
      <c r="K101" s="10"/>
      <c r="L101" s="19"/>
      <c r="M101" s="10"/>
      <c r="N101" s="10"/>
      <c r="O101" s="10"/>
      <c r="P101" s="10"/>
      <c r="Q101" s="10"/>
      <c r="R101" s="10"/>
      <c r="S101" s="10"/>
      <c r="T101" s="10"/>
      <c r="U101" s="10"/>
      <c r="V101" s="10"/>
      <c r="W101" s="10"/>
      <c r="X101" s="10"/>
      <c r="Y101" s="10"/>
      <c r="Z101" s="10"/>
      <c r="AA101" s="10"/>
      <c r="AB101" s="10"/>
      <c r="AC101" s="10"/>
      <c r="AD101" s="10"/>
      <c r="AE101" s="10"/>
    </row>
    <row r="102" ht="15.75" customHeight="1">
      <c r="A102" s="10"/>
      <c r="B102" s="10"/>
      <c r="C102" s="10"/>
      <c r="D102" s="10"/>
      <c r="E102" s="10"/>
      <c r="F102" s="10"/>
      <c r="G102" s="10"/>
      <c r="H102" s="10"/>
      <c r="I102" s="10"/>
      <c r="J102" s="19"/>
      <c r="K102" s="10"/>
      <c r="L102" s="19"/>
      <c r="M102" s="10"/>
      <c r="N102" s="10"/>
      <c r="O102" s="10"/>
      <c r="P102" s="10"/>
      <c r="Q102" s="10"/>
      <c r="R102" s="10"/>
      <c r="S102" s="10"/>
      <c r="T102" s="10"/>
      <c r="U102" s="10"/>
      <c r="V102" s="10"/>
      <c r="W102" s="10"/>
      <c r="X102" s="10"/>
      <c r="Y102" s="10"/>
      <c r="Z102" s="10"/>
      <c r="AA102" s="10"/>
      <c r="AB102" s="10"/>
      <c r="AC102" s="10"/>
      <c r="AD102" s="10"/>
      <c r="AE102" s="10"/>
    </row>
    <row r="103" ht="15.75" customHeight="1">
      <c r="A103" s="10"/>
      <c r="B103" s="10"/>
      <c r="C103" s="10"/>
      <c r="D103" s="10"/>
      <c r="E103" s="10"/>
      <c r="F103" s="10"/>
      <c r="G103" s="10"/>
      <c r="H103" s="10"/>
      <c r="I103" s="10"/>
      <c r="J103" s="19"/>
      <c r="K103" s="10"/>
      <c r="L103" s="19"/>
      <c r="M103" s="10"/>
      <c r="N103" s="10"/>
      <c r="O103" s="10"/>
      <c r="P103" s="10"/>
      <c r="Q103" s="10"/>
      <c r="R103" s="10"/>
      <c r="S103" s="10"/>
      <c r="T103" s="10"/>
      <c r="U103" s="10"/>
      <c r="V103" s="10"/>
      <c r="W103" s="10"/>
      <c r="X103" s="10"/>
      <c r="Y103" s="10"/>
      <c r="Z103" s="10"/>
      <c r="AA103" s="10"/>
      <c r="AB103" s="10"/>
      <c r="AC103" s="10"/>
      <c r="AD103" s="10"/>
      <c r="AE103" s="10"/>
    </row>
    <row r="104" ht="15.75" customHeight="1">
      <c r="A104" s="10"/>
      <c r="B104" s="10"/>
      <c r="C104" s="10"/>
      <c r="D104" s="10"/>
      <c r="E104" s="10"/>
      <c r="F104" s="10"/>
      <c r="G104" s="10"/>
      <c r="H104" s="10"/>
      <c r="I104" s="10"/>
      <c r="J104" s="19"/>
      <c r="K104" s="10"/>
      <c r="L104" s="19"/>
      <c r="M104" s="10"/>
      <c r="N104" s="10"/>
      <c r="O104" s="10"/>
      <c r="P104" s="10"/>
      <c r="Q104" s="10"/>
      <c r="R104" s="10"/>
      <c r="S104" s="10"/>
      <c r="T104" s="10"/>
      <c r="U104" s="10"/>
      <c r="V104" s="10"/>
      <c r="W104" s="10"/>
      <c r="X104" s="10"/>
      <c r="Y104" s="10"/>
      <c r="Z104" s="10"/>
      <c r="AA104" s="10"/>
      <c r="AB104" s="10"/>
      <c r="AC104" s="10"/>
      <c r="AD104" s="10"/>
      <c r="AE104" s="10"/>
    </row>
    <row r="105" ht="15.75" customHeight="1">
      <c r="A105" s="10"/>
      <c r="B105" s="10"/>
      <c r="C105" s="10"/>
      <c r="D105" s="10"/>
      <c r="E105" s="10"/>
      <c r="F105" s="10"/>
      <c r="G105" s="10"/>
      <c r="H105" s="10"/>
      <c r="I105" s="10"/>
      <c r="J105" s="19"/>
      <c r="K105" s="10"/>
      <c r="L105" s="19"/>
      <c r="M105" s="10"/>
      <c r="N105" s="10"/>
      <c r="O105" s="10"/>
      <c r="P105" s="10"/>
      <c r="Q105" s="10"/>
      <c r="R105" s="10"/>
      <c r="S105" s="10"/>
      <c r="T105" s="10"/>
      <c r="U105" s="10"/>
      <c r="V105" s="10"/>
      <c r="W105" s="10"/>
      <c r="X105" s="10"/>
      <c r="Y105" s="10"/>
      <c r="Z105" s="10"/>
      <c r="AA105" s="10"/>
      <c r="AB105" s="10"/>
      <c r="AC105" s="10"/>
      <c r="AD105" s="10"/>
      <c r="AE105" s="10"/>
    </row>
    <row r="106" ht="15.75" customHeight="1">
      <c r="A106" s="10"/>
      <c r="B106" s="10"/>
      <c r="C106" s="10"/>
      <c r="D106" s="10"/>
      <c r="E106" s="10"/>
      <c r="F106" s="10"/>
      <c r="G106" s="10"/>
      <c r="H106" s="10"/>
      <c r="I106" s="10"/>
      <c r="J106" s="19"/>
      <c r="K106" s="10"/>
      <c r="L106" s="19"/>
      <c r="M106" s="10"/>
      <c r="N106" s="10"/>
      <c r="O106" s="10"/>
      <c r="P106" s="10"/>
      <c r="Q106" s="10"/>
      <c r="R106" s="10"/>
      <c r="S106" s="10"/>
      <c r="T106" s="10"/>
      <c r="U106" s="10"/>
      <c r="V106" s="10"/>
      <c r="W106" s="10"/>
      <c r="X106" s="10"/>
      <c r="Y106" s="10"/>
      <c r="Z106" s="10"/>
      <c r="AA106" s="10"/>
      <c r="AB106" s="10"/>
      <c r="AC106" s="10"/>
      <c r="AD106" s="10"/>
      <c r="AE106" s="10"/>
    </row>
    <row r="107" ht="15.75" customHeight="1">
      <c r="A107" s="10"/>
      <c r="B107" s="10"/>
      <c r="C107" s="10"/>
      <c r="D107" s="10"/>
      <c r="E107" s="10"/>
      <c r="F107" s="10"/>
      <c r="G107" s="10"/>
      <c r="H107" s="10"/>
      <c r="I107" s="10"/>
      <c r="J107" s="19"/>
      <c r="K107" s="10"/>
      <c r="L107" s="19"/>
      <c r="M107" s="10"/>
      <c r="N107" s="10"/>
      <c r="O107" s="10"/>
      <c r="P107" s="10"/>
      <c r="Q107" s="10"/>
      <c r="R107" s="10"/>
      <c r="S107" s="10"/>
      <c r="T107" s="10"/>
      <c r="U107" s="10"/>
      <c r="V107" s="10"/>
      <c r="W107" s="10"/>
      <c r="X107" s="10"/>
      <c r="Y107" s="10"/>
      <c r="Z107" s="10"/>
      <c r="AA107" s="10"/>
      <c r="AB107" s="10"/>
      <c r="AC107" s="10"/>
      <c r="AD107" s="10"/>
      <c r="AE107" s="10"/>
    </row>
    <row r="108" ht="15.75" customHeight="1">
      <c r="A108" s="10"/>
      <c r="B108" s="10"/>
      <c r="C108" s="10"/>
      <c r="D108" s="10"/>
      <c r="E108" s="10"/>
      <c r="F108" s="10"/>
      <c r="G108" s="10"/>
      <c r="H108" s="10"/>
      <c r="I108" s="10"/>
      <c r="J108" s="19"/>
      <c r="K108" s="10"/>
      <c r="L108" s="19"/>
      <c r="M108" s="10"/>
      <c r="N108" s="10"/>
      <c r="O108" s="10"/>
      <c r="P108" s="10"/>
      <c r="Q108" s="10"/>
      <c r="R108" s="10"/>
      <c r="S108" s="10"/>
      <c r="T108" s="10"/>
      <c r="U108" s="10"/>
      <c r="V108" s="10"/>
      <c r="W108" s="10"/>
      <c r="X108" s="10"/>
      <c r="Y108" s="10"/>
      <c r="Z108" s="10"/>
      <c r="AA108" s="10"/>
      <c r="AB108" s="10"/>
      <c r="AC108" s="10"/>
      <c r="AD108" s="10"/>
      <c r="AE108" s="10"/>
    </row>
    <row r="109" ht="15.75" customHeight="1">
      <c r="A109" s="10"/>
      <c r="B109" s="10"/>
      <c r="C109" s="10"/>
      <c r="D109" s="10"/>
      <c r="E109" s="10"/>
      <c r="F109" s="10"/>
      <c r="G109" s="10"/>
      <c r="H109" s="10"/>
      <c r="I109" s="10"/>
      <c r="J109" s="19"/>
      <c r="K109" s="10"/>
      <c r="L109" s="19"/>
      <c r="M109" s="10"/>
      <c r="N109" s="10"/>
      <c r="O109" s="10"/>
      <c r="P109" s="10"/>
      <c r="Q109" s="10"/>
      <c r="R109" s="10"/>
      <c r="S109" s="10"/>
      <c r="T109" s="10"/>
      <c r="U109" s="10"/>
      <c r="V109" s="10"/>
      <c r="W109" s="10"/>
      <c r="X109" s="10"/>
      <c r="Y109" s="10"/>
      <c r="Z109" s="10"/>
      <c r="AA109" s="10"/>
      <c r="AB109" s="10"/>
      <c r="AC109" s="10"/>
      <c r="AD109" s="10"/>
      <c r="AE109" s="10"/>
    </row>
    <row r="110" ht="15.75" customHeight="1">
      <c r="A110" s="10"/>
      <c r="B110" s="10"/>
      <c r="C110" s="10"/>
      <c r="D110" s="10"/>
      <c r="E110" s="10"/>
      <c r="F110" s="10"/>
      <c r="G110" s="10"/>
      <c r="H110" s="10"/>
      <c r="I110" s="10"/>
      <c r="J110" s="19"/>
      <c r="K110" s="10"/>
      <c r="L110" s="19"/>
      <c r="M110" s="10"/>
      <c r="N110" s="10"/>
      <c r="O110" s="10"/>
      <c r="P110" s="10"/>
      <c r="Q110" s="10"/>
      <c r="R110" s="10"/>
      <c r="S110" s="10"/>
      <c r="T110" s="10"/>
      <c r="U110" s="10"/>
      <c r="V110" s="10"/>
      <c r="W110" s="10"/>
      <c r="X110" s="10"/>
      <c r="Y110" s="10"/>
      <c r="Z110" s="10"/>
      <c r="AA110" s="10"/>
      <c r="AB110" s="10"/>
      <c r="AC110" s="10"/>
      <c r="AD110" s="10"/>
      <c r="AE110" s="10"/>
    </row>
    <row r="111" ht="15.75" customHeight="1">
      <c r="A111" s="10"/>
      <c r="B111" s="10"/>
      <c r="C111" s="10"/>
      <c r="D111" s="10"/>
      <c r="E111" s="10"/>
      <c r="F111" s="10"/>
      <c r="G111" s="10"/>
      <c r="H111" s="10"/>
      <c r="I111" s="10"/>
      <c r="J111" s="19"/>
      <c r="K111" s="10"/>
      <c r="L111" s="19"/>
      <c r="M111" s="10"/>
      <c r="N111" s="10"/>
      <c r="O111" s="10"/>
      <c r="P111" s="10"/>
      <c r="Q111" s="10"/>
      <c r="R111" s="10"/>
      <c r="S111" s="10"/>
      <c r="T111" s="10"/>
      <c r="U111" s="10"/>
      <c r="V111" s="10"/>
      <c r="W111" s="10"/>
      <c r="X111" s="10"/>
      <c r="Y111" s="10"/>
      <c r="Z111" s="10"/>
      <c r="AA111" s="10"/>
      <c r="AB111" s="10"/>
      <c r="AC111" s="10"/>
      <c r="AD111" s="10"/>
      <c r="AE111" s="10"/>
    </row>
    <row r="112" ht="15.75" customHeight="1">
      <c r="A112" s="10"/>
      <c r="B112" s="10"/>
      <c r="C112" s="10"/>
      <c r="D112" s="10"/>
      <c r="E112" s="10"/>
      <c r="F112" s="10"/>
      <c r="G112" s="10"/>
      <c r="H112" s="10"/>
      <c r="I112" s="10"/>
      <c r="J112" s="19"/>
      <c r="K112" s="10"/>
      <c r="L112" s="19"/>
      <c r="M112" s="10"/>
      <c r="N112" s="10"/>
      <c r="O112" s="10"/>
      <c r="P112" s="10"/>
      <c r="Q112" s="10"/>
      <c r="R112" s="10"/>
      <c r="S112" s="10"/>
      <c r="T112" s="10"/>
      <c r="U112" s="10"/>
      <c r="V112" s="10"/>
      <c r="W112" s="10"/>
      <c r="X112" s="10"/>
      <c r="Y112" s="10"/>
      <c r="Z112" s="10"/>
      <c r="AA112" s="10"/>
      <c r="AB112" s="10"/>
      <c r="AC112" s="10"/>
      <c r="AD112" s="10"/>
      <c r="AE112" s="10"/>
    </row>
    <row r="113" ht="15.75" customHeight="1">
      <c r="A113" s="10"/>
      <c r="B113" s="10"/>
      <c r="C113" s="10"/>
      <c r="D113" s="10"/>
      <c r="E113" s="10"/>
      <c r="F113" s="10"/>
      <c r="G113" s="10"/>
      <c r="H113" s="10"/>
      <c r="I113" s="10"/>
      <c r="J113" s="19"/>
      <c r="K113" s="10"/>
      <c r="L113" s="19"/>
      <c r="M113" s="10"/>
      <c r="N113" s="10"/>
      <c r="O113" s="10"/>
      <c r="P113" s="10"/>
      <c r="Q113" s="10"/>
      <c r="R113" s="10"/>
      <c r="S113" s="10"/>
      <c r="T113" s="10"/>
      <c r="U113" s="10"/>
      <c r="V113" s="10"/>
      <c r="W113" s="10"/>
      <c r="X113" s="10"/>
      <c r="Y113" s="10"/>
      <c r="Z113" s="10"/>
      <c r="AA113" s="10"/>
      <c r="AB113" s="10"/>
      <c r="AC113" s="10"/>
      <c r="AD113" s="10"/>
      <c r="AE113" s="10"/>
    </row>
    <row r="114" ht="15.75" customHeight="1">
      <c r="A114" s="10"/>
      <c r="B114" s="10"/>
      <c r="C114" s="10"/>
      <c r="D114" s="10"/>
      <c r="E114" s="10"/>
      <c r="F114" s="10"/>
      <c r="G114" s="10"/>
      <c r="H114" s="10"/>
      <c r="I114" s="10"/>
      <c r="J114" s="19"/>
      <c r="K114" s="10"/>
      <c r="L114" s="19"/>
      <c r="M114" s="10"/>
      <c r="N114" s="10"/>
      <c r="O114" s="10"/>
      <c r="P114" s="10"/>
      <c r="Q114" s="10"/>
      <c r="R114" s="10"/>
      <c r="S114" s="10"/>
      <c r="T114" s="10"/>
      <c r="U114" s="10"/>
      <c r="V114" s="10"/>
      <c r="W114" s="10"/>
      <c r="X114" s="10"/>
      <c r="Y114" s="10"/>
      <c r="Z114" s="10"/>
      <c r="AA114" s="10"/>
      <c r="AB114" s="10"/>
      <c r="AC114" s="10"/>
      <c r="AD114" s="10"/>
      <c r="AE114" s="10"/>
    </row>
    <row r="115" ht="15.75" customHeight="1">
      <c r="A115" s="10"/>
      <c r="B115" s="10"/>
      <c r="C115" s="10"/>
      <c r="D115" s="10"/>
      <c r="E115" s="10"/>
      <c r="F115" s="10"/>
      <c r="G115" s="10"/>
      <c r="H115" s="10"/>
      <c r="I115" s="10"/>
      <c r="J115" s="19"/>
      <c r="K115" s="10"/>
      <c r="L115" s="19"/>
      <c r="M115" s="10"/>
      <c r="N115" s="10"/>
      <c r="O115" s="10"/>
      <c r="P115" s="10"/>
      <c r="Q115" s="10"/>
      <c r="R115" s="10"/>
      <c r="S115" s="10"/>
      <c r="T115" s="10"/>
      <c r="U115" s="10"/>
      <c r="V115" s="10"/>
      <c r="W115" s="10"/>
      <c r="X115" s="10"/>
      <c r="Y115" s="10"/>
      <c r="Z115" s="10"/>
      <c r="AA115" s="10"/>
      <c r="AB115" s="10"/>
      <c r="AC115" s="10"/>
      <c r="AD115" s="10"/>
      <c r="AE115" s="10"/>
    </row>
    <row r="116" ht="15.75" customHeight="1">
      <c r="A116" s="10"/>
      <c r="B116" s="10"/>
      <c r="C116" s="10"/>
      <c r="D116" s="10"/>
      <c r="E116" s="10"/>
      <c r="F116" s="10"/>
      <c r="G116" s="10"/>
      <c r="H116" s="10"/>
      <c r="I116" s="10"/>
      <c r="J116" s="19"/>
      <c r="K116" s="10"/>
      <c r="L116" s="19"/>
      <c r="M116" s="10"/>
      <c r="N116" s="10"/>
      <c r="O116" s="10"/>
      <c r="P116" s="10"/>
      <c r="Q116" s="10"/>
      <c r="R116" s="10"/>
      <c r="S116" s="10"/>
      <c r="T116" s="10"/>
      <c r="U116" s="10"/>
      <c r="V116" s="10"/>
      <c r="W116" s="10"/>
      <c r="X116" s="10"/>
      <c r="Y116" s="10"/>
      <c r="Z116" s="10"/>
      <c r="AA116" s="10"/>
      <c r="AB116" s="10"/>
      <c r="AC116" s="10"/>
      <c r="AD116" s="10"/>
      <c r="AE116" s="10"/>
    </row>
    <row r="117" ht="15.75" customHeight="1">
      <c r="A117" s="10"/>
      <c r="B117" s="10"/>
      <c r="C117" s="10"/>
      <c r="D117" s="10"/>
      <c r="E117" s="10"/>
      <c r="F117" s="10"/>
      <c r="G117" s="10"/>
      <c r="H117" s="10"/>
      <c r="I117" s="10"/>
      <c r="J117" s="19"/>
      <c r="K117" s="10"/>
      <c r="L117" s="19"/>
      <c r="M117" s="10"/>
      <c r="N117" s="10"/>
      <c r="O117" s="10"/>
      <c r="P117" s="10"/>
      <c r="Q117" s="10"/>
      <c r="R117" s="10"/>
      <c r="S117" s="10"/>
      <c r="T117" s="10"/>
      <c r="U117" s="10"/>
      <c r="V117" s="10"/>
      <c r="W117" s="10"/>
      <c r="X117" s="10"/>
      <c r="Y117" s="10"/>
      <c r="Z117" s="10"/>
      <c r="AA117" s="10"/>
      <c r="AB117" s="10"/>
      <c r="AC117" s="10"/>
      <c r="AD117" s="10"/>
      <c r="AE117" s="10"/>
    </row>
    <row r="118" ht="15.75" customHeight="1">
      <c r="A118" s="10"/>
      <c r="B118" s="10"/>
      <c r="C118" s="10"/>
      <c r="D118" s="10"/>
      <c r="E118" s="10"/>
      <c r="F118" s="10"/>
      <c r="G118" s="10"/>
      <c r="H118" s="10"/>
      <c r="I118" s="10"/>
      <c r="J118" s="19"/>
      <c r="K118" s="10"/>
      <c r="L118" s="19"/>
      <c r="M118" s="10"/>
      <c r="N118" s="10"/>
      <c r="O118" s="10"/>
      <c r="P118" s="10"/>
      <c r="Q118" s="10"/>
      <c r="R118" s="10"/>
      <c r="S118" s="10"/>
      <c r="T118" s="10"/>
      <c r="U118" s="10"/>
      <c r="V118" s="10"/>
      <c r="W118" s="10"/>
      <c r="X118" s="10"/>
      <c r="Y118" s="10"/>
      <c r="Z118" s="10"/>
      <c r="AA118" s="10"/>
      <c r="AB118" s="10"/>
      <c r="AC118" s="10"/>
      <c r="AD118" s="10"/>
      <c r="AE118" s="10"/>
    </row>
    <row r="119" ht="15.75" customHeight="1">
      <c r="A119" s="10"/>
      <c r="B119" s="10"/>
      <c r="C119" s="10"/>
      <c r="D119" s="10"/>
      <c r="E119" s="10"/>
      <c r="F119" s="10"/>
      <c r="G119" s="10"/>
      <c r="H119" s="10"/>
      <c r="I119" s="10"/>
      <c r="J119" s="19"/>
      <c r="K119" s="10"/>
      <c r="L119" s="19"/>
      <c r="M119" s="10"/>
      <c r="N119" s="10"/>
      <c r="O119" s="10"/>
      <c r="P119" s="10"/>
      <c r="Q119" s="10"/>
      <c r="R119" s="10"/>
      <c r="S119" s="10"/>
      <c r="T119" s="10"/>
      <c r="U119" s="10"/>
      <c r="V119" s="10"/>
      <c r="W119" s="10"/>
      <c r="X119" s="10"/>
      <c r="Y119" s="10"/>
      <c r="Z119" s="10"/>
      <c r="AA119" s="10"/>
      <c r="AB119" s="10"/>
      <c r="AC119" s="10"/>
      <c r="AD119" s="10"/>
      <c r="AE119" s="10"/>
    </row>
    <row r="120" ht="15.75" customHeight="1">
      <c r="A120" s="10"/>
      <c r="B120" s="10"/>
      <c r="C120" s="10"/>
      <c r="D120" s="10"/>
      <c r="E120" s="10"/>
      <c r="F120" s="10"/>
      <c r="G120" s="10"/>
      <c r="H120" s="10"/>
      <c r="I120" s="10"/>
      <c r="J120" s="19"/>
      <c r="K120" s="10"/>
      <c r="L120" s="19"/>
      <c r="M120" s="10"/>
      <c r="N120" s="10"/>
      <c r="O120" s="10"/>
      <c r="P120" s="10"/>
      <c r="Q120" s="10"/>
      <c r="R120" s="10"/>
      <c r="S120" s="10"/>
      <c r="T120" s="10"/>
      <c r="U120" s="10"/>
      <c r="V120" s="10"/>
      <c r="W120" s="10"/>
      <c r="X120" s="10"/>
      <c r="Y120" s="10"/>
      <c r="Z120" s="10"/>
      <c r="AA120" s="10"/>
      <c r="AB120" s="10"/>
      <c r="AC120" s="10"/>
      <c r="AD120" s="10"/>
      <c r="AE120" s="10"/>
    </row>
    <row r="121" ht="15.75" customHeight="1">
      <c r="A121" s="10"/>
      <c r="B121" s="10"/>
      <c r="C121" s="10"/>
      <c r="D121" s="10"/>
      <c r="E121" s="10"/>
      <c r="F121" s="10"/>
      <c r="G121" s="10"/>
      <c r="H121" s="10"/>
      <c r="I121" s="10"/>
      <c r="J121" s="19"/>
      <c r="K121" s="10"/>
      <c r="L121" s="19"/>
      <c r="M121" s="10"/>
      <c r="N121" s="10"/>
      <c r="O121" s="10"/>
      <c r="P121" s="10"/>
      <c r="Q121" s="10"/>
      <c r="R121" s="10"/>
      <c r="S121" s="10"/>
      <c r="T121" s="10"/>
      <c r="U121" s="10"/>
      <c r="V121" s="10"/>
      <c r="W121" s="10"/>
      <c r="X121" s="10"/>
      <c r="Y121" s="10"/>
      <c r="Z121" s="10"/>
      <c r="AA121" s="10"/>
      <c r="AB121" s="10"/>
      <c r="AC121" s="10"/>
      <c r="AD121" s="10"/>
      <c r="AE121" s="10"/>
    </row>
    <row r="122" ht="15.75" customHeight="1">
      <c r="A122" s="10"/>
      <c r="B122" s="10"/>
      <c r="C122" s="10"/>
      <c r="D122" s="10"/>
      <c r="E122" s="10"/>
      <c r="F122" s="10"/>
      <c r="G122" s="10"/>
      <c r="H122" s="10"/>
      <c r="I122" s="10"/>
      <c r="J122" s="19"/>
      <c r="K122" s="10"/>
      <c r="L122" s="19"/>
      <c r="M122" s="10"/>
      <c r="N122" s="10"/>
      <c r="O122" s="10"/>
      <c r="P122" s="10"/>
      <c r="Q122" s="10"/>
      <c r="R122" s="10"/>
      <c r="S122" s="10"/>
      <c r="T122" s="10"/>
      <c r="U122" s="10"/>
      <c r="V122" s="10"/>
      <c r="W122" s="10"/>
      <c r="X122" s="10"/>
      <c r="Y122" s="10"/>
      <c r="Z122" s="10"/>
      <c r="AA122" s="10"/>
      <c r="AB122" s="10"/>
      <c r="AC122" s="10"/>
      <c r="AD122" s="10"/>
      <c r="AE122" s="10"/>
    </row>
    <row r="123" ht="15.75" customHeight="1">
      <c r="A123" s="10"/>
      <c r="B123" s="10"/>
      <c r="C123" s="10"/>
      <c r="D123" s="10"/>
      <c r="E123" s="10"/>
      <c r="F123" s="10"/>
      <c r="G123" s="10"/>
      <c r="H123" s="10"/>
      <c r="I123" s="10"/>
      <c r="J123" s="19"/>
      <c r="K123" s="10"/>
      <c r="L123" s="19"/>
      <c r="M123" s="10"/>
      <c r="N123" s="10"/>
      <c r="O123" s="10"/>
      <c r="P123" s="10"/>
      <c r="Q123" s="10"/>
      <c r="R123" s="10"/>
      <c r="S123" s="10"/>
      <c r="T123" s="10"/>
      <c r="U123" s="10"/>
      <c r="V123" s="10"/>
      <c r="W123" s="10"/>
      <c r="X123" s="10"/>
      <c r="Y123" s="10"/>
      <c r="Z123" s="10"/>
      <c r="AA123" s="10"/>
      <c r="AB123" s="10"/>
      <c r="AC123" s="10"/>
      <c r="AD123" s="10"/>
      <c r="AE123" s="10"/>
    </row>
    <row r="124" ht="15.75" customHeight="1">
      <c r="A124" s="10"/>
      <c r="B124" s="10"/>
      <c r="C124" s="10"/>
      <c r="D124" s="10"/>
      <c r="E124" s="10"/>
      <c r="F124" s="10"/>
      <c r="G124" s="10"/>
      <c r="H124" s="10"/>
      <c r="I124" s="10"/>
      <c r="J124" s="19"/>
      <c r="K124" s="10"/>
      <c r="L124" s="19"/>
      <c r="M124" s="10"/>
      <c r="N124" s="10"/>
      <c r="O124" s="10"/>
      <c r="P124" s="10"/>
      <c r="Q124" s="10"/>
      <c r="R124" s="10"/>
      <c r="S124" s="10"/>
      <c r="T124" s="10"/>
      <c r="U124" s="10"/>
      <c r="V124" s="10"/>
      <c r="W124" s="10"/>
      <c r="X124" s="10"/>
      <c r="Y124" s="10"/>
      <c r="Z124" s="10"/>
      <c r="AA124" s="10"/>
      <c r="AB124" s="10"/>
      <c r="AC124" s="10"/>
      <c r="AD124" s="10"/>
      <c r="AE124" s="10"/>
    </row>
    <row r="125" ht="15.75" customHeight="1">
      <c r="A125" s="10"/>
      <c r="B125" s="10"/>
      <c r="C125" s="10"/>
      <c r="D125" s="10"/>
      <c r="E125" s="10"/>
      <c r="F125" s="10"/>
      <c r="G125" s="10"/>
      <c r="H125" s="10"/>
      <c r="I125" s="10"/>
      <c r="J125" s="19"/>
      <c r="K125" s="10"/>
      <c r="L125" s="19"/>
      <c r="M125" s="10"/>
      <c r="N125" s="10"/>
      <c r="O125" s="10"/>
      <c r="P125" s="10"/>
      <c r="Q125" s="10"/>
      <c r="R125" s="10"/>
      <c r="S125" s="10"/>
      <c r="T125" s="10"/>
      <c r="U125" s="10"/>
      <c r="V125" s="10"/>
      <c r="W125" s="10"/>
      <c r="X125" s="10"/>
      <c r="Y125" s="10"/>
      <c r="Z125" s="10"/>
      <c r="AA125" s="10"/>
      <c r="AB125" s="10"/>
      <c r="AC125" s="10"/>
      <c r="AD125" s="10"/>
      <c r="AE125" s="10"/>
    </row>
    <row r="126" ht="15.75" customHeight="1">
      <c r="A126" s="10"/>
      <c r="B126" s="10"/>
      <c r="C126" s="10"/>
      <c r="D126" s="10"/>
      <c r="E126" s="10"/>
      <c r="F126" s="10"/>
      <c r="G126" s="10"/>
      <c r="H126" s="10"/>
      <c r="I126" s="10"/>
      <c r="J126" s="19"/>
      <c r="K126" s="10"/>
      <c r="L126" s="19"/>
      <c r="M126" s="10"/>
      <c r="N126" s="10"/>
      <c r="O126" s="10"/>
      <c r="P126" s="10"/>
      <c r="Q126" s="10"/>
      <c r="R126" s="10"/>
      <c r="S126" s="10"/>
      <c r="T126" s="10"/>
      <c r="U126" s="10"/>
      <c r="V126" s="10"/>
      <c r="W126" s="10"/>
      <c r="X126" s="10"/>
      <c r="Y126" s="10"/>
      <c r="Z126" s="10"/>
      <c r="AA126" s="10"/>
      <c r="AB126" s="10"/>
      <c r="AC126" s="10"/>
      <c r="AD126" s="10"/>
      <c r="AE126" s="10"/>
    </row>
    <row r="127" ht="15.75" customHeight="1">
      <c r="A127" s="10"/>
      <c r="B127" s="10"/>
      <c r="C127" s="10"/>
      <c r="D127" s="10"/>
      <c r="E127" s="10"/>
      <c r="F127" s="10"/>
      <c r="G127" s="10"/>
      <c r="H127" s="10"/>
      <c r="I127" s="10"/>
      <c r="J127" s="19"/>
      <c r="K127" s="10"/>
      <c r="L127" s="19"/>
      <c r="M127" s="10"/>
      <c r="N127" s="10"/>
      <c r="O127" s="10"/>
      <c r="P127" s="10"/>
      <c r="Q127" s="10"/>
      <c r="R127" s="10"/>
      <c r="S127" s="10"/>
      <c r="T127" s="10"/>
      <c r="U127" s="10"/>
      <c r="V127" s="10"/>
      <c r="W127" s="10"/>
      <c r="X127" s="10"/>
      <c r="Y127" s="10"/>
      <c r="Z127" s="10"/>
      <c r="AA127" s="10"/>
      <c r="AB127" s="10"/>
      <c r="AC127" s="10"/>
      <c r="AD127" s="10"/>
      <c r="AE127" s="10"/>
    </row>
    <row r="128" ht="15.75" customHeight="1">
      <c r="A128" s="10"/>
      <c r="B128" s="10"/>
      <c r="C128" s="10"/>
      <c r="D128" s="10"/>
      <c r="E128" s="10"/>
      <c r="F128" s="10"/>
      <c r="G128" s="10"/>
      <c r="H128" s="10"/>
      <c r="I128" s="10"/>
      <c r="J128" s="19"/>
      <c r="K128" s="10"/>
      <c r="L128" s="19"/>
      <c r="M128" s="10"/>
      <c r="N128" s="10"/>
      <c r="O128" s="10"/>
      <c r="P128" s="10"/>
      <c r="Q128" s="10"/>
      <c r="R128" s="10"/>
      <c r="S128" s="10"/>
      <c r="T128" s="10"/>
      <c r="U128" s="10"/>
      <c r="V128" s="10"/>
      <c r="W128" s="10"/>
      <c r="X128" s="10"/>
      <c r="Y128" s="10"/>
      <c r="Z128" s="10"/>
      <c r="AA128" s="10"/>
      <c r="AB128" s="10"/>
      <c r="AC128" s="10"/>
      <c r="AD128" s="10"/>
      <c r="AE128" s="10"/>
    </row>
    <row r="129" ht="15.75" customHeight="1">
      <c r="A129" s="10"/>
      <c r="B129" s="10"/>
      <c r="C129" s="10"/>
      <c r="D129" s="10"/>
      <c r="E129" s="10"/>
      <c r="F129" s="10"/>
      <c r="G129" s="10"/>
      <c r="H129" s="10"/>
      <c r="I129" s="10"/>
      <c r="J129" s="19"/>
      <c r="K129" s="10"/>
      <c r="L129" s="19"/>
      <c r="M129" s="10"/>
      <c r="N129" s="10"/>
      <c r="O129" s="10"/>
      <c r="P129" s="10"/>
      <c r="Q129" s="10"/>
      <c r="R129" s="10"/>
      <c r="S129" s="10"/>
      <c r="T129" s="10"/>
      <c r="U129" s="10"/>
      <c r="V129" s="10"/>
      <c r="W129" s="10"/>
      <c r="X129" s="10"/>
      <c r="Y129" s="10"/>
      <c r="Z129" s="10"/>
      <c r="AA129" s="10"/>
      <c r="AB129" s="10"/>
      <c r="AC129" s="10"/>
      <c r="AD129" s="10"/>
      <c r="AE129" s="10"/>
    </row>
    <row r="130" ht="15.75" customHeight="1">
      <c r="A130" s="10"/>
      <c r="B130" s="10"/>
      <c r="C130" s="10"/>
      <c r="D130" s="10"/>
      <c r="E130" s="10"/>
      <c r="F130" s="10"/>
      <c r="G130" s="10"/>
      <c r="H130" s="10"/>
      <c r="I130" s="10"/>
      <c r="J130" s="19"/>
      <c r="K130" s="10"/>
      <c r="L130" s="19"/>
      <c r="M130" s="10"/>
      <c r="N130" s="10"/>
      <c r="O130" s="10"/>
      <c r="P130" s="10"/>
      <c r="Q130" s="10"/>
      <c r="R130" s="10"/>
      <c r="S130" s="10"/>
      <c r="T130" s="10"/>
      <c r="U130" s="10"/>
      <c r="V130" s="10"/>
      <c r="W130" s="10"/>
      <c r="X130" s="10"/>
      <c r="Y130" s="10"/>
      <c r="Z130" s="10"/>
      <c r="AA130" s="10"/>
      <c r="AB130" s="10"/>
      <c r="AC130" s="10"/>
      <c r="AD130" s="10"/>
      <c r="AE130" s="10"/>
    </row>
    <row r="131" ht="15.75" customHeight="1">
      <c r="A131" s="10"/>
      <c r="B131" s="10"/>
      <c r="C131" s="10"/>
      <c r="D131" s="10"/>
      <c r="E131" s="10"/>
      <c r="F131" s="10"/>
      <c r="G131" s="10"/>
      <c r="H131" s="10"/>
      <c r="I131" s="10"/>
      <c r="J131" s="19"/>
      <c r="K131" s="10"/>
      <c r="L131" s="19"/>
      <c r="M131" s="10"/>
      <c r="N131" s="10"/>
      <c r="O131" s="10"/>
      <c r="P131" s="10"/>
      <c r="Q131" s="10"/>
      <c r="R131" s="10"/>
      <c r="S131" s="10"/>
      <c r="T131" s="10"/>
      <c r="U131" s="10"/>
      <c r="V131" s="10"/>
      <c r="W131" s="10"/>
      <c r="X131" s="10"/>
      <c r="Y131" s="10"/>
      <c r="Z131" s="10"/>
      <c r="AA131" s="10"/>
      <c r="AB131" s="10"/>
      <c r="AC131" s="10"/>
      <c r="AD131" s="10"/>
      <c r="AE131" s="10"/>
    </row>
    <row r="132" ht="15.75" customHeight="1">
      <c r="A132" s="10"/>
      <c r="B132" s="10"/>
      <c r="C132" s="10"/>
      <c r="D132" s="10"/>
      <c r="E132" s="10"/>
      <c r="F132" s="10"/>
      <c r="G132" s="10"/>
      <c r="H132" s="10"/>
      <c r="I132" s="10"/>
      <c r="J132" s="19"/>
      <c r="K132" s="10"/>
      <c r="L132" s="19"/>
      <c r="M132" s="10"/>
      <c r="N132" s="10"/>
      <c r="O132" s="10"/>
      <c r="P132" s="10"/>
      <c r="Q132" s="10"/>
      <c r="R132" s="10"/>
      <c r="S132" s="10"/>
      <c r="T132" s="10"/>
      <c r="U132" s="10"/>
      <c r="V132" s="10"/>
      <c r="W132" s="10"/>
      <c r="X132" s="10"/>
      <c r="Y132" s="10"/>
      <c r="Z132" s="10"/>
      <c r="AA132" s="10"/>
      <c r="AB132" s="10"/>
      <c r="AC132" s="10"/>
      <c r="AD132" s="10"/>
      <c r="AE132" s="10"/>
    </row>
    <row r="133" ht="15.75" customHeight="1">
      <c r="A133" s="10"/>
      <c r="B133" s="10"/>
      <c r="C133" s="10"/>
      <c r="D133" s="10"/>
      <c r="E133" s="10"/>
      <c r="F133" s="10"/>
      <c r="G133" s="10"/>
      <c r="H133" s="10"/>
      <c r="I133" s="10"/>
      <c r="J133" s="19"/>
      <c r="K133" s="10"/>
      <c r="L133" s="19"/>
      <c r="M133" s="10"/>
      <c r="N133" s="10"/>
      <c r="O133" s="10"/>
      <c r="P133" s="10"/>
      <c r="Q133" s="10"/>
      <c r="R133" s="10"/>
      <c r="S133" s="10"/>
      <c r="T133" s="10"/>
      <c r="U133" s="10"/>
      <c r="V133" s="10"/>
      <c r="W133" s="10"/>
      <c r="X133" s="10"/>
      <c r="Y133" s="10"/>
      <c r="Z133" s="10"/>
      <c r="AA133" s="10"/>
      <c r="AB133" s="10"/>
      <c r="AC133" s="10"/>
      <c r="AD133" s="10"/>
      <c r="AE133" s="10"/>
    </row>
    <row r="134" ht="15.75" customHeight="1">
      <c r="A134" s="10"/>
      <c r="B134" s="10"/>
      <c r="C134" s="10"/>
      <c r="D134" s="10"/>
      <c r="E134" s="10"/>
      <c r="F134" s="10"/>
      <c r="G134" s="10"/>
      <c r="H134" s="10"/>
      <c r="I134" s="10"/>
      <c r="J134" s="19"/>
      <c r="K134" s="10"/>
      <c r="L134" s="19"/>
      <c r="M134" s="10"/>
      <c r="N134" s="10"/>
      <c r="O134" s="10"/>
      <c r="P134" s="10"/>
      <c r="Q134" s="10"/>
      <c r="R134" s="10"/>
      <c r="S134" s="10"/>
      <c r="T134" s="10"/>
      <c r="U134" s="10"/>
      <c r="V134" s="10"/>
      <c r="W134" s="10"/>
      <c r="X134" s="10"/>
      <c r="Y134" s="10"/>
      <c r="Z134" s="10"/>
      <c r="AA134" s="10"/>
      <c r="AB134" s="10"/>
      <c r="AC134" s="10"/>
      <c r="AD134" s="10"/>
      <c r="AE134" s="10"/>
    </row>
    <row r="135" ht="15.75" customHeight="1">
      <c r="A135" s="10"/>
      <c r="B135" s="10"/>
      <c r="C135" s="10"/>
      <c r="D135" s="10"/>
      <c r="E135" s="10"/>
      <c r="F135" s="10"/>
      <c r="G135" s="10"/>
      <c r="H135" s="10"/>
      <c r="I135" s="10"/>
      <c r="J135" s="19"/>
      <c r="K135" s="10"/>
      <c r="L135" s="19"/>
      <c r="M135" s="10"/>
      <c r="N135" s="10"/>
      <c r="O135" s="10"/>
      <c r="P135" s="10"/>
      <c r="Q135" s="10"/>
      <c r="R135" s="10"/>
      <c r="S135" s="10"/>
      <c r="T135" s="10"/>
      <c r="U135" s="10"/>
      <c r="V135" s="10"/>
      <c r="W135" s="10"/>
      <c r="X135" s="10"/>
      <c r="Y135" s="10"/>
      <c r="Z135" s="10"/>
      <c r="AA135" s="10"/>
      <c r="AB135" s="10"/>
      <c r="AC135" s="10"/>
      <c r="AD135" s="10"/>
      <c r="AE135" s="10"/>
    </row>
    <row r="136" ht="15.75" customHeight="1">
      <c r="A136" s="10"/>
      <c r="B136" s="10"/>
      <c r="C136" s="10"/>
      <c r="D136" s="10"/>
      <c r="E136" s="10"/>
      <c r="F136" s="10"/>
      <c r="G136" s="10"/>
      <c r="H136" s="10"/>
      <c r="I136" s="10"/>
      <c r="J136" s="19"/>
      <c r="K136" s="10"/>
      <c r="L136" s="19"/>
      <c r="M136" s="10"/>
      <c r="N136" s="10"/>
      <c r="O136" s="10"/>
      <c r="P136" s="10"/>
      <c r="Q136" s="10"/>
      <c r="R136" s="10"/>
      <c r="S136" s="10"/>
      <c r="T136" s="10"/>
      <c r="U136" s="10"/>
      <c r="V136" s="10"/>
      <c r="W136" s="10"/>
      <c r="X136" s="10"/>
      <c r="Y136" s="10"/>
      <c r="Z136" s="10"/>
      <c r="AA136" s="10"/>
      <c r="AB136" s="10"/>
      <c r="AC136" s="10"/>
      <c r="AD136" s="10"/>
      <c r="AE136" s="10"/>
    </row>
    <row r="137" ht="15.75" customHeight="1">
      <c r="A137" s="10"/>
      <c r="B137" s="10"/>
      <c r="C137" s="10"/>
      <c r="D137" s="10"/>
      <c r="E137" s="10"/>
      <c r="F137" s="10"/>
      <c r="G137" s="10"/>
      <c r="H137" s="10"/>
      <c r="I137" s="10"/>
      <c r="J137" s="19"/>
      <c r="K137" s="10"/>
      <c r="L137" s="19"/>
      <c r="M137" s="10"/>
      <c r="N137" s="10"/>
      <c r="O137" s="10"/>
      <c r="P137" s="10"/>
      <c r="Q137" s="10"/>
      <c r="R137" s="10"/>
      <c r="S137" s="10"/>
      <c r="T137" s="10"/>
      <c r="U137" s="10"/>
      <c r="V137" s="10"/>
      <c r="W137" s="10"/>
      <c r="X137" s="10"/>
      <c r="Y137" s="10"/>
      <c r="Z137" s="10"/>
      <c r="AA137" s="10"/>
      <c r="AB137" s="10"/>
      <c r="AC137" s="10"/>
      <c r="AD137" s="10"/>
      <c r="AE137" s="10"/>
    </row>
    <row r="138" ht="15.75" customHeight="1">
      <c r="A138" s="10"/>
      <c r="B138" s="10"/>
      <c r="C138" s="10"/>
      <c r="D138" s="10"/>
      <c r="E138" s="10"/>
      <c r="F138" s="10"/>
      <c r="G138" s="10"/>
      <c r="H138" s="10"/>
      <c r="I138" s="10"/>
      <c r="J138" s="19"/>
      <c r="K138" s="10"/>
      <c r="L138" s="19"/>
      <c r="M138" s="10"/>
      <c r="N138" s="10"/>
      <c r="O138" s="10"/>
      <c r="P138" s="10"/>
      <c r="Q138" s="10"/>
      <c r="R138" s="10"/>
      <c r="S138" s="10"/>
      <c r="T138" s="10"/>
      <c r="U138" s="10"/>
      <c r="V138" s="10"/>
      <c r="W138" s="10"/>
      <c r="X138" s="10"/>
      <c r="Y138" s="10"/>
      <c r="Z138" s="10"/>
      <c r="AA138" s="10"/>
      <c r="AB138" s="10"/>
      <c r="AC138" s="10"/>
      <c r="AD138" s="10"/>
      <c r="AE138" s="10"/>
    </row>
    <row r="139" ht="15.75" customHeight="1">
      <c r="A139" s="10"/>
      <c r="B139" s="10"/>
      <c r="C139" s="10"/>
      <c r="D139" s="10"/>
      <c r="E139" s="10"/>
      <c r="F139" s="10"/>
      <c r="G139" s="10"/>
      <c r="H139" s="10"/>
      <c r="I139" s="10"/>
      <c r="J139" s="19"/>
      <c r="K139" s="10"/>
      <c r="L139" s="19"/>
      <c r="M139" s="10"/>
      <c r="N139" s="10"/>
      <c r="O139" s="10"/>
      <c r="P139" s="10"/>
      <c r="Q139" s="10"/>
      <c r="R139" s="10"/>
      <c r="S139" s="10"/>
      <c r="T139" s="10"/>
      <c r="U139" s="10"/>
      <c r="V139" s="10"/>
      <c r="W139" s="10"/>
      <c r="X139" s="10"/>
      <c r="Y139" s="10"/>
      <c r="Z139" s="10"/>
      <c r="AA139" s="10"/>
      <c r="AB139" s="10"/>
      <c r="AC139" s="10"/>
      <c r="AD139" s="10"/>
      <c r="AE139" s="10"/>
    </row>
    <row r="140" ht="15.75" customHeight="1">
      <c r="A140" s="10"/>
      <c r="B140" s="10"/>
      <c r="C140" s="10"/>
      <c r="D140" s="10"/>
      <c r="E140" s="10"/>
      <c r="F140" s="10"/>
      <c r="G140" s="10"/>
      <c r="H140" s="10"/>
      <c r="I140" s="10"/>
      <c r="J140" s="19"/>
      <c r="K140" s="10"/>
      <c r="L140" s="19"/>
      <c r="M140" s="10"/>
      <c r="N140" s="10"/>
      <c r="O140" s="10"/>
      <c r="P140" s="10"/>
      <c r="Q140" s="10"/>
      <c r="R140" s="10"/>
      <c r="S140" s="10"/>
      <c r="T140" s="10"/>
      <c r="U140" s="10"/>
      <c r="V140" s="10"/>
      <c r="W140" s="10"/>
      <c r="X140" s="10"/>
      <c r="Y140" s="10"/>
      <c r="Z140" s="10"/>
      <c r="AA140" s="10"/>
      <c r="AB140" s="10"/>
      <c r="AC140" s="10"/>
      <c r="AD140" s="10"/>
      <c r="AE140" s="10"/>
    </row>
    <row r="141" ht="15.75" customHeight="1">
      <c r="A141" s="10"/>
      <c r="B141" s="10"/>
      <c r="C141" s="10"/>
      <c r="D141" s="10"/>
      <c r="E141" s="10"/>
      <c r="F141" s="10"/>
      <c r="G141" s="10"/>
      <c r="H141" s="10"/>
      <c r="I141" s="10"/>
      <c r="J141" s="19"/>
      <c r="K141" s="10"/>
      <c r="L141" s="19"/>
      <c r="M141" s="10"/>
      <c r="N141" s="10"/>
      <c r="O141" s="10"/>
      <c r="P141" s="10"/>
      <c r="Q141" s="10"/>
      <c r="R141" s="10"/>
      <c r="S141" s="10"/>
      <c r="T141" s="10"/>
      <c r="U141" s="10"/>
      <c r="V141" s="10"/>
      <c r="W141" s="10"/>
      <c r="X141" s="10"/>
      <c r="Y141" s="10"/>
      <c r="Z141" s="10"/>
      <c r="AA141" s="10"/>
      <c r="AB141" s="10"/>
      <c r="AC141" s="10"/>
      <c r="AD141" s="10"/>
      <c r="AE141" s="10"/>
    </row>
    <row r="142" ht="15.75" customHeight="1">
      <c r="A142" s="10"/>
      <c r="B142" s="10"/>
      <c r="C142" s="10"/>
      <c r="D142" s="10"/>
      <c r="E142" s="10"/>
      <c r="F142" s="10"/>
      <c r="G142" s="10"/>
      <c r="H142" s="10"/>
      <c r="I142" s="10"/>
      <c r="J142" s="19"/>
      <c r="K142" s="10"/>
      <c r="L142" s="19"/>
      <c r="M142" s="10"/>
      <c r="N142" s="10"/>
      <c r="O142" s="10"/>
      <c r="P142" s="10"/>
      <c r="Q142" s="10"/>
      <c r="R142" s="10"/>
      <c r="S142" s="10"/>
      <c r="T142" s="10"/>
      <c r="U142" s="10"/>
      <c r="V142" s="10"/>
      <c r="W142" s="10"/>
      <c r="X142" s="10"/>
      <c r="Y142" s="10"/>
      <c r="Z142" s="10"/>
      <c r="AA142" s="10"/>
      <c r="AB142" s="10"/>
      <c r="AC142" s="10"/>
      <c r="AD142" s="10"/>
      <c r="AE142" s="10"/>
    </row>
    <row r="143" ht="15.75" customHeight="1">
      <c r="A143" s="10"/>
      <c r="B143" s="10"/>
      <c r="C143" s="10"/>
      <c r="D143" s="10"/>
      <c r="E143" s="10"/>
      <c r="F143" s="10"/>
      <c r="G143" s="10"/>
      <c r="H143" s="10"/>
      <c r="I143" s="10"/>
      <c r="J143" s="19"/>
      <c r="K143" s="10"/>
      <c r="L143" s="19"/>
      <c r="M143" s="10"/>
      <c r="N143" s="10"/>
      <c r="O143" s="10"/>
      <c r="P143" s="10"/>
      <c r="Q143" s="10"/>
      <c r="R143" s="10"/>
      <c r="S143" s="10"/>
      <c r="T143" s="10"/>
      <c r="U143" s="10"/>
      <c r="V143" s="10"/>
      <c r="W143" s="10"/>
      <c r="X143" s="10"/>
      <c r="Y143" s="10"/>
      <c r="Z143" s="10"/>
      <c r="AA143" s="10"/>
      <c r="AB143" s="10"/>
      <c r="AC143" s="10"/>
      <c r="AD143" s="10"/>
      <c r="AE143" s="10"/>
    </row>
    <row r="144" ht="15.75" customHeight="1">
      <c r="A144" s="10"/>
      <c r="B144" s="10"/>
      <c r="C144" s="10"/>
      <c r="D144" s="10"/>
      <c r="E144" s="10"/>
      <c r="F144" s="10"/>
      <c r="G144" s="10"/>
      <c r="H144" s="10"/>
      <c r="I144" s="10"/>
      <c r="J144" s="19"/>
      <c r="K144" s="10"/>
      <c r="L144" s="19"/>
      <c r="M144" s="10"/>
      <c r="N144" s="10"/>
      <c r="O144" s="10"/>
      <c r="P144" s="10"/>
      <c r="Q144" s="10"/>
      <c r="R144" s="10"/>
      <c r="S144" s="10"/>
      <c r="T144" s="10"/>
      <c r="U144" s="10"/>
      <c r="V144" s="10"/>
      <c r="W144" s="10"/>
      <c r="X144" s="10"/>
      <c r="Y144" s="10"/>
      <c r="Z144" s="10"/>
      <c r="AA144" s="10"/>
      <c r="AB144" s="10"/>
      <c r="AC144" s="10"/>
      <c r="AD144" s="10"/>
      <c r="AE144" s="10"/>
    </row>
    <row r="145" ht="15.75" customHeight="1">
      <c r="A145" s="10"/>
      <c r="B145" s="10"/>
      <c r="C145" s="10"/>
      <c r="D145" s="10"/>
      <c r="E145" s="10"/>
      <c r="F145" s="10"/>
      <c r="G145" s="10"/>
      <c r="H145" s="10"/>
      <c r="I145" s="10"/>
      <c r="J145" s="19"/>
      <c r="K145" s="10"/>
      <c r="L145" s="19"/>
      <c r="M145" s="10"/>
      <c r="N145" s="10"/>
      <c r="O145" s="10"/>
      <c r="P145" s="10"/>
      <c r="Q145" s="10"/>
      <c r="R145" s="10"/>
      <c r="S145" s="10"/>
      <c r="T145" s="10"/>
      <c r="U145" s="10"/>
      <c r="V145" s="10"/>
      <c r="W145" s="10"/>
      <c r="X145" s="10"/>
      <c r="Y145" s="10"/>
      <c r="Z145" s="10"/>
      <c r="AA145" s="10"/>
      <c r="AB145" s="10"/>
      <c r="AC145" s="10"/>
      <c r="AD145" s="10"/>
      <c r="AE145" s="10"/>
    </row>
    <row r="146" ht="15.75" customHeight="1">
      <c r="A146" s="10"/>
      <c r="B146" s="10"/>
      <c r="C146" s="10"/>
      <c r="D146" s="10"/>
      <c r="E146" s="10"/>
      <c r="F146" s="10"/>
      <c r="G146" s="10"/>
      <c r="H146" s="10"/>
      <c r="I146" s="10"/>
      <c r="J146" s="19"/>
      <c r="K146" s="10"/>
      <c r="L146" s="19"/>
      <c r="M146" s="10"/>
      <c r="N146" s="10"/>
      <c r="O146" s="10"/>
      <c r="P146" s="10"/>
      <c r="Q146" s="10"/>
      <c r="R146" s="10"/>
      <c r="S146" s="10"/>
      <c r="T146" s="10"/>
      <c r="U146" s="10"/>
      <c r="V146" s="10"/>
      <c r="W146" s="10"/>
      <c r="X146" s="10"/>
      <c r="Y146" s="10"/>
      <c r="Z146" s="10"/>
      <c r="AA146" s="10"/>
      <c r="AB146" s="10"/>
      <c r="AC146" s="10"/>
      <c r="AD146" s="10"/>
      <c r="AE146" s="10"/>
    </row>
    <row r="147" ht="15.75" customHeight="1">
      <c r="A147" s="10"/>
      <c r="B147" s="10"/>
      <c r="C147" s="10"/>
      <c r="D147" s="10"/>
      <c r="E147" s="10"/>
      <c r="F147" s="10"/>
      <c r="G147" s="10"/>
      <c r="H147" s="10"/>
      <c r="I147" s="10"/>
      <c r="J147" s="19"/>
      <c r="K147" s="10"/>
      <c r="L147" s="19"/>
      <c r="M147" s="10"/>
      <c r="N147" s="10"/>
      <c r="O147" s="10"/>
      <c r="P147" s="10"/>
      <c r="Q147" s="10"/>
      <c r="R147" s="10"/>
      <c r="S147" s="10"/>
      <c r="T147" s="10"/>
      <c r="U147" s="10"/>
      <c r="V147" s="10"/>
      <c r="W147" s="10"/>
      <c r="X147" s="10"/>
      <c r="Y147" s="10"/>
      <c r="Z147" s="10"/>
      <c r="AA147" s="10"/>
      <c r="AB147" s="10"/>
      <c r="AC147" s="10"/>
      <c r="AD147" s="10"/>
      <c r="AE147" s="10"/>
    </row>
    <row r="148" ht="15.75" customHeight="1">
      <c r="A148" s="10"/>
      <c r="B148" s="10"/>
      <c r="C148" s="10"/>
      <c r="D148" s="10"/>
      <c r="E148" s="10"/>
      <c r="F148" s="10"/>
      <c r="G148" s="10"/>
      <c r="H148" s="10"/>
      <c r="I148" s="10"/>
      <c r="J148" s="19"/>
      <c r="K148" s="10"/>
      <c r="L148" s="19"/>
      <c r="M148" s="10"/>
      <c r="N148" s="10"/>
      <c r="O148" s="10"/>
      <c r="P148" s="10"/>
      <c r="Q148" s="10"/>
      <c r="R148" s="10"/>
      <c r="S148" s="10"/>
      <c r="T148" s="10"/>
      <c r="U148" s="10"/>
      <c r="V148" s="10"/>
      <c r="W148" s="10"/>
      <c r="X148" s="10"/>
      <c r="Y148" s="10"/>
      <c r="Z148" s="10"/>
      <c r="AA148" s="10"/>
      <c r="AB148" s="10"/>
      <c r="AC148" s="10"/>
      <c r="AD148" s="10"/>
      <c r="AE148" s="10"/>
    </row>
    <row r="149" ht="15.75" customHeight="1">
      <c r="A149" s="10"/>
      <c r="B149" s="10"/>
      <c r="C149" s="10"/>
      <c r="D149" s="10"/>
      <c r="E149" s="10"/>
      <c r="F149" s="10"/>
      <c r="G149" s="10"/>
      <c r="H149" s="10"/>
      <c r="I149" s="10"/>
      <c r="J149" s="19"/>
      <c r="K149" s="10"/>
      <c r="L149" s="19"/>
      <c r="M149" s="10"/>
      <c r="N149" s="10"/>
      <c r="O149" s="10"/>
      <c r="P149" s="10"/>
      <c r="Q149" s="10"/>
      <c r="R149" s="10"/>
      <c r="S149" s="10"/>
      <c r="T149" s="10"/>
      <c r="U149" s="10"/>
      <c r="V149" s="10"/>
      <c r="W149" s="10"/>
      <c r="X149" s="10"/>
      <c r="Y149" s="10"/>
      <c r="Z149" s="10"/>
      <c r="AA149" s="10"/>
      <c r="AB149" s="10"/>
      <c r="AC149" s="10"/>
      <c r="AD149" s="10"/>
      <c r="AE149" s="10"/>
    </row>
    <row r="150" ht="15.75" customHeight="1">
      <c r="A150" s="10"/>
      <c r="B150" s="10"/>
      <c r="C150" s="10"/>
      <c r="D150" s="10"/>
      <c r="E150" s="10"/>
      <c r="F150" s="10"/>
      <c r="G150" s="10"/>
      <c r="H150" s="10"/>
      <c r="I150" s="10"/>
      <c r="J150" s="19"/>
      <c r="K150" s="10"/>
      <c r="L150" s="19"/>
      <c r="M150" s="10"/>
      <c r="N150" s="10"/>
      <c r="O150" s="10"/>
      <c r="P150" s="10"/>
      <c r="Q150" s="10"/>
      <c r="R150" s="10"/>
      <c r="S150" s="10"/>
      <c r="T150" s="10"/>
      <c r="U150" s="10"/>
      <c r="V150" s="10"/>
      <c r="W150" s="10"/>
      <c r="X150" s="10"/>
      <c r="Y150" s="10"/>
      <c r="Z150" s="10"/>
      <c r="AA150" s="10"/>
      <c r="AB150" s="10"/>
      <c r="AC150" s="10"/>
      <c r="AD150" s="10"/>
      <c r="AE150" s="10"/>
    </row>
    <row r="151" ht="15.75" customHeight="1">
      <c r="A151" s="10"/>
      <c r="B151" s="10"/>
      <c r="C151" s="10"/>
      <c r="D151" s="10"/>
      <c r="E151" s="10"/>
      <c r="F151" s="10"/>
      <c r="G151" s="10"/>
      <c r="H151" s="10"/>
      <c r="I151" s="10"/>
      <c r="J151" s="19"/>
      <c r="K151" s="10"/>
      <c r="L151" s="19"/>
      <c r="M151" s="10"/>
      <c r="N151" s="10"/>
      <c r="O151" s="10"/>
      <c r="P151" s="10"/>
      <c r="Q151" s="10"/>
      <c r="R151" s="10"/>
      <c r="S151" s="10"/>
      <c r="T151" s="10"/>
      <c r="U151" s="10"/>
      <c r="V151" s="10"/>
      <c r="W151" s="10"/>
      <c r="X151" s="10"/>
      <c r="Y151" s="10"/>
      <c r="Z151" s="10"/>
      <c r="AA151" s="10"/>
      <c r="AB151" s="10"/>
      <c r="AC151" s="10"/>
      <c r="AD151" s="10"/>
      <c r="AE151" s="10"/>
    </row>
    <row r="152" ht="15.75" customHeight="1">
      <c r="A152" s="10"/>
      <c r="B152" s="10"/>
      <c r="C152" s="10"/>
      <c r="D152" s="10"/>
      <c r="E152" s="10"/>
      <c r="F152" s="10"/>
      <c r="G152" s="10"/>
      <c r="H152" s="10"/>
      <c r="I152" s="10"/>
      <c r="J152" s="19"/>
      <c r="K152" s="10"/>
      <c r="L152" s="19"/>
      <c r="M152" s="10"/>
      <c r="N152" s="10"/>
      <c r="O152" s="10"/>
      <c r="P152" s="10"/>
      <c r="Q152" s="10"/>
      <c r="R152" s="10"/>
      <c r="S152" s="10"/>
      <c r="T152" s="10"/>
      <c r="U152" s="10"/>
      <c r="V152" s="10"/>
      <c r="W152" s="10"/>
      <c r="X152" s="10"/>
      <c r="Y152" s="10"/>
      <c r="Z152" s="10"/>
      <c r="AA152" s="10"/>
      <c r="AB152" s="10"/>
      <c r="AC152" s="10"/>
      <c r="AD152" s="10"/>
      <c r="AE152" s="10"/>
    </row>
    <row r="153" ht="15.75" customHeight="1">
      <c r="A153" s="10"/>
      <c r="B153" s="10"/>
      <c r="C153" s="10"/>
      <c r="D153" s="10"/>
      <c r="E153" s="10"/>
      <c r="F153" s="10"/>
      <c r="G153" s="10"/>
      <c r="H153" s="10"/>
      <c r="I153" s="10"/>
      <c r="J153" s="19"/>
      <c r="K153" s="10"/>
      <c r="L153" s="19"/>
      <c r="M153" s="10"/>
      <c r="N153" s="10"/>
      <c r="O153" s="10"/>
      <c r="P153" s="10"/>
      <c r="Q153" s="10"/>
      <c r="R153" s="10"/>
      <c r="S153" s="10"/>
      <c r="T153" s="10"/>
      <c r="U153" s="10"/>
      <c r="V153" s="10"/>
      <c r="W153" s="10"/>
      <c r="X153" s="10"/>
      <c r="Y153" s="10"/>
      <c r="Z153" s="10"/>
      <c r="AA153" s="10"/>
      <c r="AB153" s="10"/>
      <c r="AC153" s="10"/>
      <c r="AD153" s="10"/>
      <c r="AE153" s="10"/>
    </row>
    <row r="154" ht="15.75" customHeight="1">
      <c r="A154" s="10"/>
      <c r="B154" s="10"/>
      <c r="C154" s="10"/>
      <c r="D154" s="10"/>
      <c r="E154" s="10"/>
      <c r="F154" s="10"/>
      <c r="G154" s="10"/>
      <c r="H154" s="10"/>
      <c r="I154" s="10"/>
      <c r="J154" s="19"/>
      <c r="K154" s="10"/>
      <c r="L154" s="19"/>
      <c r="M154" s="10"/>
      <c r="N154" s="10"/>
      <c r="O154" s="10"/>
      <c r="P154" s="10"/>
      <c r="Q154" s="10"/>
      <c r="R154" s="10"/>
      <c r="S154" s="10"/>
      <c r="T154" s="10"/>
      <c r="U154" s="10"/>
      <c r="V154" s="10"/>
      <c r="W154" s="10"/>
      <c r="X154" s="10"/>
      <c r="Y154" s="10"/>
      <c r="Z154" s="10"/>
      <c r="AA154" s="10"/>
      <c r="AB154" s="10"/>
      <c r="AC154" s="10"/>
      <c r="AD154" s="10"/>
      <c r="AE154" s="10"/>
    </row>
    <row r="155" ht="15.75" customHeight="1">
      <c r="A155" s="10"/>
      <c r="B155" s="10"/>
      <c r="C155" s="10"/>
      <c r="D155" s="10"/>
      <c r="E155" s="10"/>
      <c r="F155" s="10"/>
      <c r="G155" s="10"/>
      <c r="H155" s="10"/>
      <c r="I155" s="10"/>
      <c r="J155" s="19"/>
      <c r="K155" s="10"/>
      <c r="L155" s="19"/>
      <c r="M155" s="10"/>
      <c r="N155" s="10"/>
      <c r="O155" s="10"/>
      <c r="P155" s="10"/>
      <c r="Q155" s="10"/>
      <c r="R155" s="10"/>
      <c r="S155" s="10"/>
      <c r="T155" s="10"/>
      <c r="U155" s="10"/>
      <c r="V155" s="10"/>
      <c r="W155" s="10"/>
      <c r="X155" s="10"/>
      <c r="Y155" s="10"/>
      <c r="Z155" s="10"/>
      <c r="AA155" s="10"/>
      <c r="AB155" s="10"/>
      <c r="AC155" s="10"/>
      <c r="AD155" s="10"/>
      <c r="AE155" s="10"/>
    </row>
    <row r="156" ht="15.75" customHeight="1">
      <c r="A156" s="10"/>
      <c r="B156" s="10"/>
      <c r="C156" s="10"/>
      <c r="D156" s="10"/>
      <c r="E156" s="10"/>
      <c r="F156" s="10"/>
      <c r="G156" s="10"/>
      <c r="H156" s="10"/>
      <c r="I156" s="10"/>
      <c r="J156" s="19"/>
      <c r="K156" s="10"/>
      <c r="L156" s="19"/>
      <c r="M156" s="10"/>
      <c r="N156" s="10"/>
      <c r="O156" s="10"/>
      <c r="P156" s="10"/>
      <c r="Q156" s="10"/>
      <c r="R156" s="10"/>
      <c r="S156" s="10"/>
      <c r="T156" s="10"/>
      <c r="U156" s="10"/>
      <c r="V156" s="10"/>
      <c r="W156" s="10"/>
      <c r="X156" s="10"/>
      <c r="Y156" s="10"/>
      <c r="Z156" s="10"/>
      <c r="AA156" s="10"/>
      <c r="AB156" s="10"/>
      <c r="AC156" s="10"/>
      <c r="AD156" s="10"/>
      <c r="AE156" s="10"/>
    </row>
    <row r="157" ht="15.75" customHeight="1">
      <c r="A157" s="10"/>
      <c r="B157" s="10"/>
      <c r="C157" s="10"/>
      <c r="D157" s="10"/>
      <c r="E157" s="10"/>
      <c r="F157" s="10"/>
      <c r="G157" s="10"/>
      <c r="H157" s="10"/>
      <c r="I157" s="10"/>
      <c r="J157" s="19"/>
      <c r="K157" s="10"/>
      <c r="L157" s="19"/>
      <c r="M157" s="10"/>
      <c r="N157" s="10"/>
      <c r="O157" s="10"/>
      <c r="P157" s="10"/>
      <c r="Q157" s="10"/>
      <c r="R157" s="10"/>
      <c r="S157" s="10"/>
      <c r="T157" s="10"/>
      <c r="U157" s="10"/>
      <c r="V157" s="10"/>
      <c r="W157" s="10"/>
      <c r="X157" s="10"/>
      <c r="Y157" s="10"/>
      <c r="Z157" s="10"/>
      <c r="AA157" s="10"/>
      <c r="AB157" s="10"/>
      <c r="AC157" s="10"/>
      <c r="AD157" s="10"/>
      <c r="AE157" s="10"/>
    </row>
    <row r="158" ht="15.75" customHeight="1">
      <c r="A158" s="10"/>
      <c r="B158" s="10"/>
      <c r="C158" s="10"/>
      <c r="D158" s="10"/>
      <c r="E158" s="10"/>
      <c r="F158" s="10"/>
      <c r="G158" s="10"/>
      <c r="H158" s="10"/>
      <c r="I158" s="10"/>
      <c r="J158" s="19"/>
      <c r="K158" s="10"/>
      <c r="L158" s="19"/>
      <c r="M158" s="10"/>
      <c r="N158" s="10"/>
      <c r="O158" s="10"/>
      <c r="P158" s="10"/>
      <c r="Q158" s="10"/>
      <c r="R158" s="10"/>
      <c r="S158" s="10"/>
      <c r="T158" s="10"/>
      <c r="U158" s="10"/>
      <c r="V158" s="10"/>
      <c r="W158" s="10"/>
      <c r="X158" s="10"/>
      <c r="Y158" s="10"/>
      <c r="Z158" s="10"/>
      <c r="AA158" s="10"/>
      <c r="AB158" s="10"/>
      <c r="AC158" s="10"/>
      <c r="AD158" s="10"/>
      <c r="AE158" s="10"/>
    </row>
    <row r="159" ht="15.75" customHeight="1">
      <c r="A159" s="10"/>
      <c r="B159" s="10"/>
      <c r="C159" s="10"/>
      <c r="D159" s="10"/>
      <c r="E159" s="10"/>
      <c r="F159" s="10"/>
      <c r="G159" s="10"/>
      <c r="H159" s="10"/>
      <c r="I159" s="10"/>
      <c r="J159" s="19"/>
      <c r="K159" s="10"/>
      <c r="L159" s="19"/>
      <c r="M159" s="10"/>
      <c r="N159" s="10"/>
      <c r="O159" s="10"/>
      <c r="P159" s="10"/>
      <c r="Q159" s="10"/>
      <c r="R159" s="10"/>
      <c r="S159" s="10"/>
      <c r="T159" s="10"/>
      <c r="U159" s="10"/>
      <c r="V159" s="10"/>
      <c r="W159" s="10"/>
      <c r="X159" s="10"/>
      <c r="Y159" s="10"/>
      <c r="Z159" s="10"/>
      <c r="AA159" s="10"/>
      <c r="AB159" s="10"/>
      <c r="AC159" s="10"/>
      <c r="AD159" s="10"/>
      <c r="AE159" s="10"/>
    </row>
    <row r="160" ht="15.75" customHeight="1">
      <c r="A160" s="10"/>
      <c r="B160" s="10"/>
      <c r="C160" s="10"/>
      <c r="D160" s="10"/>
      <c r="E160" s="10"/>
      <c r="F160" s="10"/>
      <c r="G160" s="10"/>
      <c r="H160" s="10"/>
      <c r="I160" s="10"/>
      <c r="J160" s="19"/>
      <c r="K160" s="10"/>
      <c r="L160" s="19"/>
      <c r="M160" s="10"/>
      <c r="N160" s="10"/>
      <c r="O160" s="10"/>
      <c r="P160" s="10"/>
      <c r="Q160" s="10"/>
      <c r="R160" s="10"/>
      <c r="S160" s="10"/>
      <c r="T160" s="10"/>
      <c r="U160" s="10"/>
      <c r="V160" s="10"/>
      <c r="W160" s="10"/>
      <c r="X160" s="10"/>
      <c r="Y160" s="10"/>
      <c r="Z160" s="10"/>
      <c r="AA160" s="10"/>
      <c r="AB160" s="10"/>
      <c r="AC160" s="10"/>
      <c r="AD160" s="10"/>
      <c r="AE160" s="10"/>
    </row>
    <row r="161" ht="15.75" customHeight="1">
      <c r="A161" s="10"/>
      <c r="B161" s="10"/>
      <c r="C161" s="10"/>
      <c r="D161" s="10"/>
      <c r="E161" s="10"/>
      <c r="F161" s="10"/>
      <c r="G161" s="10"/>
      <c r="H161" s="10"/>
      <c r="I161" s="10"/>
      <c r="J161" s="19"/>
      <c r="K161" s="10"/>
      <c r="L161" s="19"/>
      <c r="M161" s="10"/>
      <c r="N161" s="10"/>
      <c r="O161" s="10"/>
      <c r="P161" s="10"/>
      <c r="Q161" s="10"/>
      <c r="R161" s="10"/>
      <c r="S161" s="10"/>
      <c r="T161" s="10"/>
      <c r="U161" s="10"/>
      <c r="V161" s="10"/>
      <c r="W161" s="10"/>
      <c r="X161" s="10"/>
      <c r="Y161" s="10"/>
      <c r="Z161" s="10"/>
      <c r="AA161" s="10"/>
      <c r="AB161" s="10"/>
      <c r="AC161" s="10"/>
      <c r="AD161" s="10"/>
      <c r="AE161" s="10"/>
    </row>
    <row r="162" ht="15.75" customHeight="1">
      <c r="A162" s="10"/>
      <c r="B162" s="10"/>
      <c r="C162" s="10"/>
      <c r="D162" s="10"/>
      <c r="E162" s="10"/>
      <c r="F162" s="10"/>
      <c r="G162" s="10"/>
      <c r="H162" s="10"/>
      <c r="I162" s="10"/>
      <c r="J162" s="19"/>
      <c r="K162" s="10"/>
      <c r="L162" s="19"/>
      <c r="M162" s="10"/>
      <c r="N162" s="10"/>
      <c r="O162" s="10"/>
      <c r="P162" s="10"/>
      <c r="Q162" s="10"/>
      <c r="R162" s="10"/>
      <c r="S162" s="10"/>
      <c r="T162" s="10"/>
      <c r="U162" s="10"/>
      <c r="V162" s="10"/>
      <c r="W162" s="10"/>
      <c r="X162" s="10"/>
      <c r="Y162" s="10"/>
      <c r="Z162" s="10"/>
      <c r="AA162" s="10"/>
      <c r="AB162" s="10"/>
      <c r="AC162" s="10"/>
      <c r="AD162" s="10"/>
      <c r="AE162" s="10"/>
    </row>
    <row r="163" ht="15.75" customHeight="1">
      <c r="A163" s="10"/>
      <c r="B163" s="10"/>
      <c r="C163" s="10"/>
      <c r="D163" s="10"/>
      <c r="E163" s="10"/>
      <c r="F163" s="10"/>
      <c r="G163" s="10"/>
      <c r="H163" s="10"/>
      <c r="I163" s="10"/>
      <c r="J163" s="19"/>
      <c r="K163" s="10"/>
      <c r="L163" s="19"/>
      <c r="M163" s="10"/>
      <c r="N163" s="10"/>
      <c r="O163" s="10"/>
      <c r="P163" s="10"/>
      <c r="Q163" s="10"/>
      <c r="R163" s="10"/>
      <c r="S163" s="10"/>
      <c r="T163" s="10"/>
      <c r="U163" s="10"/>
      <c r="V163" s="10"/>
      <c r="W163" s="10"/>
      <c r="X163" s="10"/>
      <c r="Y163" s="10"/>
      <c r="Z163" s="10"/>
      <c r="AA163" s="10"/>
      <c r="AB163" s="10"/>
      <c r="AC163" s="10"/>
      <c r="AD163" s="10"/>
      <c r="AE163" s="10"/>
    </row>
    <row r="164" ht="15.75" customHeight="1">
      <c r="A164" s="10"/>
      <c r="B164" s="10"/>
      <c r="C164" s="10"/>
      <c r="D164" s="10"/>
      <c r="E164" s="10"/>
      <c r="F164" s="10"/>
      <c r="G164" s="10"/>
      <c r="H164" s="10"/>
      <c r="I164" s="10"/>
      <c r="J164" s="19"/>
      <c r="K164" s="10"/>
      <c r="L164" s="19"/>
      <c r="M164" s="10"/>
      <c r="N164" s="10"/>
      <c r="O164" s="10"/>
      <c r="P164" s="10"/>
      <c r="Q164" s="10"/>
      <c r="R164" s="10"/>
      <c r="S164" s="10"/>
      <c r="T164" s="10"/>
      <c r="U164" s="10"/>
      <c r="V164" s="10"/>
      <c r="W164" s="10"/>
      <c r="X164" s="10"/>
      <c r="Y164" s="10"/>
      <c r="Z164" s="10"/>
      <c r="AA164" s="10"/>
      <c r="AB164" s="10"/>
      <c r="AC164" s="10"/>
      <c r="AD164" s="10"/>
      <c r="AE164" s="10"/>
    </row>
    <row r="165" ht="15.75" customHeight="1">
      <c r="A165" s="10"/>
      <c r="B165" s="10"/>
      <c r="C165" s="10"/>
      <c r="D165" s="10"/>
      <c r="E165" s="10"/>
      <c r="F165" s="10"/>
      <c r="G165" s="10"/>
      <c r="H165" s="10"/>
      <c r="I165" s="10"/>
      <c r="J165" s="19"/>
      <c r="K165" s="10"/>
      <c r="L165" s="19"/>
      <c r="M165" s="10"/>
      <c r="N165" s="10"/>
      <c r="O165" s="10"/>
      <c r="P165" s="10"/>
      <c r="Q165" s="10"/>
      <c r="R165" s="10"/>
      <c r="S165" s="10"/>
      <c r="T165" s="10"/>
      <c r="U165" s="10"/>
      <c r="V165" s="10"/>
      <c r="W165" s="10"/>
      <c r="X165" s="10"/>
      <c r="Y165" s="10"/>
      <c r="Z165" s="10"/>
      <c r="AA165" s="10"/>
      <c r="AB165" s="10"/>
      <c r="AC165" s="10"/>
      <c r="AD165" s="10"/>
      <c r="AE165" s="10"/>
    </row>
    <row r="166" ht="15.75" customHeight="1">
      <c r="A166" s="10"/>
      <c r="B166" s="10"/>
      <c r="C166" s="10"/>
      <c r="D166" s="10"/>
      <c r="E166" s="10"/>
      <c r="F166" s="10"/>
      <c r="G166" s="10"/>
      <c r="H166" s="10"/>
      <c r="I166" s="10"/>
      <c r="J166" s="19"/>
      <c r="K166" s="10"/>
      <c r="L166" s="19"/>
      <c r="M166" s="10"/>
      <c r="N166" s="10"/>
      <c r="O166" s="10"/>
      <c r="P166" s="10"/>
      <c r="Q166" s="10"/>
      <c r="R166" s="10"/>
      <c r="S166" s="10"/>
      <c r="T166" s="10"/>
      <c r="U166" s="10"/>
      <c r="V166" s="10"/>
      <c r="W166" s="10"/>
      <c r="X166" s="10"/>
      <c r="Y166" s="10"/>
      <c r="Z166" s="10"/>
      <c r="AA166" s="10"/>
      <c r="AB166" s="10"/>
      <c r="AC166" s="10"/>
      <c r="AD166" s="10"/>
      <c r="AE166" s="10"/>
    </row>
    <row r="167" ht="15.75" customHeight="1">
      <c r="A167" s="10"/>
      <c r="B167" s="10"/>
      <c r="C167" s="10"/>
      <c r="D167" s="10"/>
      <c r="E167" s="10"/>
      <c r="F167" s="10"/>
      <c r="G167" s="10"/>
      <c r="H167" s="10"/>
      <c r="I167" s="10"/>
      <c r="J167" s="19"/>
      <c r="K167" s="10"/>
      <c r="L167" s="19"/>
      <c r="M167" s="10"/>
      <c r="N167" s="10"/>
      <c r="O167" s="10"/>
      <c r="P167" s="10"/>
      <c r="Q167" s="10"/>
      <c r="R167" s="10"/>
      <c r="S167" s="10"/>
      <c r="T167" s="10"/>
      <c r="U167" s="10"/>
      <c r="V167" s="10"/>
      <c r="W167" s="10"/>
      <c r="X167" s="10"/>
      <c r="Y167" s="10"/>
      <c r="Z167" s="10"/>
      <c r="AA167" s="10"/>
      <c r="AB167" s="10"/>
      <c r="AC167" s="10"/>
      <c r="AD167" s="10"/>
      <c r="AE167" s="10"/>
    </row>
    <row r="168" ht="15.75" customHeight="1">
      <c r="A168" s="10"/>
      <c r="B168" s="10"/>
      <c r="C168" s="10"/>
      <c r="D168" s="10"/>
      <c r="E168" s="10"/>
      <c r="F168" s="10"/>
      <c r="G168" s="10"/>
      <c r="H168" s="10"/>
      <c r="I168" s="10"/>
      <c r="J168" s="19"/>
      <c r="K168" s="10"/>
      <c r="L168" s="19"/>
      <c r="M168" s="10"/>
      <c r="N168" s="10"/>
      <c r="O168" s="10"/>
      <c r="P168" s="10"/>
      <c r="Q168" s="10"/>
      <c r="R168" s="10"/>
      <c r="S168" s="10"/>
      <c r="T168" s="10"/>
      <c r="U168" s="10"/>
      <c r="V168" s="10"/>
      <c r="W168" s="10"/>
      <c r="X168" s="10"/>
      <c r="Y168" s="10"/>
      <c r="Z168" s="10"/>
      <c r="AA168" s="10"/>
      <c r="AB168" s="10"/>
      <c r="AC168" s="10"/>
      <c r="AD168" s="10"/>
      <c r="AE168" s="10"/>
    </row>
    <row r="169" ht="15.75" customHeight="1">
      <c r="A169" s="10"/>
      <c r="B169" s="10"/>
      <c r="C169" s="10"/>
      <c r="D169" s="10"/>
      <c r="E169" s="10"/>
      <c r="F169" s="10"/>
      <c r="G169" s="10"/>
      <c r="H169" s="10"/>
      <c r="I169" s="10"/>
      <c r="J169" s="19"/>
      <c r="K169" s="10"/>
      <c r="L169" s="19"/>
      <c r="M169" s="10"/>
      <c r="N169" s="10"/>
      <c r="O169" s="10"/>
      <c r="P169" s="10"/>
      <c r="Q169" s="10"/>
      <c r="R169" s="10"/>
      <c r="S169" s="10"/>
      <c r="T169" s="10"/>
      <c r="U169" s="10"/>
      <c r="V169" s="10"/>
      <c r="W169" s="10"/>
      <c r="X169" s="10"/>
      <c r="Y169" s="10"/>
      <c r="Z169" s="10"/>
      <c r="AA169" s="10"/>
      <c r="AB169" s="10"/>
      <c r="AC169" s="10"/>
      <c r="AD169" s="10"/>
      <c r="AE169" s="10"/>
    </row>
    <row r="170" ht="15.75" customHeight="1">
      <c r="A170" s="10"/>
      <c r="B170" s="10"/>
      <c r="C170" s="10"/>
      <c r="D170" s="10"/>
      <c r="E170" s="10"/>
      <c r="F170" s="10"/>
      <c r="G170" s="10"/>
      <c r="H170" s="10"/>
      <c r="I170" s="10"/>
      <c r="J170" s="19"/>
      <c r="K170" s="10"/>
      <c r="L170" s="19"/>
      <c r="M170" s="10"/>
      <c r="N170" s="10"/>
      <c r="O170" s="10"/>
      <c r="P170" s="10"/>
      <c r="Q170" s="10"/>
      <c r="R170" s="10"/>
      <c r="S170" s="10"/>
      <c r="T170" s="10"/>
      <c r="U170" s="10"/>
      <c r="V170" s="10"/>
      <c r="W170" s="10"/>
      <c r="X170" s="10"/>
      <c r="Y170" s="10"/>
      <c r="Z170" s="10"/>
      <c r="AA170" s="10"/>
      <c r="AB170" s="10"/>
      <c r="AC170" s="10"/>
      <c r="AD170" s="10"/>
      <c r="AE170" s="10"/>
    </row>
    <row r="171" ht="15.75" customHeight="1">
      <c r="A171" s="10"/>
      <c r="B171" s="10"/>
      <c r="C171" s="10"/>
      <c r="D171" s="10"/>
      <c r="E171" s="10"/>
      <c r="F171" s="10"/>
      <c r="G171" s="10"/>
      <c r="H171" s="10"/>
      <c r="I171" s="10"/>
      <c r="J171" s="19"/>
      <c r="K171" s="10"/>
      <c r="L171" s="19"/>
      <c r="M171" s="10"/>
      <c r="N171" s="10"/>
      <c r="O171" s="10"/>
      <c r="P171" s="10"/>
      <c r="Q171" s="10"/>
      <c r="R171" s="10"/>
      <c r="S171" s="10"/>
      <c r="T171" s="10"/>
      <c r="U171" s="10"/>
      <c r="V171" s="10"/>
      <c r="W171" s="10"/>
      <c r="X171" s="10"/>
      <c r="Y171" s="10"/>
      <c r="Z171" s="10"/>
      <c r="AA171" s="10"/>
      <c r="AB171" s="10"/>
      <c r="AC171" s="10"/>
      <c r="AD171" s="10"/>
      <c r="AE171" s="10"/>
    </row>
    <row r="172" ht="15.75" customHeight="1">
      <c r="A172" s="10"/>
      <c r="B172" s="10"/>
      <c r="C172" s="10"/>
      <c r="D172" s="10"/>
      <c r="E172" s="10"/>
      <c r="F172" s="10"/>
      <c r="G172" s="10"/>
      <c r="H172" s="10"/>
      <c r="I172" s="10"/>
      <c r="J172" s="19"/>
      <c r="K172" s="10"/>
      <c r="L172" s="19"/>
      <c r="M172" s="10"/>
      <c r="N172" s="10"/>
      <c r="O172" s="10"/>
      <c r="P172" s="10"/>
      <c r="Q172" s="10"/>
      <c r="R172" s="10"/>
      <c r="S172" s="10"/>
      <c r="T172" s="10"/>
      <c r="U172" s="10"/>
      <c r="V172" s="10"/>
      <c r="W172" s="10"/>
      <c r="X172" s="10"/>
      <c r="Y172" s="10"/>
      <c r="Z172" s="10"/>
      <c r="AA172" s="10"/>
      <c r="AB172" s="10"/>
      <c r="AC172" s="10"/>
      <c r="AD172" s="10"/>
      <c r="AE172" s="10"/>
    </row>
    <row r="173" ht="15.75" customHeight="1">
      <c r="A173" s="10"/>
      <c r="B173" s="10"/>
      <c r="C173" s="10"/>
      <c r="D173" s="10"/>
      <c r="E173" s="10"/>
      <c r="F173" s="10"/>
      <c r="G173" s="10"/>
      <c r="H173" s="10"/>
      <c r="I173" s="10"/>
      <c r="J173" s="19"/>
      <c r="K173" s="10"/>
      <c r="L173" s="19"/>
      <c r="M173" s="10"/>
      <c r="N173" s="10"/>
      <c r="O173" s="10"/>
      <c r="P173" s="10"/>
      <c r="Q173" s="10"/>
      <c r="R173" s="10"/>
      <c r="S173" s="10"/>
      <c r="T173" s="10"/>
      <c r="U173" s="10"/>
      <c r="V173" s="10"/>
      <c r="W173" s="10"/>
      <c r="X173" s="10"/>
      <c r="Y173" s="10"/>
      <c r="Z173" s="10"/>
      <c r="AA173" s="10"/>
      <c r="AB173" s="10"/>
      <c r="AC173" s="10"/>
      <c r="AD173" s="10"/>
      <c r="AE173" s="10"/>
    </row>
    <row r="174" ht="15.75" customHeight="1">
      <c r="A174" s="10"/>
      <c r="B174" s="10"/>
      <c r="C174" s="10"/>
      <c r="D174" s="10"/>
      <c r="E174" s="10"/>
      <c r="F174" s="10"/>
      <c r="G174" s="10"/>
      <c r="H174" s="10"/>
      <c r="I174" s="10"/>
      <c r="J174" s="19"/>
      <c r="K174" s="10"/>
      <c r="L174" s="19"/>
      <c r="M174" s="10"/>
      <c r="N174" s="10"/>
      <c r="O174" s="10"/>
      <c r="P174" s="10"/>
      <c r="Q174" s="10"/>
      <c r="R174" s="10"/>
      <c r="S174" s="10"/>
      <c r="T174" s="10"/>
      <c r="U174" s="10"/>
      <c r="V174" s="10"/>
      <c r="W174" s="10"/>
      <c r="X174" s="10"/>
      <c r="Y174" s="10"/>
      <c r="Z174" s="10"/>
      <c r="AA174" s="10"/>
      <c r="AB174" s="10"/>
      <c r="AC174" s="10"/>
      <c r="AD174" s="10"/>
      <c r="AE174" s="10"/>
    </row>
    <row r="175" ht="15.75" customHeight="1">
      <c r="A175" s="10"/>
      <c r="B175" s="10"/>
      <c r="C175" s="10"/>
      <c r="D175" s="10"/>
      <c r="E175" s="10"/>
      <c r="F175" s="10"/>
      <c r="G175" s="10"/>
      <c r="H175" s="10"/>
      <c r="I175" s="10"/>
      <c r="J175" s="19"/>
      <c r="K175" s="10"/>
      <c r="L175" s="19"/>
      <c r="M175" s="10"/>
      <c r="N175" s="10"/>
      <c r="O175" s="10"/>
      <c r="P175" s="10"/>
      <c r="Q175" s="10"/>
      <c r="R175" s="10"/>
      <c r="S175" s="10"/>
      <c r="T175" s="10"/>
      <c r="U175" s="10"/>
      <c r="V175" s="10"/>
      <c r="W175" s="10"/>
      <c r="X175" s="10"/>
      <c r="Y175" s="10"/>
      <c r="Z175" s="10"/>
      <c r="AA175" s="10"/>
      <c r="AB175" s="10"/>
      <c r="AC175" s="10"/>
      <c r="AD175" s="10"/>
      <c r="AE175" s="10"/>
    </row>
    <row r="176" ht="15.75" customHeight="1">
      <c r="A176" s="10"/>
      <c r="B176" s="10"/>
      <c r="C176" s="10"/>
      <c r="D176" s="10"/>
      <c r="E176" s="10"/>
      <c r="F176" s="10"/>
      <c r="G176" s="10"/>
      <c r="H176" s="10"/>
      <c r="I176" s="10"/>
      <c r="J176" s="19"/>
      <c r="K176" s="10"/>
      <c r="L176" s="19"/>
      <c r="M176" s="10"/>
      <c r="N176" s="10"/>
      <c r="O176" s="10"/>
      <c r="P176" s="10"/>
      <c r="Q176" s="10"/>
      <c r="R176" s="10"/>
      <c r="S176" s="10"/>
      <c r="T176" s="10"/>
      <c r="U176" s="10"/>
      <c r="V176" s="10"/>
      <c r="W176" s="10"/>
      <c r="X176" s="10"/>
      <c r="Y176" s="10"/>
      <c r="Z176" s="10"/>
      <c r="AA176" s="10"/>
      <c r="AB176" s="10"/>
      <c r="AC176" s="10"/>
      <c r="AD176" s="10"/>
      <c r="AE176" s="10"/>
    </row>
    <row r="177" ht="15.75" customHeight="1">
      <c r="A177" s="10"/>
      <c r="B177" s="10"/>
      <c r="C177" s="10"/>
      <c r="D177" s="10"/>
      <c r="E177" s="10"/>
      <c r="F177" s="10"/>
      <c r="G177" s="10"/>
      <c r="H177" s="10"/>
      <c r="I177" s="10"/>
      <c r="J177" s="19"/>
      <c r="K177" s="10"/>
      <c r="L177" s="19"/>
      <c r="M177" s="10"/>
      <c r="N177" s="10"/>
      <c r="O177" s="10"/>
      <c r="P177" s="10"/>
      <c r="Q177" s="10"/>
      <c r="R177" s="10"/>
      <c r="S177" s="10"/>
      <c r="T177" s="10"/>
      <c r="U177" s="10"/>
      <c r="V177" s="10"/>
      <c r="W177" s="10"/>
      <c r="X177" s="10"/>
      <c r="Y177" s="10"/>
      <c r="Z177" s="10"/>
      <c r="AA177" s="10"/>
      <c r="AB177" s="10"/>
      <c r="AC177" s="10"/>
      <c r="AD177" s="10"/>
      <c r="AE177" s="10"/>
    </row>
    <row r="178" ht="15.75" customHeight="1">
      <c r="A178" s="10"/>
      <c r="B178" s="10"/>
      <c r="C178" s="10"/>
      <c r="D178" s="10"/>
      <c r="E178" s="10"/>
      <c r="F178" s="10"/>
      <c r="G178" s="10"/>
      <c r="H178" s="10"/>
      <c r="I178" s="10"/>
      <c r="J178" s="19"/>
      <c r="K178" s="10"/>
      <c r="L178" s="19"/>
      <c r="M178" s="10"/>
      <c r="N178" s="10"/>
      <c r="O178" s="10"/>
      <c r="P178" s="10"/>
      <c r="Q178" s="10"/>
      <c r="R178" s="10"/>
      <c r="S178" s="10"/>
      <c r="T178" s="10"/>
      <c r="U178" s="10"/>
      <c r="V178" s="10"/>
      <c r="W178" s="10"/>
      <c r="X178" s="10"/>
      <c r="Y178" s="10"/>
      <c r="Z178" s="10"/>
      <c r="AA178" s="10"/>
      <c r="AB178" s="10"/>
      <c r="AC178" s="10"/>
      <c r="AD178" s="10"/>
      <c r="AE178" s="10"/>
    </row>
    <row r="179" ht="15.75" customHeight="1">
      <c r="A179" s="10"/>
      <c r="B179" s="10"/>
      <c r="C179" s="10"/>
      <c r="D179" s="10"/>
      <c r="E179" s="10"/>
      <c r="F179" s="10"/>
      <c r="G179" s="10"/>
      <c r="H179" s="10"/>
      <c r="I179" s="10"/>
      <c r="J179" s="19"/>
      <c r="K179" s="10"/>
      <c r="L179" s="19"/>
      <c r="M179" s="10"/>
      <c r="N179" s="10"/>
      <c r="O179" s="10"/>
      <c r="P179" s="10"/>
      <c r="Q179" s="10"/>
      <c r="R179" s="10"/>
      <c r="S179" s="10"/>
      <c r="T179" s="10"/>
      <c r="U179" s="10"/>
      <c r="V179" s="10"/>
      <c r="W179" s="10"/>
      <c r="X179" s="10"/>
      <c r="Y179" s="10"/>
      <c r="Z179" s="10"/>
      <c r="AA179" s="10"/>
      <c r="AB179" s="10"/>
      <c r="AC179" s="10"/>
      <c r="AD179" s="10"/>
      <c r="AE179" s="10"/>
    </row>
    <row r="180" ht="15.75" customHeight="1">
      <c r="A180" s="10"/>
      <c r="B180" s="10"/>
      <c r="C180" s="10"/>
      <c r="D180" s="10"/>
      <c r="E180" s="10"/>
      <c r="F180" s="10"/>
      <c r="G180" s="10"/>
      <c r="H180" s="10"/>
      <c r="I180" s="10"/>
      <c r="J180" s="19"/>
      <c r="K180" s="10"/>
      <c r="L180" s="19"/>
      <c r="M180" s="10"/>
      <c r="N180" s="10"/>
      <c r="O180" s="10"/>
      <c r="P180" s="10"/>
      <c r="Q180" s="10"/>
      <c r="R180" s="10"/>
      <c r="S180" s="10"/>
      <c r="T180" s="10"/>
      <c r="U180" s="10"/>
      <c r="V180" s="10"/>
      <c r="W180" s="10"/>
      <c r="X180" s="10"/>
      <c r="Y180" s="10"/>
      <c r="Z180" s="10"/>
      <c r="AA180" s="10"/>
      <c r="AB180" s="10"/>
      <c r="AC180" s="10"/>
      <c r="AD180" s="10"/>
      <c r="AE180" s="10"/>
    </row>
    <row r="181" ht="15.75" customHeight="1">
      <c r="A181" s="10"/>
      <c r="B181" s="10"/>
      <c r="C181" s="10"/>
      <c r="D181" s="10"/>
      <c r="E181" s="10"/>
      <c r="F181" s="10"/>
      <c r="G181" s="10"/>
      <c r="H181" s="10"/>
      <c r="I181" s="10"/>
      <c r="J181" s="19"/>
      <c r="K181" s="10"/>
      <c r="L181" s="19"/>
      <c r="M181" s="10"/>
      <c r="N181" s="10"/>
      <c r="O181" s="10"/>
      <c r="P181" s="10"/>
      <c r="Q181" s="10"/>
      <c r="R181" s="10"/>
      <c r="S181" s="10"/>
      <c r="T181" s="10"/>
      <c r="U181" s="10"/>
      <c r="V181" s="10"/>
      <c r="W181" s="10"/>
      <c r="X181" s="10"/>
      <c r="Y181" s="10"/>
      <c r="Z181" s="10"/>
      <c r="AA181" s="10"/>
      <c r="AB181" s="10"/>
      <c r="AC181" s="10"/>
      <c r="AD181" s="10"/>
      <c r="AE181" s="10"/>
    </row>
    <row r="182" ht="15.75" customHeight="1">
      <c r="A182" s="10"/>
      <c r="B182" s="10"/>
      <c r="C182" s="10"/>
      <c r="D182" s="10"/>
      <c r="E182" s="10"/>
      <c r="F182" s="10"/>
      <c r="G182" s="10"/>
      <c r="H182" s="10"/>
      <c r="I182" s="10"/>
      <c r="J182" s="19"/>
      <c r="K182" s="10"/>
      <c r="L182" s="19"/>
      <c r="M182" s="10"/>
      <c r="N182" s="10"/>
      <c r="O182" s="10"/>
      <c r="P182" s="10"/>
      <c r="Q182" s="10"/>
      <c r="R182" s="10"/>
      <c r="S182" s="10"/>
      <c r="T182" s="10"/>
      <c r="U182" s="10"/>
      <c r="V182" s="10"/>
      <c r="W182" s="10"/>
      <c r="X182" s="10"/>
      <c r="Y182" s="10"/>
      <c r="Z182" s="10"/>
      <c r="AA182" s="10"/>
      <c r="AB182" s="10"/>
      <c r="AC182" s="10"/>
      <c r="AD182" s="10"/>
      <c r="AE182" s="10"/>
    </row>
    <row r="183" ht="15.75" customHeight="1">
      <c r="A183" s="10"/>
      <c r="B183" s="10"/>
      <c r="C183" s="10"/>
      <c r="D183" s="10"/>
      <c r="E183" s="10"/>
      <c r="F183" s="10"/>
      <c r="G183" s="10"/>
      <c r="H183" s="10"/>
      <c r="I183" s="10"/>
      <c r="J183" s="19"/>
      <c r="K183" s="10"/>
      <c r="L183" s="19"/>
      <c r="M183" s="10"/>
      <c r="N183" s="10"/>
      <c r="O183" s="10"/>
      <c r="P183" s="10"/>
      <c r="Q183" s="10"/>
      <c r="R183" s="10"/>
      <c r="S183" s="10"/>
      <c r="T183" s="10"/>
      <c r="U183" s="10"/>
      <c r="V183" s="10"/>
      <c r="W183" s="10"/>
      <c r="X183" s="10"/>
      <c r="Y183" s="10"/>
      <c r="Z183" s="10"/>
      <c r="AA183" s="10"/>
      <c r="AB183" s="10"/>
      <c r="AC183" s="10"/>
      <c r="AD183" s="10"/>
      <c r="AE183" s="10"/>
    </row>
    <row r="184" ht="15.75" customHeight="1">
      <c r="A184" s="10"/>
      <c r="B184" s="10"/>
      <c r="C184" s="10"/>
      <c r="D184" s="10"/>
      <c r="E184" s="10"/>
      <c r="F184" s="10"/>
      <c r="G184" s="10"/>
      <c r="H184" s="10"/>
      <c r="I184" s="10"/>
      <c r="J184" s="19"/>
      <c r="K184" s="10"/>
      <c r="L184" s="19"/>
      <c r="M184" s="10"/>
      <c r="N184" s="10"/>
      <c r="O184" s="10"/>
      <c r="P184" s="10"/>
      <c r="Q184" s="10"/>
      <c r="R184" s="10"/>
      <c r="S184" s="10"/>
      <c r="T184" s="10"/>
      <c r="U184" s="10"/>
      <c r="V184" s="10"/>
      <c r="W184" s="10"/>
      <c r="X184" s="10"/>
      <c r="Y184" s="10"/>
      <c r="Z184" s="10"/>
      <c r="AA184" s="10"/>
      <c r="AB184" s="10"/>
      <c r="AC184" s="10"/>
      <c r="AD184" s="10"/>
      <c r="AE184" s="10"/>
    </row>
    <row r="185" ht="15.75" customHeight="1">
      <c r="A185" s="10"/>
      <c r="B185" s="10"/>
      <c r="C185" s="10"/>
      <c r="D185" s="10"/>
      <c r="E185" s="10"/>
      <c r="F185" s="10"/>
      <c r="G185" s="10"/>
      <c r="H185" s="10"/>
      <c r="I185" s="10"/>
      <c r="J185" s="19"/>
      <c r="K185" s="10"/>
      <c r="L185" s="19"/>
      <c r="M185" s="10"/>
      <c r="N185" s="10"/>
      <c r="O185" s="10"/>
      <c r="P185" s="10"/>
      <c r="Q185" s="10"/>
      <c r="R185" s="10"/>
      <c r="S185" s="10"/>
      <c r="T185" s="10"/>
      <c r="U185" s="10"/>
      <c r="V185" s="10"/>
      <c r="W185" s="10"/>
      <c r="X185" s="10"/>
      <c r="Y185" s="10"/>
      <c r="Z185" s="10"/>
      <c r="AA185" s="10"/>
      <c r="AB185" s="10"/>
      <c r="AC185" s="10"/>
      <c r="AD185" s="10"/>
      <c r="AE185" s="10"/>
    </row>
    <row r="186" ht="15.75" customHeight="1">
      <c r="A186" s="10"/>
      <c r="B186" s="10"/>
      <c r="C186" s="10"/>
      <c r="D186" s="10"/>
      <c r="E186" s="10"/>
      <c r="F186" s="10"/>
      <c r="G186" s="10"/>
      <c r="H186" s="10"/>
      <c r="I186" s="10"/>
      <c r="J186" s="19"/>
      <c r="K186" s="10"/>
      <c r="L186" s="19"/>
      <c r="M186" s="10"/>
      <c r="N186" s="10"/>
      <c r="O186" s="10"/>
      <c r="P186" s="10"/>
      <c r="Q186" s="10"/>
      <c r="R186" s="10"/>
      <c r="S186" s="10"/>
      <c r="T186" s="10"/>
      <c r="U186" s="10"/>
      <c r="V186" s="10"/>
      <c r="W186" s="10"/>
      <c r="X186" s="10"/>
      <c r="Y186" s="10"/>
      <c r="Z186" s="10"/>
      <c r="AA186" s="10"/>
      <c r="AB186" s="10"/>
      <c r="AC186" s="10"/>
      <c r="AD186" s="10"/>
      <c r="AE186" s="10"/>
    </row>
    <row r="187" ht="15.75" customHeight="1">
      <c r="A187" s="10"/>
      <c r="B187" s="10"/>
      <c r="C187" s="10"/>
      <c r="D187" s="10"/>
      <c r="E187" s="10"/>
      <c r="F187" s="10"/>
      <c r="G187" s="10"/>
      <c r="H187" s="10"/>
      <c r="I187" s="10"/>
      <c r="J187" s="19"/>
      <c r="K187" s="10"/>
      <c r="L187" s="19"/>
      <c r="M187" s="10"/>
      <c r="N187" s="10"/>
      <c r="O187" s="10"/>
      <c r="P187" s="10"/>
      <c r="Q187" s="10"/>
      <c r="R187" s="10"/>
      <c r="S187" s="10"/>
      <c r="T187" s="10"/>
      <c r="U187" s="10"/>
      <c r="V187" s="10"/>
      <c r="W187" s="10"/>
      <c r="X187" s="10"/>
      <c r="Y187" s="10"/>
      <c r="Z187" s="10"/>
      <c r="AA187" s="10"/>
      <c r="AB187" s="10"/>
      <c r="AC187" s="10"/>
      <c r="AD187" s="10"/>
      <c r="AE187" s="10"/>
    </row>
    <row r="188" ht="15.75" customHeight="1">
      <c r="A188" s="10"/>
      <c r="B188" s="10"/>
      <c r="C188" s="10"/>
      <c r="D188" s="10"/>
      <c r="E188" s="10"/>
      <c r="F188" s="10"/>
      <c r="G188" s="10"/>
      <c r="H188" s="10"/>
      <c r="I188" s="10"/>
      <c r="J188" s="19"/>
      <c r="K188" s="10"/>
      <c r="L188" s="19"/>
      <c r="M188" s="10"/>
      <c r="N188" s="10"/>
      <c r="O188" s="10"/>
      <c r="P188" s="10"/>
      <c r="Q188" s="10"/>
      <c r="R188" s="10"/>
      <c r="S188" s="10"/>
      <c r="T188" s="10"/>
      <c r="U188" s="10"/>
      <c r="V188" s="10"/>
      <c r="W188" s="10"/>
      <c r="X188" s="10"/>
      <c r="Y188" s="10"/>
      <c r="Z188" s="10"/>
      <c r="AA188" s="10"/>
      <c r="AB188" s="10"/>
      <c r="AC188" s="10"/>
      <c r="AD188" s="10"/>
      <c r="AE188" s="10"/>
    </row>
    <row r="189" ht="15.75" customHeight="1">
      <c r="A189" s="10"/>
      <c r="B189" s="10"/>
      <c r="C189" s="10"/>
      <c r="D189" s="10"/>
      <c r="E189" s="10"/>
      <c r="F189" s="10"/>
      <c r="G189" s="10"/>
      <c r="H189" s="10"/>
      <c r="I189" s="10"/>
      <c r="J189" s="19"/>
      <c r="K189" s="10"/>
      <c r="L189" s="19"/>
      <c r="M189" s="10"/>
      <c r="N189" s="10"/>
      <c r="O189" s="10"/>
      <c r="P189" s="10"/>
      <c r="Q189" s="10"/>
      <c r="R189" s="10"/>
      <c r="S189" s="10"/>
      <c r="T189" s="10"/>
      <c r="U189" s="10"/>
      <c r="V189" s="10"/>
      <c r="W189" s="10"/>
      <c r="X189" s="10"/>
      <c r="Y189" s="10"/>
      <c r="Z189" s="10"/>
      <c r="AA189" s="10"/>
      <c r="AB189" s="10"/>
      <c r="AC189" s="10"/>
      <c r="AD189" s="10"/>
      <c r="AE189" s="10"/>
    </row>
    <row r="190" ht="15.75" customHeight="1">
      <c r="A190" s="10"/>
      <c r="B190" s="10"/>
      <c r="C190" s="10"/>
      <c r="D190" s="10"/>
      <c r="E190" s="10"/>
      <c r="F190" s="10"/>
      <c r="G190" s="10"/>
      <c r="H190" s="10"/>
      <c r="I190" s="10"/>
      <c r="J190" s="19"/>
      <c r="K190" s="10"/>
      <c r="L190" s="19"/>
      <c r="M190" s="10"/>
      <c r="N190" s="10"/>
      <c r="O190" s="10"/>
      <c r="P190" s="10"/>
      <c r="Q190" s="10"/>
      <c r="R190" s="10"/>
      <c r="S190" s="10"/>
      <c r="T190" s="10"/>
      <c r="U190" s="10"/>
      <c r="V190" s="10"/>
      <c r="W190" s="10"/>
      <c r="X190" s="10"/>
      <c r="Y190" s="10"/>
      <c r="Z190" s="10"/>
      <c r="AA190" s="10"/>
      <c r="AB190" s="10"/>
      <c r="AC190" s="10"/>
      <c r="AD190" s="10"/>
      <c r="AE190" s="10"/>
    </row>
    <row r="191" ht="15.75" customHeight="1">
      <c r="A191" s="10"/>
      <c r="B191" s="10"/>
      <c r="C191" s="10"/>
      <c r="D191" s="10"/>
      <c r="E191" s="10"/>
      <c r="F191" s="10"/>
      <c r="G191" s="10"/>
      <c r="H191" s="10"/>
      <c r="I191" s="10"/>
      <c r="J191" s="19"/>
      <c r="K191" s="10"/>
      <c r="L191" s="19"/>
      <c r="M191" s="10"/>
      <c r="N191" s="10"/>
      <c r="O191" s="10"/>
      <c r="P191" s="10"/>
      <c r="Q191" s="10"/>
      <c r="R191" s="10"/>
      <c r="S191" s="10"/>
      <c r="T191" s="10"/>
      <c r="U191" s="10"/>
      <c r="V191" s="10"/>
      <c r="W191" s="10"/>
      <c r="X191" s="10"/>
      <c r="Y191" s="10"/>
      <c r="Z191" s="10"/>
      <c r="AA191" s="10"/>
      <c r="AB191" s="10"/>
      <c r="AC191" s="10"/>
      <c r="AD191" s="10"/>
      <c r="AE191" s="10"/>
    </row>
    <row r="192" ht="15.75" customHeight="1">
      <c r="A192" s="10"/>
      <c r="B192" s="10"/>
      <c r="C192" s="10"/>
      <c r="D192" s="10"/>
      <c r="E192" s="10"/>
      <c r="F192" s="10"/>
      <c r="G192" s="10"/>
      <c r="H192" s="10"/>
      <c r="I192" s="10"/>
      <c r="J192" s="19"/>
      <c r="K192" s="10"/>
      <c r="L192" s="19"/>
      <c r="M192" s="10"/>
      <c r="N192" s="10"/>
      <c r="O192" s="10"/>
      <c r="P192" s="10"/>
      <c r="Q192" s="10"/>
      <c r="R192" s="10"/>
      <c r="S192" s="10"/>
      <c r="T192" s="10"/>
      <c r="U192" s="10"/>
      <c r="V192" s="10"/>
      <c r="W192" s="10"/>
      <c r="X192" s="10"/>
      <c r="Y192" s="10"/>
      <c r="Z192" s="10"/>
      <c r="AA192" s="10"/>
      <c r="AB192" s="10"/>
      <c r="AC192" s="10"/>
      <c r="AD192" s="10"/>
      <c r="AE192" s="10"/>
    </row>
    <row r="193" ht="15.75" customHeight="1">
      <c r="A193" s="10"/>
      <c r="B193" s="10"/>
      <c r="C193" s="10"/>
      <c r="D193" s="10"/>
      <c r="E193" s="10"/>
      <c r="F193" s="10"/>
      <c r="G193" s="10"/>
      <c r="H193" s="10"/>
      <c r="I193" s="10"/>
      <c r="J193" s="19"/>
      <c r="K193" s="10"/>
      <c r="L193" s="19"/>
      <c r="M193" s="10"/>
      <c r="N193" s="10"/>
      <c r="O193" s="10"/>
      <c r="P193" s="10"/>
      <c r="Q193" s="10"/>
      <c r="R193" s="10"/>
      <c r="S193" s="10"/>
      <c r="T193" s="10"/>
      <c r="U193" s="10"/>
      <c r="V193" s="10"/>
      <c r="W193" s="10"/>
      <c r="X193" s="10"/>
      <c r="Y193" s="10"/>
      <c r="Z193" s="10"/>
      <c r="AA193" s="10"/>
      <c r="AB193" s="10"/>
      <c r="AC193" s="10"/>
      <c r="AD193" s="10"/>
      <c r="AE193" s="10"/>
    </row>
    <row r="194" ht="15.75" customHeight="1">
      <c r="A194" s="10"/>
      <c r="B194" s="10"/>
      <c r="C194" s="10"/>
      <c r="D194" s="10"/>
      <c r="E194" s="10"/>
      <c r="F194" s="10"/>
      <c r="G194" s="10"/>
      <c r="H194" s="10"/>
      <c r="I194" s="10"/>
      <c r="J194" s="19"/>
      <c r="K194" s="10"/>
      <c r="L194" s="19"/>
      <c r="M194" s="10"/>
      <c r="N194" s="10"/>
      <c r="O194" s="10"/>
      <c r="P194" s="10"/>
      <c r="Q194" s="10"/>
      <c r="R194" s="10"/>
      <c r="S194" s="10"/>
      <c r="T194" s="10"/>
      <c r="U194" s="10"/>
      <c r="V194" s="10"/>
      <c r="W194" s="10"/>
      <c r="X194" s="10"/>
      <c r="Y194" s="10"/>
      <c r="Z194" s="10"/>
      <c r="AA194" s="10"/>
      <c r="AB194" s="10"/>
      <c r="AC194" s="10"/>
      <c r="AD194" s="10"/>
      <c r="AE194" s="10"/>
    </row>
    <row r="195" ht="15.75" customHeight="1">
      <c r="A195" s="10"/>
      <c r="B195" s="10"/>
      <c r="C195" s="10"/>
      <c r="D195" s="10"/>
      <c r="E195" s="10"/>
      <c r="F195" s="10"/>
      <c r="G195" s="10"/>
      <c r="H195" s="10"/>
      <c r="I195" s="10"/>
      <c r="J195" s="19"/>
      <c r="K195" s="10"/>
      <c r="L195" s="19"/>
      <c r="M195" s="10"/>
      <c r="N195" s="10"/>
      <c r="O195" s="10"/>
      <c r="P195" s="10"/>
      <c r="Q195" s="10"/>
      <c r="R195" s="10"/>
      <c r="S195" s="10"/>
      <c r="T195" s="10"/>
      <c r="U195" s="10"/>
      <c r="V195" s="10"/>
      <c r="W195" s="10"/>
      <c r="X195" s="10"/>
      <c r="Y195" s="10"/>
      <c r="Z195" s="10"/>
      <c r="AA195" s="10"/>
      <c r="AB195" s="10"/>
      <c r="AC195" s="10"/>
      <c r="AD195" s="10"/>
      <c r="AE195" s="10"/>
    </row>
    <row r="196" ht="15.75" customHeight="1">
      <c r="A196" s="10"/>
      <c r="B196" s="10"/>
      <c r="C196" s="10"/>
      <c r="D196" s="10"/>
      <c r="E196" s="10"/>
      <c r="F196" s="10"/>
      <c r="G196" s="10"/>
      <c r="H196" s="10"/>
      <c r="I196" s="10"/>
      <c r="J196" s="19"/>
      <c r="K196" s="10"/>
      <c r="L196" s="19"/>
      <c r="M196" s="10"/>
      <c r="N196" s="10"/>
      <c r="O196" s="10"/>
      <c r="P196" s="10"/>
      <c r="Q196" s="10"/>
      <c r="R196" s="10"/>
      <c r="S196" s="10"/>
      <c r="T196" s="10"/>
      <c r="U196" s="10"/>
      <c r="V196" s="10"/>
      <c r="W196" s="10"/>
      <c r="X196" s="10"/>
      <c r="Y196" s="10"/>
      <c r="Z196" s="10"/>
      <c r="AA196" s="10"/>
      <c r="AB196" s="10"/>
      <c r="AC196" s="10"/>
      <c r="AD196" s="10"/>
      <c r="AE196" s="10"/>
    </row>
    <row r="197" ht="15.75" customHeight="1">
      <c r="A197" s="10"/>
      <c r="B197" s="10"/>
      <c r="C197" s="10"/>
      <c r="D197" s="10"/>
      <c r="E197" s="10"/>
      <c r="F197" s="10"/>
      <c r="G197" s="10"/>
      <c r="H197" s="10"/>
      <c r="I197" s="10"/>
      <c r="J197" s="19"/>
      <c r="K197" s="10"/>
      <c r="L197" s="19"/>
      <c r="M197" s="10"/>
      <c r="N197" s="10"/>
      <c r="O197" s="10"/>
      <c r="P197" s="10"/>
      <c r="Q197" s="10"/>
      <c r="R197" s="10"/>
      <c r="S197" s="10"/>
      <c r="T197" s="10"/>
      <c r="U197" s="10"/>
      <c r="V197" s="10"/>
      <c r="W197" s="10"/>
      <c r="X197" s="10"/>
      <c r="Y197" s="10"/>
      <c r="Z197" s="10"/>
      <c r="AA197" s="10"/>
      <c r="AB197" s="10"/>
      <c r="AC197" s="10"/>
      <c r="AD197" s="10"/>
      <c r="AE197" s="10"/>
    </row>
    <row r="198" ht="15.75" customHeight="1">
      <c r="A198" s="10"/>
      <c r="B198" s="10"/>
      <c r="C198" s="10"/>
      <c r="D198" s="10"/>
      <c r="E198" s="10"/>
      <c r="F198" s="10"/>
      <c r="G198" s="10"/>
      <c r="H198" s="10"/>
      <c r="I198" s="10"/>
      <c r="J198" s="19"/>
      <c r="K198" s="10"/>
      <c r="L198" s="19"/>
      <c r="M198" s="10"/>
      <c r="N198" s="10"/>
      <c r="O198" s="10"/>
      <c r="P198" s="10"/>
      <c r="Q198" s="10"/>
      <c r="R198" s="10"/>
      <c r="S198" s="10"/>
      <c r="T198" s="10"/>
      <c r="U198" s="10"/>
      <c r="V198" s="10"/>
      <c r="W198" s="10"/>
      <c r="X198" s="10"/>
      <c r="Y198" s="10"/>
      <c r="Z198" s="10"/>
      <c r="AA198" s="10"/>
      <c r="AB198" s="10"/>
      <c r="AC198" s="10"/>
      <c r="AD198" s="10"/>
      <c r="AE198" s="10"/>
    </row>
    <row r="199" ht="15.75" customHeight="1">
      <c r="A199" s="10"/>
      <c r="B199" s="10"/>
      <c r="C199" s="10"/>
      <c r="D199" s="10"/>
      <c r="E199" s="10"/>
      <c r="F199" s="10"/>
      <c r="G199" s="10"/>
      <c r="H199" s="10"/>
      <c r="I199" s="10"/>
      <c r="J199" s="19"/>
      <c r="K199" s="10"/>
      <c r="L199" s="19"/>
      <c r="M199" s="10"/>
      <c r="N199" s="10"/>
      <c r="O199" s="10"/>
      <c r="P199" s="10"/>
      <c r="Q199" s="10"/>
      <c r="R199" s="10"/>
      <c r="S199" s="10"/>
      <c r="T199" s="10"/>
      <c r="U199" s="10"/>
      <c r="V199" s="10"/>
      <c r="W199" s="10"/>
      <c r="X199" s="10"/>
      <c r="Y199" s="10"/>
      <c r="Z199" s="10"/>
      <c r="AA199" s="10"/>
      <c r="AB199" s="10"/>
      <c r="AC199" s="10"/>
      <c r="AD199" s="10"/>
      <c r="AE199" s="10"/>
    </row>
    <row r="200" ht="15.75" customHeight="1">
      <c r="A200" s="10"/>
      <c r="B200" s="10"/>
      <c r="C200" s="10"/>
      <c r="D200" s="10"/>
      <c r="E200" s="10"/>
      <c r="F200" s="10"/>
      <c r="G200" s="10"/>
      <c r="H200" s="10"/>
      <c r="I200" s="10"/>
      <c r="J200" s="19"/>
      <c r="K200" s="10"/>
      <c r="L200" s="19"/>
      <c r="M200" s="10"/>
      <c r="N200" s="10"/>
      <c r="O200" s="10"/>
      <c r="P200" s="10"/>
      <c r="Q200" s="10"/>
      <c r="R200" s="10"/>
      <c r="S200" s="10"/>
      <c r="T200" s="10"/>
      <c r="U200" s="10"/>
      <c r="V200" s="10"/>
      <c r="W200" s="10"/>
      <c r="X200" s="10"/>
      <c r="Y200" s="10"/>
      <c r="Z200" s="10"/>
      <c r="AA200" s="10"/>
      <c r="AB200" s="10"/>
      <c r="AC200" s="10"/>
      <c r="AD200" s="10"/>
      <c r="AE200" s="10"/>
    </row>
    <row r="201" ht="15.75" customHeight="1">
      <c r="A201" s="10"/>
      <c r="B201" s="10"/>
      <c r="C201" s="10"/>
      <c r="D201" s="10"/>
      <c r="E201" s="10"/>
      <c r="F201" s="10"/>
      <c r="G201" s="10"/>
      <c r="H201" s="10"/>
      <c r="I201" s="10"/>
      <c r="J201" s="19"/>
      <c r="K201" s="10"/>
      <c r="L201" s="19"/>
      <c r="M201" s="10"/>
      <c r="N201" s="10"/>
      <c r="O201" s="10"/>
      <c r="P201" s="10"/>
      <c r="Q201" s="10"/>
      <c r="R201" s="10"/>
      <c r="S201" s="10"/>
      <c r="T201" s="10"/>
      <c r="U201" s="10"/>
      <c r="V201" s="10"/>
      <c r="W201" s="10"/>
      <c r="X201" s="10"/>
      <c r="Y201" s="10"/>
      <c r="Z201" s="10"/>
      <c r="AA201" s="10"/>
      <c r="AB201" s="10"/>
      <c r="AC201" s="10"/>
      <c r="AD201" s="10"/>
      <c r="AE201" s="10"/>
    </row>
    <row r="202" ht="15.75" customHeight="1">
      <c r="A202" s="10"/>
      <c r="B202" s="10"/>
      <c r="C202" s="10"/>
      <c r="D202" s="10"/>
      <c r="E202" s="10"/>
      <c r="F202" s="10"/>
      <c r="G202" s="10"/>
      <c r="H202" s="10"/>
      <c r="I202" s="10"/>
      <c r="J202" s="19"/>
      <c r="K202" s="10"/>
      <c r="L202" s="19"/>
      <c r="M202" s="10"/>
      <c r="N202" s="10"/>
      <c r="O202" s="10"/>
      <c r="P202" s="10"/>
      <c r="Q202" s="10"/>
      <c r="R202" s="10"/>
      <c r="S202" s="10"/>
      <c r="T202" s="10"/>
      <c r="U202" s="10"/>
      <c r="V202" s="10"/>
      <c r="W202" s="10"/>
      <c r="X202" s="10"/>
      <c r="Y202" s="10"/>
      <c r="Z202" s="10"/>
      <c r="AA202" s="10"/>
      <c r="AB202" s="10"/>
      <c r="AC202" s="10"/>
      <c r="AD202" s="10"/>
      <c r="AE202" s="10"/>
    </row>
    <row r="203" ht="15.75" customHeight="1">
      <c r="A203" s="10"/>
      <c r="B203" s="10"/>
      <c r="C203" s="10"/>
      <c r="D203" s="10"/>
      <c r="E203" s="10"/>
      <c r="F203" s="10"/>
      <c r="G203" s="10"/>
      <c r="H203" s="10"/>
      <c r="I203" s="10"/>
      <c r="J203" s="19"/>
      <c r="K203" s="10"/>
      <c r="L203" s="19"/>
      <c r="M203" s="10"/>
      <c r="N203" s="10"/>
      <c r="O203" s="10"/>
      <c r="P203" s="10"/>
      <c r="Q203" s="10"/>
      <c r="R203" s="10"/>
      <c r="S203" s="10"/>
      <c r="T203" s="10"/>
      <c r="U203" s="10"/>
      <c r="V203" s="10"/>
      <c r="W203" s="10"/>
      <c r="X203" s="10"/>
      <c r="Y203" s="10"/>
      <c r="Z203" s="10"/>
      <c r="AA203" s="10"/>
      <c r="AB203" s="10"/>
      <c r="AC203" s="10"/>
      <c r="AD203" s="10"/>
      <c r="AE203" s="10"/>
    </row>
    <row r="204" ht="15.75" customHeight="1">
      <c r="A204" s="10"/>
      <c r="B204" s="10"/>
      <c r="C204" s="10"/>
      <c r="D204" s="10"/>
      <c r="E204" s="10"/>
      <c r="F204" s="10"/>
      <c r="G204" s="10"/>
      <c r="H204" s="10"/>
      <c r="I204" s="10"/>
      <c r="J204" s="19"/>
      <c r="K204" s="10"/>
      <c r="L204" s="19"/>
      <c r="M204" s="10"/>
      <c r="N204" s="10"/>
      <c r="O204" s="10"/>
      <c r="P204" s="10"/>
      <c r="Q204" s="10"/>
      <c r="R204" s="10"/>
      <c r="S204" s="10"/>
      <c r="T204" s="10"/>
      <c r="U204" s="10"/>
      <c r="V204" s="10"/>
      <c r="W204" s="10"/>
      <c r="X204" s="10"/>
      <c r="Y204" s="10"/>
      <c r="Z204" s="10"/>
      <c r="AA204" s="10"/>
      <c r="AB204" s="10"/>
      <c r="AC204" s="10"/>
      <c r="AD204" s="10"/>
      <c r="AE204" s="10"/>
    </row>
    <row r="205" ht="15.75" customHeight="1">
      <c r="A205" s="10"/>
      <c r="B205" s="10"/>
      <c r="C205" s="10"/>
      <c r="D205" s="10"/>
      <c r="E205" s="10"/>
      <c r="F205" s="10"/>
      <c r="G205" s="10"/>
      <c r="H205" s="10"/>
      <c r="I205" s="10"/>
      <c r="J205" s="19"/>
      <c r="K205" s="10"/>
      <c r="L205" s="19"/>
      <c r="M205" s="10"/>
      <c r="N205" s="10"/>
      <c r="O205" s="10"/>
      <c r="P205" s="10"/>
      <c r="Q205" s="10"/>
      <c r="R205" s="10"/>
      <c r="S205" s="10"/>
      <c r="T205" s="10"/>
      <c r="U205" s="10"/>
      <c r="V205" s="10"/>
      <c r="W205" s="10"/>
      <c r="X205" s="10"/>
      <c r="Y205" s="10"/>
      <c r="Z205" s="10"/>
      <c r="AA205" s="10"/>
      <c r="AB205" s="10"/>
      <c r="AC205" s="10"/>
      <c r="AD205" s="10"/>
      <c r="AE205" s="10"/>
    </row>
    <row r="206" ht="15.75" customHeight="1">
      <c r="A206" s="10"/>
      <c r="B206" s="10"/>
      <c r="C206" s="10"/>
      <c r="D206" s="10"/>
      <c r="E206" s="10"/>
      <c r="F206" s="10"/>
      <c r="G206" s="10"/>
      <c r="H206" s="10"/>
      <c r="I206" s="10"/>
      <c r="J206" s="19"/>
      <c r="K206" s="10"/>
      <c r="L206" s="19"/>
      <c r="M206" s="10"/>
      <c r="N206" s="10"/>
      <c r="O206" s="10"/>
      <c r="P206" s="10"/>
      <c r="Q206" s="10"/>
      <c r="R206" s="10"/>
      <c r="S206" s="10"/>
      <c r="T206" s="10"/>
      <c r="U206" s="10"/>
      <c r="V206" s="10"/>
      <c r="W206" s="10"/>
      <c r="X206" s="10"/>
      <c r="Y206" s="10"/>
      <c r="Z206" s="10"/>
      <c r="AA206" s="10"/>
      <c r="AB206" s="10"/>
      <c r="AC206" s="10"/>
      <c r="AD206" s="10"/>
      <c r="AE206" s="10"/>
    </row>
    <row r="207" ht="15.75" customHeight="1">
      <c r="A207" s="10"/>
      <c r="B207" s="10"/>
      <c r="C207" s="10"/>
      <c r="D207" s="10"/>
      <c r="E207" s="10"/>
      <c r="F207" s="10"/>
      <c r="G207" s="10"/>
      <c r="H207" s="10"/>
      <c r="I207" s="10"/>
      <c r="J207" s="19"/>
      <c r="K207" s="10"/>
      <c r="L207" s="19"/>
      <c r="M207" s="10"/>
      <c r="N207" s="10"/>
      <c r="O207" s="10"/>
      <c r="P207" s="10"/>
      <c r="Q207" s="10"/>
      <c r="R207" s="10"/>
      <c r="S207" s="10"/>
      <c r="T207" s="10"/>
      <c r="U207" s="10"/>
      <c r="V207" s="10"/>
      <c r="W207" s="10"/>
      <c r="X207" s="10"/>
      <c r="Y207" s="10"/>
      <c r="Z207" s="10"/>
      <c r="AA207" s="10"/>
      <c r="AB207" s="10"/>
      <c r="AC207" s="10"/>
      <c r="AD207" s="10"/>
      <c r="AE207" s="10"/>
    </row>
    <row r="208" ht="15.75" customHeight="1">
      <c r="A208" s="10"/>
      <c r="B208" s="10"/>
      <c r="C208" s="10"/>
      <c r="D208" s="10"/>
      <c r="E208" s="10"/>
      <c r="F208" s="10"/>
      <c r="G208" s="10"/>
      <c r="H208" s="10"/>
      <c r="I208" s="10"/>
      <c r="J208" s="19"/>
      <c r="K208" s="10"/>
      <c r="L208" s="19"/>
      <c r="M208" s="10"/>
      <c r="N208" s="10"/>
      <c r="O208" s="10"/>
      <c r="P208" s="10"/>
      <c r="Q208" s="10"/>
      <c r="R208" s="10"/>
      <c r="S208" s="10"/>
      <c r="T208" s="10"/>
      <c r="U208" s="10"/>
      <c r="V208" s="10"/>
      <c r="W208" s="10"/>
      <c r="X208" s="10"/>
      <c r="Y208" s="10"/>
      <c r="Z208" s="10"/>
      <c r="AA208" s="10"/>
      <c r="AB208" s="10"/>
      <c r="AC208" s="10"/>
      <c r="AD208" s="10"/>
      <c r="AE208" s="10"/>
    </row>
    <row r="209" ht="15.75" customHeight="1">
      <c r="A209" s="10"/>
      <c r="B209" s="10"/>
      <c r="C209" s="10"/>
      <c r="D209" s="10"/>
      <c r="E209" s="10"/>
      <c r="F209" s="10"/>
      <c r="G209" s="10"/>
      <c r="H209" s="10"/>
      <c r="I209" s="10"/>
      <c r="J209" s="19"/>
      <c r="K209" s="10"/>
      <c r="L209" s="19"/>
      <c r="M209" s="10"/>
      <c r="N209" s="10"/>
      <c r="O209" s="10"/>
      <c r="P209" s="10"/>
      <c r="Q209" s="10"/>
      <c r="R209" s="10"/>
      <c r="S209" s="10"/>
      <c r="T209" s="10"/>
      <c r="U209" s="10"/>
      <c r="V209" s="10"/>
      <c r="W209" s="10"/>
      <c r="X209" s="10"/>
      <c r="Y209" s="10"/>
      <c r="Z209" s="10"/>
      <c r="AA209" s="10"/>
      <c r="AB209" s="10"/>
      <c r="AC209" s="10"/>
      <c r="AD209" s="10"/>
      <c r="AE209" s="10"/>
    </row>
    <row r="210" ht="15.75" customHeight="1">
      <c r="A210" s="10"/>
      <c r="B210" s="10"/>
      <c r="C210" s="10"/>
      <c r="D210" s="10"/>
      <c r="E210" s="10"/>
      <c r="F210" s="10"/>
      <c r="G210" s="10"/>
      <c r="H210" s="10"/>
      <c r="I210" s="10"/>
      <c r="J210" s="19"/>
      <c r="K210" s="10"/>
      <c r="L210" s="19"/>
      <c r="M210" s="10"/>
      <c r="N210" s="10"/>
      <c r="O210" s="10"/>
      <c r="P210" s="10"/>
      <c r="Q210" s="10"/>
      <c r="R210" s="10"/>
      <c r="S210" s="10"/>
      <c r="T210" s="10"/>
      <c r="U210" s="10"/>
      <c r="V210" s="10"/>
      <c r="W210" s="10"/>
      <c r="X210" s="10"/>
      <c r="Y210" s="10"/>
      <c r="Z210" s="10"/>
      <c r="AA210" s="10"/>
      <c r="AB210" s="10"/>
      <c r="AC210" s="10"/>
      <c r="AD210" s="10"/>
      <c r="AE210" s="10"/>
    </row>
    <row r="211" ht="15.75" customHeight="1">
      <c r="A211" s="10"/>
      <c r="B211" s="10"/>
      <c r="C211" s="10"/>
      <c r="D211" s="10"/>
      <c r="E211" s="10"/>
      <c r="F211" s="10"/>
      <c r="G211" s="10"/>
      <c r="H211" s="10"/>
      <c r="I211" s="10"/>
      <c r="J211" s="19"/>
      <c r="K211" s="10"/>
      <c r="L211" s="19"/>
      <c r="M211" s="10"/>
      <c r="N211" s="10"/>
      <c r="O211" s="10"/>
      <c r="P211" s="10"/>
      <c r="Q211" s="10"/>
      <c r="R211" s="10"/>
      <c r="S211" s="10"/>
      <c r="T211" s="10"/>
      <c r="U211" s="10"/>
      <c r="V211" s="10"/>
      <c r="W211" s="10"/>
      <c r="X211" s="10"/>
      <c r="Y211" s="10"/>
      <c r="Z211" s="10"/>
      <c r="AA211" s="10"/>
      <c r="AB211" s="10"/>
      <c r="AC211" s="10"/>
      <c r="AD211" s="10"/>
      <c r="AE211" s="10"/>
    </row>
    <row r="212" ht="15.75" customHeight="1">
      <c r="A212" s="10"/>
      <c r="B212" s="10"/>
      <c r="C212" s="10"/>
      <c r="D212" s="10"/>
      <c r="E212" s="10"/>
      <c r="F212" s="10"/>
      <c r="G212" s="10"/>
      <c r="H212" s="10"/>
      <c r="I212" s="10"/>
      <c r="J212" s="19"/>
      <c r="K212" s="10"/>
      <c r="L212" s="19"/>
      <c r="M212" s="10"/>
      <c r="N212" s="10"/>
      <c r="O212" s="10"/>
      <c r="P212" s="10"/>
      <c r="Q212" s="10"/>
      <c r="R212" s="10"/>
      <c r="S212" s="10"/>
      <c r="T212" s="10"/>
      <c r="U212" s="10"/>
      <c r="V212" s="10"/>
      <c r="W212" s="10"/>
      <c r="X212" s="10"/>
      <c r="Y212" s="10"/>
      <c r="Z212" s="10"/>
      <c r="AA212" s="10"/>
      <c r="AB212" s="10"/>
      <c r="AC212" s="10"/>
      <c r="AD212" s="10"/>
      <c r="AE212" s="10"/>
    </row>
    <row r="213" ht="15.75" customHeight="1">
      <c r="A213" s="10"/>
      <c r="B213" s="10"/>
      <c r="C213" s="10"/>
      <c r="D213" s="10"/>
      <c r="E213" s="10"/>
      <c r="F213" s="10"/>
      <c r="G213" s="10"/>
      <c r="H213" s="10"/>
      <c r="I213" s="10"/>
      <c r="J213" s="19"/>
      <c r="K213" s="10"/>
      <c r="L213" s="19"/>
      <c r="M213" s="10"/>
      <c r="N213" s="10"/>
      <c r="O213" s="10"/>
      <c r="P213" s="10"/>
      <c r="Q213" s="10"/>
      <c r="R213" s="10"/>
      <c r="S213" s="10"/>
      <c r="T213" s="10"/>
      <c r="U213" s="10"/>
      <c r="V213" s="10"/>
      <c r="W213" s="10"/>
      <c r="X213" s="10"/>
      <c r="Y213" s="10"/>
      <c r="Z213" s="10"/>
      <c r="AA213" s="10"/>
      <c r="AB213" s="10"/>
      <c r="AC213" s="10"/>
      <c r="AD213" s="10"/>
      <c r="AE213" s="10"/>
    </row>
    <row r="214" ht="15.75" customHeight="1">
      <c r="A214" s="10"/>
      <c r="B214" s="10"/>
      <c r="C214" s="10"/>
      <c r="D214" s="10"/>
      <c r="E214" s="10"/>
      <c r="F214" s="10"/>
      <c r="G214" s="10"/>
      <c r="H214" s="10"/>
      <c r="I214" s="10"/>
      <c r="J214" s="19"/>
      <c r="K214" s="10"/>
      <c r="L214" s="19"/>
      <c r="M214" s="10"/>
      <c r="N214" s="10"/>
      <c r="O214" s="10"/>
      <c r="P214" s="10"/>
      <c r="Q214" s="10"/>
      <c r="R214" s="10"/>
      <c r="S214" s="10"/>
      <c r="T214" s="10"/>
      <c r="U214" s="10"/>
      <c r="V214" s="10"/>
      <c r="W214" s="10"/>
      <c r="X214" s="10"/>
      <c r="Y214" s="10"/>
      <c r="Z214" s="10"/>
      <c r="AA214" s="10"/>
      <c r="AB214" s="10"/>
      <c r="AC214" s="10"/>
      <c r="AD214" s="10"/>
      <c r="AE214" s="10"/>
    </row>
    <row r="215" ht="15.75" customHeight="1">
      <c r="A215" s="10"/>
      <c r="B215" s="10"/>
      <c r="C215" s="10"/>
      <c r="D215" s="10"/>
      <c r="E215" s="10"/>
      <c r="F215" s="10"/>
      <c r="G215" s="10"/>
      <c r="H215" s="10"/>
      <c r="I215" s="10"/>
      <c r="J215" s="19"/>
      <c r="K215" s="10"/>
      <c r="L215" s="19"/>
      <c r="M215" s="10"/>
      <c r="N215" s="10"/>
      <c r="O215" s="10"/>
      <c r="P215" s="10"/>
      <c r="Q215" s="10"/>
      <c r="R215" s="10"/>
      <c r="S215" s="10"/>
      <c r="T215" s="10"/>
      <c r="U215" s="10"/>
      <c r="V215" s="10"/>
      <c r="W215" s="10"/>
      <c r="X215" s="10"/>
      <c r="Y215" s="10"/>
      <c r="Z215" s="10"/>
      <c r="AA215" s="10"/>
      <c r="AB215" s="10"/>
      <c r="AC215" s="10"/>
      <c r="AD215" s="10"/>
      <c r="AE215" s="10"/>
    </row>
    <row r="216" ht="15.75" customHeight="1">
      <c r="A216" s="10"/>
      <c r="B216" s="10"/>
      <c r="C216" s="10"/>
      <c r="D216" s="10"/>
      <c r="E216" s="10"/>
      <c r="F216" s="10"/>
      <c r="G216" s="10"/>
      <c r="H216" s="10"/>
      <c r="I216" s="10"/>
      <c r="J216" s="19"/>
      <c r="K216" s="10"/>
      <c r="L216" s="19"/>
      <c r="M216" s="10"/>
      <c r="N216" s="10"/>
      <c r="O216" s="10"/>
      <c r="P216" s="10"/>
      <c r="Q216" s="10"/>
      <c r="R216" s="10"/>
      <c r="S216" s="10"/>
      <c r="T216" s="10"/>
      <c r="U216" s="10"/>
      <c r="V216" s="10"/>
      <c r="W216" s="10"/>
      <c r="X216" s="10"/>
      <c r="Y216" s="10"/>
      <c r="Z216" s="10"/>
      <c r="AA216" s="10"/>
      <c r="AB216" s="10"/>
      <c r="AC216" s="10"/>
      <c r="AD216" s="10"/>
      <c r="AE216" s="10"/>
    </row>
    <row r="217" ht="15.75" customHeight="1">
      <c r="A217" s="10"/>
      <c r="B217" s="10"/>
      <c r="C217" s="10"/>
      <c r="D217" s="10"/>
      <c r="E217" s="10"/>
      <c r="F217" s="10"/>
      <c r="G217" s="10"/>
      <c r="H217" s="10"/>
      <c r="I217" s="10"/>
      <c r="J217" s="19"/>
      <c r="K217" s="10"/>
      <c r="L217" s="19"/>
      <c r="M217" s="10"/>
      <c r="N217" s="10"/>
      <c r="O217" s="10"/>
      <c r="P217" s="10"/>
      <c r="Q217" s="10"/>
      <c r="R217" s="10"/>
      <c r="S217" s="10"/>
      <c r="T217" s="10"/>
      <c r="U217" s="10"/>
      <c r="V217" s="10"/>
      <c r="W217" s="10"/>
      <c r="X217" s="10"/>
      <c r="Y217" s="10"/>
      <c r="Z217" s="10"/>
      <c r="AA217" s="10"/>
      <c r="AB217" s="10"/>
      <c r="AC217" s="10"/>
      <c r="AD217" s="10"/>
      <c r="AE217" s="10"/>
    </row>
    <row r="218" ht="15.75" customHeight="1">
      <c r="A218" s="10"/>
      <c r="B218" s="10"/>
      <c r="C218" s="10"/>
      <c r="D218" s="10"/>
      <c r="E218" s="10"/>
      <c r="F218" s="10"/>
      <c r="G218" s="10"/>
      <c r="H218" s="10"/>
      <c r="I218" s="10"/>
      <c r="J218" s="19"/>
      <c r="K218" s="10"/>
      <c r="L218" s="19"/>
      <c r="M218" s="10"/>
      <c r="N218" s="10"/>
      <c r="O218" s="10"/>
      <c r="P218" s="10"/>
      <c r="Q218" s="10"/>
      <c r="R218" s="10"/>
      <c r="S218" s="10"/>
      <c r="T218" s="10"/>
      <c r="U218" s="10"/>
      <c r="V218" s="10"/>
      <c r="W218" s="10"/>
      <c r="X218" s="10"/>
      <c r="Y218" s="10"/>
      <c r="Z218" s="10"/>
      <c r="AA218" s="10"/>
      <c r="AB218" s="10"/>
      <c r="AC218" s="10"/>
      <c r="AD218" s="10"/>
      <c r="AE218" s="10"/>
    </row>
    <row r="219" ht="15.75" customHeight="1">
      <c r="A219" s="10"/>
      <c r="B219" s="10"/>
      <c r="C219" s="10"/>
      <c r="D219" s="10"/>
      <c r="E219" s="10"/>
      <c r="F219" s="10"/>
      <c r="G219" s="10"/>
      <c r="H219" s="10"/>
      <c r="I219" s="10"/>
      <c r="J219" s="19"/>
      <c r="K219" s="10"/>
      <c r="L219" s="19"/>
      <c r="M219" s="10"/>
      <c r="N219" s="10"/>
      <c r="O219" s="10"/>
      <c r="P219" s="10"/>
      <c r="Q219" s="10"/>
      <c r="R219" s="10"/>
      <c r="S219" s="10"/>
      <c r="T219" s="10"/>
      <c r="U219" s="10"/>
      <c r="V219" s="10"/>
      <c r="W219" s="10"/>
      <c r="X219" s="10"/>
      <c r="Y219" s="10"/>
      <c r="Z219" s="10"/>
      <c r="AA219" s="10"/>
      <c r="AB219" s="10"/>
      <c r="AC219" s="10"/>
      <c r="AD219" s="10"/>
      <c r="AE219" s="10"/>
    </row>
    <row r="220" ht="15.75" customHeight="1">
      <c r="A220" s="10"/>
      <c r="B220" s="10"/>
      <c r="C220" s="10"/>
      <c r="D220" s="10"/>
      <c r="E220" s="10"/>
      <c r="F220" s="10"/>
      <c r="G220" s="10"/>
      <c r="H220" s="10"/>
      <c r="I220" s="10"/>
      <c r="J220" s="19"/>
      <c r="K220" s="10"/>
      <c r="L220" s="19"/>
      <c r="M220" s="10"/>
      <c r="N220" s="10"/>
      <c r="O220" s="10"/>
      <c r="P220" s="10"/>
      <c r="Q220" s="10"/>
      <c r="R220" s="10"/>
      <c r="S220" s="10"/>
      <c r="T220" s="10"/>
      <c r="U220" s="10"/>
      <c r="V220" s="10"/>
      <c r="W220" s="10"/>
      <c r="X220" s="10"/>
      <c r="Y220" s="10"/>
      <c r="Z220" s="10"/>
      <c r="AA220" s="10"/>
      <c r="AB220" s="10"/>
      <c r="AC220" s="10"/>
      <c r="AD220" s="10"/>
      <c r="AE220" s="1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38"/>
    <col customWidth="1" min="2" max="2" width="6.63"/>
    <col customWidth="1" min="3" max="4" width="5.13"/>
    <col customWidth="1" min="5" max="5" width="29.38"/>
    <col customWidth="1" min="6" max="6" width="67.38"/>
    <col customWidth="1" min="7" max="7" width="5.13"/>
    <col customWidth="1" min="8" max="8" width="4.0"/>
    <col customWidth="1" min="9" max="9" width="2.88"/>
    <col customWidth="1" min="10" max="12" width="4.88"/>
    <col customWidth="1" min="13" max="13" width="4.13"/>
    <col customWidth="1" min="14" max="14" width="4.75"/>
    <col customWidth="1" min="15" max="15" width="8.75"/>
    <col customWidth="1" min="16" max="16" width="25.88"/>
  </cols>
  <sheetData>
    <row r="1" ht="15.75" customHeight="1">
      <c r="A1" s="20" t="s">
        <v>33</v>
      </c>
      <c r="B1" s="21" t="s">
        <v>34</v>
      </c>
      <c r="C1" s="20" t="s">
        <v>35</v>
      </c>
      <c r="D1" s="20" t="s">
        <v>36</v>
      </c>
      <c r="E1" s="20" t="s">
        <v>37</v>
      </c>
      <c r="F1" s="20" t="s">
        <v>38</v>
      </c>
      <c r="G1" s="20" t="s">
        <v>39</v>
      </c>
      <c r="H1" s="20" t="s">
        <v>40</v>
      </c>
      <c r="I1" s="20" t="s">
        <v>41</v>
      </c>
      <c r="J1" s="20" t="s">
        <v>42</v>
      </c>
      <c r="K1" s="20" t="s">
        <v>43</v>
      </c>
      <c r="L1" s="20" t="s">
        <v>44</v>
      </c>
      <c r="M1" s="20" t="s">
        <v>45</v>
      </c>
      <c r="N1" s="20" t="s">
        <v>46</v>
      </c>
      <c r="O1" s="22" t="s">
        <v>47</v>
      </c>
      <c r="P1" s="23" t="s">
        <v>48</v>
      </c>
      <c r="Q1" s="10"/>
      <c r="R1" s="10"/>
      <c r="S1" s="10"/>
      <c r="T1" s="10"/>
      <c r="U1" s="10"/>
      <c r="V1" s="10"/>
      <c r="W1" s="10"/>
      <c r="X1" s="10"/>
      <c r="Y1" s="10"/>
      <c r="Z1" s="10"/>
    </row>
    <row r="2" ht="15.75" customHeight="1">
      <c r="A2" s="24">
        <v>45799.0</v>
      </c>
      <c r="B2" s="10">
        <v>0.0</v>
      </c>
      <c r="C2" s="25">
        <v>0.42430555555555555</v>
      </c>
      <c r="D2" s="25">
        <v>0.43819444444444444</v>
      </c>
      <c r="E2" s="26" t="s">
        <v>49</v>
      </c>
      <c r="F2" s="10" t="s">
        <v>50</v>
      </c>
      <c r="G2" s="10">
        <v>2.0</v>
      </c>
      <c r="H2" s="10">
        <v>0.0</v>
      </c>
      <c r="I2" s="10">
        <v>1.0</v>
      </c>
      <c r="J2" s="10">
        <v>1.0</v>
      </c>
      <c r="K2" s="10">
        <v>1.0</v>
      </c>
      <c r="L2" s="10">
        <v>0.0</v>
      </c>
      <c r="M2" s="10">
        <v>0.0</v>
      </c>
      <c r="N2" s="10">
        <v>1.0</v>
      </c>
      <c r="O2" s="10"/>
      <c r="P2" s="10"/>
      <c r="Q2" s="10"/>
      <c r="R2" s="10"/>
      <c r="S2" s="10"/>
      <c r="T2" s="10"/>
      <c r="U2" s="10"/>
      <c r="V2" s="10"/>
      <c r="W2" s="10"/>
      <c r="X2" s="10"/>
      <c r="Y2" s="10"/>
      <c r="Z2" s="10"/>
    </row>
    <row r="3" ht="15.75" customHeight="1">
      <c r="A3" s="10"/>
      <c r="B3" s="10"/>
      <c r="C3" s="25">
        <v>0.48819444444444443</v>
      </c>
      <c r="D3" s="25">
        <v>0.4986111111111111</v>
      </c>
      <c r="E3" s="26" t="s">
        <v>51</v>
      </c>
      <c r="F3" s="10" t="s">
        <v>52</v>
      </c>
      <c r="G3" s="10">
        <v>1.0</v>
      </c>
      <c r="H3" s="10">
        <v>0.0</v>
      </c>
      <c r="I3" s="10">
        <v>0.0</v>
      </c>
      <c r="J3" s="10">
        <v>0.0</v>
      </c>
      <c r="K3" s="10">
        <v>1.0</v>
      </c>
      <c r="L3" s="10">
        <v>0.0</v>
      </c>
      <c r="M3" s="10">
        <v>0.0</v>
      </c>
      <c r="N3" s="10">
        <v>0.0</v>
      </c>
      <c r="O3" s="10"/>
      <c r="P3" s="10"/>
      <c r="Q3" s="10"/>
      <c r="R3" s="10"/>
      <c r="S3" s="10"/>
      <c r="T3" s="10"/>
      <c r="U3" s="10"/>
      <c r="V3" s="10"/>
      <c r="W3" s="10"/>
      <c r="X3" s="10"/>
      <c r="Y3" s="10"/>
      <c r="Z3" s="10"/>
    </row>
    <row r="4" ht="15.75" customHeight="1">
      <c r="A4" s="27"/>
      <c r="B4" s="10"/>
      <c r="C4" s="25"/>
      <c r="D4" s="25"/>
      <c r="F4" s="10"/>
      <c r="G4" s="10"/>
      <c r="H4" s="10"/>
      <c r="I4" s="10"/>
      <c r="J4" s="10"/>
      <c r="K4" s="10"/>
      <c r="L4" s="10"/>
      <c r="M4" s="10"/>
      <c r="N4" s="10"/>
      <c r="O4" s="10"/>
      <c r="P4" s="10"/>
      <c r="Q4" s="10"/>
      <c r="R4" s="10"/>
      <c r="S4" s="10"/>
      <c r="T4" s="10"/>
      <c r="U4" s="10"/>
      <c r="V4" s="10"/>
      <c r="W4" s="10"/>
      <c r="X4" s="10"/>
      <c r="Y4" s="10"/>
      <c r="Z4" s="10"/>
    </row>
    <row r="5" ht="15.75" customHeight="1">
      <c r="A5" s="27">
        <v>45800.0</v>
      </c>
      <c r="B5" s="10">
        <v>0.0</v>
      </c>
      <c r="C5" s="25">
        <v>0.4375</v>
      </c>
      <c r="D5" s="25">
        <v>0.4625</v>
      </c>
      <c r="E5" s="26" t="s">
        <v>53</v>
      </c>
      <c r="F5" s="10" t="s">
        <v>54</v>
      </c>
      <c r="G5" s="10">
        <v>1.0</v>
      </c>
      <c r="H5" s="10">
        <v>0.0</v>
      </c>
      <c r="I5" s="10">
        <v>0.0</v>
      </c>
      <c r="J5" s="10">
        <v>0.0</v>
      </c>
      <c r="K5" s="10">
        <v>1.0</v>
      </c>
      <c r="L5" s="10">
        <v>0.0</v>
      </c>
      <c r="M5" s="10">
        <v>0.0</v>
      </c>
      <c r="N5" s="10">
        <v>0.0</v>
      </c>
      <c r="O5" s="10"/>
      <c r="P5" s="10"/>
      <c r="Q5" s="10"/>
      <c r="R5" s="10"/>
      <c r="S5" s="10"/>
      <c r="T5" s="10"/>
      <c r="U5" s="10"/>
      <c r="V5" s="10"/>
      <c r="W5" s="10"/>
      <c r="X5" s="10"/>
      <c r="Y5" s="10"/>
      <c r="Z5" s="10"/>
    </row>
    <row r="6" ht="15.75" customHeight="1">
      <c r="C6" s="28">
        <v>0.5076388888888889</v>
      </c>
      <c r="D6" s="28">
        <v>0.5201388888888889</v>
      </c>
      <c r="E6" s="26" t="s">
        <v>55</v>
      </c>
      <c r="F6" s="10" t="s">
        <v>56</v>
      </c>
      <c r="G6" s="13">
        <v>2.0</v>
      </c>
      <c r="H6" s="13">
        <v>0.0</v>
      </c>
      <c r="I6" s="13">
        <v>0.0</v>
      </c>
      <c r="J6" s="13">
        <v>2.0</v>
      </c>
      <c r="K6" s="13">
        <v>0.0</v>
      </c>
      <c r="L6" s="13">
        <v>0.0</v>
      </c>
      <c r="M6" s="13">
        <v>0.0</v>
      </c>
      <c r="N6" s="13">
        <v>0.0</v>
      </c>
    </row>
    <row r="7" ht="15.75" customHeight="1">
      <c r="A7" s="29"/>
      <c r="C7" s="28"/>
      <c r="D7" s="28"/>
      <c r="F7" s="10"/>
    </row>
    <row r="8" ht="15.75" customHeight="1">
      <c r="A8" s="30">
        <v>45804.0</v>
      </c>
      <c r="B8" s="13">
        <v>0.0</v>
      </c>
      <c r="C8" s="28">
        <v>0.43819444444444444</v>
      </c>
      <c r="D8" s="28">
        <v>0.4638888888888889</v>
      </c>
      <c r="E8" s="13" t="s">
        <v>57</v>
      </c>
      <c r="F8" s="10"/>
      <c r="Q8" s="10"/>
    </row>
    <row r="9" ht="15.75" customHeight="1">
      <c r="C9" s="28">
        <v>0.4756944444444444</v>
      </c>
      <c r="D9" s="28">
        <v>0.4965277777777778</v>
      </c>
      <c r="E9" s="26" t="s">
        <v>58</v>
      </c>
      <c r="F9" s="10" t="s">
        <v>59</v>
      </c>
    </row>
    <row r="10" ht="15.75" customHeight="1">
      <c r="A10" s="24"/>
      <c r="B10" s="10"/>
      <c r="C10" s="25">
        <v>0.4965277777777778</v>
      </c>
      <c r="D10" s="25">
        <v>0.5326388888888889</v>
      </c>
      <c r="E10" s="20" t="s">
        <v>60</v>
      </c>
      <c r="F10" s="10"/>
      <c r="G10" s="10"/>
      <c r="H10" s="10"/>
      <c r="I10" s="10"/>
      <c r="J10" s="10"/>
      <c r="K10" s="10"/>
      <c r="L10" s="10"/>
      <c r="M10" s="10"/>
      <c r="N10" s="10"/>
      <c r="O10" s="10"/>
      <c r="P10" s="10"/>
      <c r="Q10" s="10"/>
      <c r="R10" s="10"/>
      <c r="S10" s="10"/>
      <c r="T10" s="10"/>
      <c r="U10" s="10"/>
      <c r="V10" s="10"/>
      <c r="W10" s="10"/>
      <c r="X10" s="10"/>
      <c r="Y10" s="10"/>
      <c r="Z10" s="10"/>
    </row>
    <row r="11" ht="15.75" customHeight="1">
      <c r="A11" s="10"/>
      <c r="B11" s="10"/>
      <c r="C11" s="25">
        <v>0.06111111111111111</v>
      </c>
      <c r="D11" s="25">
        <v>0.1076388888888889</v>
      </c>
      <c r="E11" s="26" t="s">
        <v>61</v>
      </c>
      <c r="F11" s="10" t="s">
        <v>62</v>
      </c>
      <c r="G11" s="10"/>
      <c r="H11" s="10"/>
      <c r="I11" s="10"/>
      <c r="J11" s="10"/>
      <c r="K11" s="10"/>
      <c r="L11" s="10"/>
      <c r="M11" s="10"/>
      <c r="N11" s="10"/>
      <c r="O11" s="10"/>
      <c r="P11" s="10"/>
      <c r="Q11" s="10"/>
      <c r="R11" s="10"/>
      <c r="S11" s="10"/>
      <c r="T11" s="10"/>
      <c r="U11" s="10"/>
      <c r="V11" s="10"/>
      <c r="W11" s="10"/>
      <c r="X11" s="10"/>
      <c r="Y11" s="10"/>
      <c r="Z11" s="10"/>
    </row>
    <row r="12" ht="15.75" customHeight="1">
      <c r="A12" s="24"/>
      <c r="B12" s="10"/>
      <c r="C12" s="25">
        <v>0.10972222222222222</v>
      </c>
      <c r="D12" s="25">
        <v>0.1375</v>
      </c>
      <c r="E12" s="10" t="s">
        <v>63</v>
      </c>
      <c r="F12" s="10"/>
      <c r="G12" s="10"/>
      <c r="H12" s="10"/>
      <c r="I12" s="10"/>
      <c r="J12" s="10"/>
      <c r="K12" s="10"/>
      <c r="L12" s="10"/>
      <c r="M12" s="10"/>
      <c r="N12" s="10"/>
      <c r="O12" s="10"/>
      <c r="P12" s="10"/>
      <c r="Q12" s="10"/>
      <c r="R12" s="10"/>
      <c r="S12" s="10"/>
      <c r="T12" s="10"/>
      <c r="U12" s="10"/>
      <c r="V12" s="10"/>
      <c r="W12" s="10"/>
      <c r="X12" s="10"/>
      <c r="Y12" s="10"/>
      <c r="Z12" s="10"/>
    </row>
    <row r="13" ht="15.75" customHeight="1">
      <c r="A13" s="24"/>
      <c r="B13" s="10"/>
      <c r="C13" s="25"/>
      <c r="D13" s="25"/>
      <c r="E13" s="10"/>
      <c r="F13" s="10"/>
      <c r="G13" s="10"/>
      <c r="H13" s="10"/>
      <c r="I13" s="10"/>
      <c r="J13" s="10"/>
      <c r="K13" s="10"/>
      <c r="L13" s="10"/>
      <c r="M13" s="10"/>
      <c r="N13" s="10"/>
      <c r="O13" s="10"/>
      <c r="P13" s="10"/>
      <c r="Q13" s="10"/>
      <c r="R13" s="10"/>
      <c r="S13" s="10"/>
      <c r="T13" s="10"/>
      <c r="U13" s="10"/>
      <c r="V13" s="10"/>
      <c r="W13" s="10"/>
      <c r="X13" s="10"/>
      <c r="Y13" s="10"/>
      <c r="Z13" s="10"/>
    </row>
    <row r="14" ht="15.75" customHeight="1">
      <c r="A14" s="27">
        <v>45805.0</v>
      </c>
      <c r="B14" s="10">
        <v>0.0</v>
      </c>
      <c r="C14" s="25">
        <v>0.3854166666666667</v>
      </c>
      <c r="D14" s="25">
        <v>0.4013888888888889</v>
      </c>
      <c r="E14" s="20" t="s">
        <v>57</v>
      </c>
      <c r="F14" s="10"/>
      <c r="G14" s="10"/>
      <c r="H14" s="10"/>
      <c r="I14" s="10"/>
      <c r="J14" s="10"/>
      <c r="K14" s="10"/>
      <c r="L14" s="10"/>
      <c r="M14" s="10"/>
      <c r="N14" s="10"/>
      <c r="O14" s="10"/>
      <c r="P14" s="10"/>
      <c r="Q14" s="10"/>
      <c r="R14" s="10"/>
      <c r="S14" s="10"/>
      <c r="T14" s="10"/>
      <c r="U14" s="10"/>
      <c r="V14" s="10"/>
      <c r="W14" s="10"/>
      <c r="X14" s="10"/>
      <c r="Y14" s="10"/>
      <c r="Z14" s="10"/>
    </row>
    <row r="15" ht="15.75" customHeight="1">
      <c r="A15" s="10"/>
      <c r="B15" s="10"/>
      <c r="C15" s="25">
        <v>0.41944444444444445</v>
      </c>
      <c r="D15" s="25">
        <v>0.4861111111111111</v>
      </c>
      <c r="E15" s="26" t="s">
        <v>64</v>
      </c>
      <c r="F15" s="10" t="s">
        <v>65</v>
      </c>
      <c r="G15" s="10">
        <v>57.0</v>
      </c>
      <c r="H15" s="10">
        <v>28.0</v>
      </c>
      <c r="I15" s="10">
        <v>23.0</v>
      </c>
      <c r="J15" s="10">
        <v>4.0</v>
      </c>
      <c r="K15" s="10">
        <v>24.0</v>
      </c>
      <c r="L15" s="10">
        <v>1.0</v>
      </c>
      <c r="M15" s="10">
        <v>15.0</v>
      </c>
      <c r="N15" s="10">
        <v>13.0</v>
      </c>
      <c r="O15" s="10"/>
      <c r="P15" s="10"/>
      <c r="Q15" s="10"/>
      <c r="R15" s="10"/>
      <c r="S15" s="10"/>
      <c r="T15" s="10"/>
      <c r="U15" s="10"/>
      <c r="V15" s="10"/>
      <c r="W15" s="10"/>
      <c r="X15" s="10"/>
      <c r="Y15" s="10"/>
      <c r="Z15" s="10"/>
    </row>
    <row r="16" ht="15.75" customHeight="1">
      <c r="A16" s="27"/>
      <c r="B16" s="10"/>
      <c r="C16" s="25">
        <v>0.4875</v>
      </c>
      <c r="D16" s="25">
        <v>0.5131944444444444</v>
      </c>
      <c r="E16" s="20" t="s">
        <v>60</v>
      </c>
      <c r="F16" s="10"/>
      <c r="G16" s="10"/>
      <c r="H16" s="10"/>
      <c r="I16" s="10"/>
      <c r="J16" s="10"/>
      <c r="K16" s="10"/>
      <c r="L16" s="10"/>
      <c r="M16" s="10"/>
      <c r="N16" s="10"/>
      <c r="O16" s="10"/>
      <c r="P16" s="10"/>
      <c r="Q16" s="10"/>
      <c r="R16" s="10"/>
      <c r="S16" s="10"/>
      <c r="T16" s="10"/>
      <c r="U16" s="10"/>
      <c r="V16" s="10"/>
      <c r="W16" s="10"/>
      <c r="X16" s="10"/>
      <c r="Y16" s="10"/>
      <c r="Z16" s="10"/>
    </row>
    <row r="17" ht="15.75" customHeight="1">
      <c r="A17" s="10"/>
      <c r="B17" s="10"/>
      <c r="C17" s="25">
        <v>0.5173611111111112</v>
      </c>
      <c r="D17" s="25">
        <v>0.5395833333333333</v>
      </c>
      <c r="E17" s="26" t="s">
        <v>66</v>
      </c>
      <c r="F17" s="10" t="s">
        <v>67</v>
      </c>
      <c r="G17" s="10">
        <v>1.0</v>
      </c>
      <c r="H17" s="10">
        <v>0.0</v>
      </c>
      <c r="I17" s="10">
        <v>1.0</v>
      </c>
      <c r="J17" s="10">
        <v>0.0</v>
      </c>
      <c r="K17" s="10">
        <v>0.0</v>
      </c>
      <c r="L17" s="10">
        <v>0.0</v>
      </c>
      <c r="M17" s="10">
        <v>0.0</v>
      </c>
      <c r="N17" s="10">
        <v>1.0</v>
      </c>
      <c r="O17" s="10"/>
      <c r="P17" s="10"/>
      <c r="Q17" s="10"/>
      <c r="R17" s="10"/>
      <c r="S17" s="10"/>
      <c r="T17" s="10"/>
      <c r="U17" s="10"/>
      <c r="V17" s="10"/>
      <c r="W17" s="10"/>
      <c r="X17" s="10"/>
      <c r="Y17" s="10"/>
      <c r="Z17" s="10"/>
    </row>
    <row r="18" ht="15.75" customHeight="1">
      <c r="A18" s="10"/>
      <c r="B18" s="10"/>
      <c r="C18" s="25">
        <v>0.041666666666666664</v>
      </c>
      <c r="D18" s="25">
        <v>0.075</v>
      </c>
      <c r="E18" s="10" t="s">
        <v>63</v>
      </c>
      <c r="F18" s="31"/>
      <c r="G18" s="10"/>
      <c r="H18" s="10"/>
      <c r="I18" s="10"/>
      <c r="J18" s="10"/>
      <c r="K18" s="10"/>
      <c r="L18" s="10"/>
      <c r="M18" s="10"/>
      <c r="N18" s="10"/>
      <c r="O18" s="10"/>
      <c r="P18" s="10"/>
      <c r="Q18" s="10"/>
      <c r="R18" s="10"/>
      <c r="S18" s="10"/>
      <c r="T18" s="10"/>
      <c r="U18" s="10"/>
      <c r="V18" s="10"/>
      <c r="W18" s="10"/>
      <c r="X18" s="10"/>
      <c r="Y18" s="10"/>
      <c r="Z18" s="10"/>
    </row>
    <row r="19" ht="15.75" customHeight="1">
      <c r="A19" s="27"/>
      <c r="B19" s="10"/>
      <c r="C19" s="25"/>
      <c r="D19" s="25"/>
      <c r="E19" s="10"/>
      <c r="F19" s="10"/>
      <c r="G19" s="10"/>
      <c r="H19" s="10"/>
      <c r="I19" s="10"/>
      <c r="J19" s="10"/>
      <c r="K19" s="10"/>
      <c r="L19" s="10"/>
      <c r="M19" s="10"/>
      <c r="N19" s="10"/>
      <c r="O19" s="10"/>
      <c r="P19" s="10"/>
      <c r="Q19" s="32"/>
      <c r="R19" s="10"/>
      <c r="S19" s="10"/>
      <c r="T19" s="10"/>
      <c r="U19" s="10"/>
      <c r="V19" s="10"/>
      <c r="W19" s="10"/>
      <c r="X19" s="10"/>
      <c r="Y19" s="10"/>
      <c r="Z19" s="10"/>
    </row>
    <row r="20" ht="15.75" customHeight="1">
      <c r="A20" s="27">
        <v>45806.0</v>
      </c>
      <c r="B20" s="10">
        <v>0.0</v>
      </c>
      <c r="C20" s="25">
        <v>0.4048611111111111</v>
      </c>
      <c r="D20" s="25">
        <v>0.42569444444444443</v>
      </c>
      <c r="E20" s="20" t="s">
        <v>57</v>
      </c>
      <c r="F20" s="10" t="s">
        <v>68</v>
      </c>
      <c r="G20" s="10"/>
      <c r="H20" s="10"/>
      <c r="I20" s="10"/>
      <c r="J20" s="10"/>
      <c r="K20" s="10"/>
      <c r="L20" s="10"/>
      <c r="M20" s="10"/>
      <c r="N20" s="10"/>
      <c r="O20" s="10"/>
      <c r="P20" s="10"/>
      <c r="Q20" s="10"/>
      <c r="R20" s="10"/>
      <c r="S20" s="10"/>
      <c r="T20" s="10"/>
      <c r="U20" s="10"/>
      <c r="V20" s="10"/>
      <c r="W20" s="10"/>
      <c r="X20" s="10"/>
      <c r="Y20" s="10"/>
      <c r="Z20" s="10"/>
    </row>
    <row r="21" ht="15.75" customHeight="1">
      <c r="A21" s="10"/>
      <c r="B21" s="10"/>
      <c r="C21" s="25">
        <v>0.43194444444444446</v>
      </c>
      <c r="D21" s="25">
        <v>0.4777777777777778</v>
      </c>
      <c r="E21" s="26" t="s">
        <v>69</v>
      </c>
      <c r="F21" s="10" t="s">
        <v>70</v>
      </c>
      <c r="G21" s="10">
        <v>37.0</v>
      </c>
      <c r="H21" s="10">
        <v>16.0</v>
      </c>
      <c r="I21" s="10">
        <v>20.0</v>
      </c>
      <c r="J21" s="10">
        <v>1.0</v>
      </c>
      <c r="K21" s="10">
        <v>18.0</v>
      </c>
      <c r="L21" s="10">
        <v>0.0</v>
      </c>
      <c r="M21" s="10">
        <v>10.0</v>
      </c>
      <c r="N21" s="10">
        <v>10.0</v>
      </c>
      <c r="O21" s="10"/>
      <c r="P21" s="10"/>
      <c r="Q21" s="10"/>
      <c r="R21" s="10"/>
      <c r="S21" s="10"/>
      <c r="T21" s="10"/>
      <c r="U21" s="10"/>
      <c r="V21" s="10"/>
      <c r="W21" s="10"/>
      <c r="X21" s="10"/>
      <c r="Y21" s="10"/>
      <c r="Z21" s="10"/>
    </row>
    <row r="22" ht="15.75" customHeight="1">
      <c r="A22" s="27"/>
      <c r="B22" s="10"/>
      <c r="C22" s="25">
        <v>0.4791666666666667</v>
      </c>
      <c r="D22" s="25">
        <v>0.5201388888888889</v>
      </c>
      <c r="E22" s="20" t="s">
        <v>60</v>
      </c>
      <c r="F22" s="10" t="s">
        <v>71</v>
      </c>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25">
        <v>0.5243055555555556</v>
      </c>
      <c r="D23" s="25">
        <v>0.07013888888888889</v>
      </c>
      <c r="E23" s="26" t="s">
        <v>72</v>
      </c>
      <c r="F23" s="10" t="s">
        <v>73</v>
      </c>
      <c r="G23" s="10">
        <v>79.0</v>
      </c>
      <c r="H23" s="10">
        <v>39.0</v>
      </c>
      <c r="I23" s="10">
        <v>38.0</v>
      </c>
      <c r="J23" s="10">
        <v>1.0</v>
      </c>
      <c r="K23" s="10">
        <v>26.0</v>
      </c>
      <c r="L23" s="10">
        <v>1.0</v>
      </c>
      <c r="M23" s="10">
        <v>19.0</v>
      </c>
      <c r="N23" s="10">
        <v>33.0</v>
      </c>
      <c r="O23" s="10"/>
      <c r="P23" s="10"/>
      <c r="Q23" s="10"/>
      <c r="R23" s="10"/>
      <c r="S23" s="10"/>
      <c r="T23" s="10"/>
      <c r="U23" s="10"/>
      <c r="V23" s="10"/>
      <c r="W23" s="10"/>
      <c r="X23" s="10"/>
      <c r="Y23" s="10"/>
      <c r="Z23" s="10"/>
    </row>
    <row r="24" ht="15.75" customHeight="1">
      <c r="A24" s="10"/>
      <c r="B24" s="10"/>
      <c r="C24" s="25">
        <v>0.07083333333333333</v>
      </c>
      <c r="D24" s="25">
        <v>0.1076388888888889</v>
      </c>
      <c r="E24" s="10" t="s">
        <v>63</v>
      </c>
      <c r="F24" s="10"/>
      <c r="G24" s="10"/>
      <c r="H24" s="10"/>
      <c r="I24" s="10"/>
      <c r="J24" s="10"/>
      <c r="K24" s="10"/>
      <c r="L24" s="10"/>
      <c r="M24" s="10"/>
      <c r="N24" s="10"/>
      <c r="O24" s="10"/>
      <c r="P24" s="10"/>
      <c r="Q24" s="10"/>
      <c r="R24" s="10"/>
      <c r="S24" s="10"/>
      <c r="T24" s="10"/>
      <c r="U24" s="10"/>
      <c r="V24" s="10"/>
      <c r="W24" s="10"/>
      <c r="X24" s="10"/>
      <c r="Y24" s="10"/>
      <c r="Z24" s="10"/>
    </row>
    <row r="25" ht="15.75" customHeight="1">
      <c r="A25" s="27"/>
      <c r="B25" s="10"/>
      <c r="C25" s="25"/>
      <c r="D25" s="25"/>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27">
        <v>45807.0</v>
      </c>
      <c r="B26" s="10">
        <v>1.0</v>
      </c>
      <c r="C26" s="25">
        <v>0.3993055555555556</v>
      </c>
      <c r="D26" s="25">
        <v>0.42083333333333334</v>
      </c>
      <c r="E26" s="20" t="s">
        <v>57</v>
      </c>
      <c r="F26" s="10"/>
      <c r="G26" s="10"/>
      <c r="H26" s="10"/>
      <c r="I26" s="10"/>
      <c r="J26" s="10"/>
      <c r="K26" s="10"/>
      <c r="L26" s="10"/>
      <c r="M26" s="10"/>
      <c r="N26" s="10"/>
      <c r="O26" s="10"/>
      <c r="P26" s="10"/>
      <c r="Q26" s="10"/>
      <c r="R26" s="10"/>
      <c r="S26" s="10"/>
      <c r="T26" s="10"/>
      <c r="U26" s="10"/>
      <c r="V26" s="10"/>
      <c r="W26" s="10"/>
      <c r="X26" s="10"/>
      <c r="Y26" s="10"/>
      <c r="Z26" s="10"/>
    </row>
    <row r="27" ht="15.75" customHeight="1">
      <c r="A27" s="33"/>
      <c r="B27" s="10"/>
      <c r="C27" s="25">
        <v>0.4270833333333333</v>
      </c>
      <c r="D27" s="25">
        <v>0.4875</v>
      </c>
      <c r="E27" s="26" t="s">
        <v>74</v>
      </c>
      <c r="F27" s="10" t="s">
        <v>75</v>
      </c>
      <c r="G27" s="10">
        <v>79.0</v>
      </c>
      <c r="H27" s="10">
        <v>38.0</v>
      </c>
      <c r="I27" s="10">
        <v>34.0</v>
      </c>
      <c r="J27" s="10">
        <v>4.0</v>
      </c>
      <c r="K27" s="10">
        <v>17.0</v>
      </c>
      <c r="L27" s="10">
        <v>3.0</v>
      </c>
      <c r="M27" s="10">
        <v>30.0</v>
      </c>
      <c r="N27" s="10">
        <v>25.0</v>
      </c>
      <c r="O27" s="10"/>
      <c r="P27" s="10"/>
      <c r="Q27" s="10"/>
      <c r="R27" s="10"/>
      <c r="S27" s="10"/>
      <c r="T27" s="10"/>
      <c r="U27" s="10"/>
      <c r="V27" s="10"/>
      <c r="W27" s="10"/>
      <c r="X27" s="10"/>
      <c r="Y27" s="10"/>
      <c r="Z27" s="10"/>
    </row>
    <row r="28" ht="15.75" customHeight="1">
      <c r="A28" s="33"/>
      <c r="B28" s="10"/>
      <c r="C28" s="25">
        <v>0.48819444444444443</v>
      </c>
      <c r="D28" s="25">
        <v>0.5395833333333333</v>
      </c>
      <c r="E28" s="20" t="s">
        <v>60</v>
      </c>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25">
        <v>0.04236111111111111</v>
      </c>
      <c r="D29" s="25">
        <v>0.08125</v>
      </c>
      <c r="E29" s="34" t="s">
        <v>76</v>
      </c>
      <c r="F29" s="10" t="s">
        <v>77</v>
      </c>
      <c r="G29" s="10">
        <v>44.0</v>
      </c>
      <c r="H29" s="10">
        <v>22.0</v>
      </c>
      <c r="I29" s="10">
        <v>19.0</v>
      </c>
      <c r="J29" s="10">
        <v>3.0</v>
      </c>
      <c r="K29" s="10">
        <v>26.0</v>
      </c>
      <c r="L29" s="10">
        <v>0.0</v>
      </c>
      <c r="M29" s="10">
        <v>2.0</v>
      </c>
      <c r="N29" s="10">
        <v>13.0</v>
      </c>
      <c r="O29" s="10"/>
      <c r="P29" s="10"/>
      <c r="Q29" s="10"/>
      <c r="R29" s="10"/>
      <c r="S29" s="10"/>
      <c r="T29" s="10"/>
      <c r="U29" s="10"/>
      <c r="V29" s="10"/>
      <c r="W29" s="10"/>
      <c r="X29" s="10"/>
      <c r="Y29" s="10"/>
      <c r="Z29" s="10"/>
    </row>
    <row r="30" ht="15.75" customHeight="1">
      <c r="A30" s="10"/>
      <c r="B30" s="10"/>
      <c r="C30" s="25">
        <v>0.08263888888888889</v>
      </c>
      <c r="D30" s="25">
        <v>0.10138888888888889</v>
      </c>
      <c r="E30" s="10" t="s">
        <v>63</v>
      </c>
      <c r="F30" s="10"/>
      <c r="G30" s="10"/>
      <c r="H30" s="10"/>
      <c r="I30" s="10"/>
      <c r="J30" s="10"/>
      <c r="K30" s="10"/>
      <c r="L30" s="10"/>
      <c r="M30" s="10"/>
      <c r="N30" s="10"/>
      <c r="O30" s="10"/>
      <c r="P30" s="10"/>
      <c r="Q30" s="10"/>
      <c r="R30" s="10"/>
      <c r="S30" s="10"/>
      <c r="T30" s="10"/>
      <c r="U30" s="10"/>
      <c r="V30" s="10"/>
      <c r="W30" s="10"/>
      <c r="X30" s="10"/>
      <c r="Y30" s="10"/>
      <c r="Z30" s="10"/>
    </row>
    <row r="31" ht="15.75" customHeight="1">
      <c r="A31" s="27"/>
      <c r="B31" s="10"/>
      <c r="C31" s="25"/>
      <c r="D31" s="25"/>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27">
        <v>45810.0</v>
      </c>
      <c r="B32" s="10">
        <v>2.0</v>
      </c>
      <c r="C32" s="25">
        <v>0.41805555555555557</v>
      </c>
      <c r="D32" s="25">
        <v>0.4673611111111111</v>
      </c>
      <c r="E32" s="20" t="s">
        <v>57</v>
      </c>
      <c r="F32" s="10" t="s">
        <v>78</v>
      </c>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25">
        <v>0.47847222222222224</v>
      </c>
      <c r="D33" s="25">
        <v>0.04236111111111111</v>
      </c>
      <c r="E33" s="34" t="s">
        <v>79</v>
      </c>
      <c r="F33" s="10" t="s">
        <v>80</v>
      </c>
      <c r="G33" s="10">
        <v>98.0</v>
      </c>
      <c r="H33" s="10">
        <v>45.0</v>
      </c>
      <c r="I33" s="10">
        <v>37.0</v>
      </c>
      <c r="J33" s="10">
        <v>8.0</v>
      </c>
      <c r="K33" s="10">
        <v>19.0</v>
      </c>
      <c r="L33" s="10">
        <v>8.0</v>
      </c>
      <c r="M33" s="10">
        <v>30.0</v>
      </c>
      <c r="N33" s="10">
        <v>34.0</v>
      </c>
      <c r="O33" s="10"/>
      <c r="P33" s="10"/>
      <c r="Q33" s="10"/>
      <c r="R33" s="10"/>
      <c r="S33" s="10"/>
      <c r="T33" s="10"/>
      <c r="U33" s="10"/>
      <c r="V33" s="10"/>
      <c r="W33" s="10"/>
      <c r="X33" s="10"/>
      <c r="Y33" s="10"/>
      <c r="Z33" s="10"/>
    </row>
    <row r="34" ht="15.75" customHeight="1">
      <c r="A34" s="27"/>
      <c r="B34" s="10"/>
      <c r="C34" s="25">
        <v>0.04375</v>
      </c>
      <c r="D34" s="25">
        <v>0.06736111111111111</v>
      </c>
      <c r="E34" s="20" t="s">
        <v>60</v>
      </c>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25">
        <v>0.07013888888888889</v>
      </c>
      <c r="D35" s="25">
        <v>0.09930555555555555</v>
      </c>
      <c r="E35" s="34" t="s">
        <v>81</v>
      </c>
      <c r="F35" s="10" t="s">
        <v>82</v>
      </c>
      <c r="G35" s="10">
        <v>3.0</v>
      </c>
      <c r="H35" s="10">
        <v>2.0</v>
      </c>
      <c r="I35" s="10">
        <v>1.0</v>
      </c>
      <c r="J35" s="10">
        <v>0.0</v>
      </c>
      <c r="K35" s="10">
        <v>2.0</v>
      </c>
      <c r="L35" s="10">
        <v>0.0</v>
      </c>
      <c r="M35" s="10">
        <v>1.0</v>
      </c>
      <c r="N35" s="10">
        <v>0.0</v>
      </c>
      <c r="O35" s="10"/>
      <c r="P35" s="10"/>
      <c r="Q35" s="10"/>
      <c r="R35" s="10"/>
      <c r="S35" s="10"/>
      <c r="T35" s="10"/>
      <c r="U35" s="10"/>
      <c r="V35" s="10"/>
      <c r="W35" s="10"/>
      <c r="X35" s="10"/>
      <c r="Y35" s="10"/>
      <c r="Z35" s="10"/>
    </row>
    <row r="36" ht="15.75" customHeight="1">
      <c r="A36" s="24"/>
      <c r="B36" s="10"/>
      <c r="C36" s="25">
        <v>0.10069444444444445</v>
      </c>
      <c r="D36" s="25">
        <v>0.12361111111111112</v>
      </c>
      <c r="E36" s="13" t="s">
        <v>63</v>
      </c>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25"/>
      <c r="D37" s="25"/>
      <c r="E37" s="20"/>
      <c r="F37" s="10"/>
      <c r="G37" s="10"/>
      <c r="H37" s="10"/>
      <c r="I37" s="10"/>
      <c r="J37" s="10"/>
      <c r="K37" s="10"/>
      <c r="L37" s="10"/>
      <c r="M37" s="10"/>
      <c r="N37" s="10"/>
      <c r="O37" s="10"/>
      <c r="P37" s="10"/>
      <c r="Q37" s="10"/>
      <c r="R37" s="10"/>
      <c r="S37" s="10"/>
      <c r="T37" s="10"/>
      <c r="U37" s="10"/>
      <c r="V37" s="10"/>
      <c r="W37" s="10"/>
      <c r="X37" s="10"/>
      <c r="Y37" s="10"/>
      <c r="Z37" s="10"/>
    </row>
    <row r="38" ht="15.75" customHeight="1">
      <c r="A38" s="27">
        <v>45811.0</v>
      </c>
      <c r="B38" s="10">
        <v>3.0</v>
      </c>
      <c r="C38" s="25">
        <v>0.39166666666666666</v>
      </c>
      <c r="D38" s="25">
        <v>0.4152777777777778</v>
      </c>
      <c r="E38" s="20" t="s">
        <v>57</v>
      </c>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25">
        <v>0.4215277777777778</v>
      </c>
      <c r="D39" s="25">
        <v>0.4840277777777778</v>
      </c>
      <c r="E39" s="34" t="s">
        <v>83</v>
      </c>
      <c r="F39" s="10" t="s">
        <v>84</v>
      </c>
      <c r="G39" s="10">
        <v>85.0</v>
      </c>
      <c r="H39" s="10">
        <v>11.0</v>
      </c>
      <c r="I39" s="10">
        <v>50.0</v>
      </c>
      <c r="J39" s="10">
        <v>17.0</v>
      </c>
      <c r="K39" s="10">
        <v>28.0</v>
      </c>
      <c r="L39" s="10">
        <v>2.0</v>
      </c>
      <c r="M39" s="10">
        <v>15.0</v>
      </c>
      <c r="N39" s="10">
        <v>24.0</v>
      </c>
      <c r="O39" s="10"/>
      <c r="P39" s="10"/>
      <c r="Q39" s="10"/>
      <c r="R39" s="10"/>
      <c r="S39" s="10"/>
      <c r="T39" s="10"/>
      <c r="U39" s="10"/>
      <c r="V39" s="10"/>
      <c r="W39" s="10"/>
      <c r="X39" s="10"/>
      <c r="Y39" s="10"/>
      <c r="Z39" s="10"/>
    </row>
    <row r="40" ht="15.75" customHeight="1">
      <c r="A40" s="27"/>
      <c r="B40" s="10"/>
      <c r="C40" s="25">
        <v>0.4847222222222222</v>
      </c>
      <c r="D40" s="25">
        <v>0.5236111111111111</v>
      </c>
      <c r="E40" s="20" t="s">
        <v>60</v>
      </c>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25">
        <v>0.5270833333333333</v>
      </c>
      <c r="D41" s="25">
        <v>0.06111111111111111</v>
      </c>
      <c r="E41" s="34" t="s">
        <v>85</v>
      </c>
      <c r="F41" s="10" t="s">
        <v>86</v>
      </c>
      <c r="G41" s="10">
        <v>54.0</v>
      </c>
      <c r="H41" s="10">
        <v>8.0</v>
      </c>
      <c r="I41" s="10">
        <v>23.0</v>
      </c>
      <c r="J41" s="10">
        <v>21.0</v>
      </c>
      <c r="K41" s="10">
        <v>15.0</v>
      </c>
      <c r="L41" s="10">
        <v>1.0</v>
      </c>
      <c r="M41" s="10">
        <v>1.0</v>
      </c>
      <c r="N41" s="10">
        <v>17.0</v>
      </c>
      <c r="O41" s="10"/>
      <c r="P41" s="10"/>
      <c r="Q41" s="10"/>
      <c r="R41" s="10"/>
      <c r="S41" s="10"/>
      <c r="T41" s="10"/>
      <c r="U41" s="10"/>
      <c r="V41" s="10"/>
      <c r="W41" s="10"/>
      <c r="X41" s="10"/>
      <c r="Y41" s="10"/>
      <c r="Z41" s="10"/>
    </row>
    <row r="42" ht="15.75" customHeight="1">
      <c r="A42" s="27"/>
      <c r="B42" s="10"/>
      <c r="C42" s="25">
        <v>0.06180555555555556</v>
      </c>
      <c r="D42" s="25">
        <v>0.08819444444444445</v>
      </c>
      <c r="E42" s="13" t="s">
        <v>63</v>
      </c>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25"/>
      <c r="D43" s="25"/>
      <c r="E43" s="20"/>
      <c r="F43" s="10"/>
      <c r="G43" s="10"/>
      <c r="H43" s="10"/>
      <c r="I43" s="10"/>
      <c r="J43" s="10"/>
      <c r="K43" s="10"/>
      <c r="L43" s="10"/>
      <c r="M43" s="10"/>
      <c r="N43" s="10"/>
      <c r="O43" s="10"/>
      <c r="P43" s="10"/>
      <c r="Q43" s="10"/>
      <c r="R43" s="10"/>
      <c r="S43" s="10"/>
      <c r="T43" s="10"/>
      <c r="U43" s="10"/>
      <c r="V43" s="10"/>
      <c r="W43" s="10"/>
      <c r="X43" s="10"/>
      <c r="Y43" s="10"/>
      <c r="Z43" s="10"/>
    </row>
    <row r="44" ht="15.75" customHeight="1">
      <c r="A44" s="27">
        <v>45812.0</v>
      </c>
      <c r="B44" s="10">
        <v>4.0</v>
      </c>
      <c r="C44" s="25">
        <v>0.46875</v>
      </c>
      <c r="D44" s="25">
        <v>0.4888888888888889</v>
      </c>
      <c r="E44" s="20" t="s">
        <v>57</v>
      </c>
      <c r="F44" s="10" t="s">
        <v>87</v>
      </c>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25">
        <v>0.49166666666666664</v>
      </c>
      <c r="D45" s="25">
        <v>0.5326388888888889</v>
      </c>
      <c r="E45" s="34" t="s">
        <v>88</v>
      </c>
      <c r="F45" s="10" t="s">
        <v>89</v>
      </c>
      <c r="G45" s="10">
        <v>74.0</v>
      </c>
      <c r="H45" s="10">
        <v>32.0</v>
      </c>
      <c r="I45" s="10">
        <v>30.0</v>
      </c>
      <c r="J45" s="10">
        <v>7.0</v>
      </c>
      <c r="K45" s="10">
        <v>21.0</v>
      </c>
      <c r="L45" s="10">
        <v>4.0</v>
      </c>
      <c r="M45" s="10">
        <v>16.0</v>
      </c>
      <c r="N45" s="10">
        <v>25.0</v>
      </c>
      <c r="O45" s="10"/>
      <c r="P45" s="10"/>
      <c r="Q45" s="10"/>
      <c r="R45" s="10"/>
      <c r="S45" s="10"/>
      <c r="T45" s="10"/>
      <c r="U45" s="10"/>
      <c r="V45" s="10"/>
      <c r="W45" s="10"/>
      <c r="X45" s="10"/>
      <c r="Y45" s="10"/>
      <c r="Z45" s="10"/>
    </row>
    <row r="46" ht="15.75" customHeight="1">
      <c r="A46" s="10"/>
      <c r="B46" s="10"/>
      <c r="C46" s="25">
        <v>0.5347222222222222</v>
      </c>
      <c r="D46" s="25">
        <v>0.058333333333333334</v>
      </c>
      <c r="E46" s="20" t="s">
        <v>60</v>
      </c>
      <c r="F46" s="10" t="s">
        <v>90</v>
      </c>
      <c r="G46" s="10"/>
      <c r="H46" s="10"/>
      <c r="I46" s="10"/>
      <c r="J46" s="10"/>
      <c r="K46" s="10"/>
      <c r="L46" s="10"/>
      <c r="M46" s="10"/>
      <c r="N46" s="10"/>
      <c r="O46" s="10"/>
      <c r="P46" s="10"/>
      <c r="Q46" s="10"/>
      <c r="R46" s="10"/>
      <c r="S46" s="10"/>
      <c r="T46" s="10"/>
      <c r="U46" s="10"/>
      <c r="V46" s="10"/>
      <c r="W46" s="10"/>
      <c r="X46" s="10"/>
      <c r="Y46" s="10"/>
      <c r="Z46" s="10"/>
    </row>
    <row r="47" ht="15.75" customHeight="1">
      <c r="A47" s="27"/>
      <c r="B47" s="10"/>
      <c r="C47" s="25">
        <v>0.09722222222222222</v>
      </c>
      <c r="D47" s="25">
        <v>0.1597222222222222</v>
      </c>
      <c r="E47" s="34" t="s">
        <v>91</v>
      </c>
      <c r="F47" s="10" t="s">
        <v>92</v>
      </c>
      <c r="G47" s="10">
        <v>113.0</v>
      </c>
      <c r="H47" s="10">
        <v>51.0</v>
      </c>
      <c r="I47" s="10">
        <v>47.0</v>
      </c>
      <c r="J47" s="10">
        <v>0.0</v>
      </c>
      <c r="K47" s="10">
        <v>29.0</v>
      </c>
      <c r="L47" s="10">
        <v>15.0</v>
      </c>
      <c r="M47" s="10">
        <v>15.0</v>
      </c>
      <c r="N47" s="10">
        <v>53.0</v>
      </c>
      <c r="O47" s="10"/>
      <c r="P47" s="10"/>
      <c r="Q47" s="10"/>
      <c r="R47" s="10"/>
      <c r="S47" s="10"/>
      <c r="T47" s="10"/>
      <c r="U47" s="10"/>
      <c r="V47" s="10"/>
      <c r="W47" s="10"/>
      <c r="X47" s="10"/>
      <c r="Y47" s="10"/>
      <c r="Z47" s="10"/>
    </row>
    <row r="48" ht="15.75" customHeight="1">
      <c r="A48" s="27"/>
      <c r="B48" s="10"/>
      <c r="C48" s="25">
        <v>0.16180555555555556</v>
      </c>
      <c r="D48" s="25">
        <v>0.18611111111111112</v>
      </c>
      <c r="E48" s="13" t="s">
        <v>63</v>
      </c>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25"/>
      <c r="D49" s="25"/>
      <c r="E49" s="20"/>
      <c r="F49" s="10"/>
      <c r="G49" s="10"/>
      <c r="H49" s="10"/>
      <c r="I49" s="10"/>
      <c r="J49" s="10"/>
      <c r="K49" s="10"/>
      <c r="L49" s="10"/>
      <c r="M49" s="10"/>
      <c r="N49" s="10"/>
      <c r="O49" s="10"/>
      <c r="P49" s="10"/>
      <c r="Q49" s="10"/>
      <c r="R49" s="10"/>
      <c r="S49" s="10"/>
      <c r="T49" s="10"/>
      <c r="U49" s="10"/>
      <c r="V49" s="10"/>
      <c r="W49" s="10"/>
      <c r="X49" s="10"/>
      <c r="Y49" s="10"/>
      <c r="Z49" s="10"/>
    </row>
    <row r="50" ht="15.75" customHeight="1">
      <c r="A50" s="27">
        <v>45813.0</v>
      </c>
      <c r="B50" s="10">
        <v>5.0</v>
      </c>
      <c r="C50" s="25">
        <v>0.41597222222222224</v>
      </c>
      <c r="D50" s="25">
        <v>0.4423611111111111</v>
      </c>
      <c r="E50" s="20" t="s">
        <v>57</v>
      </c>
      <c r="F50" s="10" t="s">
        <v>93</v>
      </c>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25">
        <v>0.4479166666666667</v>
      </c>
      <c r="D51" s="25">
        <v>0.5083333333333333</v>
      </c>
      <c r="E51" s="34" t="s">
        <v>94</v>
      </c>
      <c r="F51" s="10" t="s">
        <v>95</v>
      </c>
      <c r="G51" s="10">
        <v>109.0</v>
      </c>
      <c r="H51" s="10">
        <v>41.0</v>
      </c>
      <c r="I51" s="10">
        <v>54.0</v>
      </c>
      <c r="J51" s="10">
        <v>3.0</v>
      </c>
      <c r="K51" s="10">
        <v>26.0</v>
      </c>
      <c r="L51" s="10">
        <v>9.0</v>
      </c>
      <c r="M51" s="10">
        <v>16.0</v>
      </c>
      <c r="N51" s="10">
        <v>55.0</v>
      </c>
      <c r="O51" s="10"/>
      <c r="P51" s="10"/>
      <c r="Q51" s="10"/>
      <c r="R51" s="10"/>
      <c r="S51" s="10"/>
      <c r="T51" s="10"/>
      <c r="U51" s="10"/>
      <c r="V51" s="10"/>
      <c r="W51" s="10"/>
      <c r="X51" s="10"/>
      <c r="Y51" s="10"/>
      <c r="Z51" s="10"/>
    </row>
    <row r="52" ht="15.75" customHeight="1">
      <c r="A52" s="10"/>
      <c r="B52" s="10"/>
      <c r="C52" s="25">
        <v>0.5097222222222222</v>
      </c>
      <c r="D52" s="25">
        <v>0.5361111111111111</v>
      </c>
      <c r="E52" s="20" t="s">
        <v>60</v>
      </c>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25">
        <v>0.5381944444444444</v>
      </c>
      <c r="D53" s="25">
        <v>0.08055555555555556</v>
      </c>
      <c r="E53" s="34" t="s">
        <v>96</v>
      </c>
      <c r="F53" s="10" t="s">
        <v>97</v>
      </c>
      <c r="G53" s="10">
        <v>76.0</v>
      </c>
      <c r="H53" s="10">
        <v>42.0</v>
      </c>
      <c r="I53" s="10">
        <v>31.0</v>
      </c>
      <c r="J53" s="10">
        <v>2.0</v>
      </c>
      <c r="K53" s="10">
        <v>43.0</v>
      </c>
      <c r="L53" s="10">
        <v>0.0</v>
      </c>
      <c r="M53" s="10">
        <v>6.0</v>
      </c>
      <c r="N53" s="10">
        <v>24.0</v>
      </c>
      <c r="O53" s="10"/>
      <c r="P53" s="10"/>
      <c r="Q53" s="10"/>
      <c r="R53" s="10"/>
      <c r="S53" s="10"/>
      <c r="T53" s="10"/>
      <c r="U53" s="10"/>
      <c r="V53" s="10"/>
      <c r="W53" s="10"/>
      <c r="X53" s="10"/>
      <c r="Y53" s="10"/>
      <c r="Z53" s="10"/>
    </row>
    <row r="54" ht="15.75" customHeight="1">
      <c r="A54" s="27"/>
      <c r="B54" s="10"/>
      <c r="C54" s="25">
        <v>0.08194444444444444</v>
      </c>
      <c r="D54" s="25">
        <v>0.11319444444444444</v>
      </c>
      <c r="E54" s="13" t="s">
        <v>63</v>
      </c>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25"/>
      <c r="D55" s="25"/>
      <c r="E55" s="2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25"/>
      <c r="D56" s="25"/>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25"/>
      <c r="D57" s="25"/>
      <c r="E57" s="2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25"/>
      <c r="D58" s="25"/>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25"/>
      <c r="D59" s="25"/>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27"/>
      <c r="B60" s="10"/>
      <c r="C60" s="25"/>
      <c r="D60" s="25"/>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25"/>
      <c r="D61" s="25"/>
      <c r="E61" s="20"/>
      <c r="F61" s="10"/>
      <c r="G61" s="10"/>
      <c r="H61" s="10"/>
      <c r="I61" s="10"/>
      <c r="J61" s="10"/>
      <c r="K61" s="10"/>
      <c r="L61" s="10"/>
      <c r="M61" s="10"/>
      <c r="N61" s="10"/>
      <c r="O61" s="10"/>
      <c r="P61" s="10"/>
      <c r="Q61" s="10"/>
      <c r="R61" s="10"/>
      <c r="S61" s="10"/>
      <c r="T61" s="10"/>
      <c r="U61" s="10"/>
      <c r="V61" s="10"/>
      <c r="W61" s="10"/>
      <c r="X61" s="10"/>
      <c r="Y61" s="10"/>
      <c r="Z61" s="10"/>
    </row>
    <row r="62" ht="15.75" customHeight="1">
      <c r="A62" s="27"/>
      <c r="B62" s="10"/>
      <c r="C62" s="25"/>
      <c r="D62" s="25"/>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25"/>
      <c r="D63" s="25"/>
      <c r="E63" s="2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25"/>
      <c r="D64" s="25"/>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25"/>
      <c r="D65" s="25"/>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27"/>
      <c r="B66" s="10"/>
      <c r="C66" s="25"/>
      <c r="D66" s="25"/>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25"/>
      <c r="D67" s="25"/>
      <c r="E67" s="2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25"/>
      <c r="D68" s="25"/>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27"/>
      <c r="B69" s="10"/>
      <c r="C69" s="25"/>
      <c r="D69" s="25"/>
      <c r="E69" s="2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25"/>
      <c r="D70" s="25"/>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25"/>
      <c r="D71" s="25"/>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27"/>
      <c r="B72" s="10"/>
      <c r="C72" s="25"/>
      <c r="D72" s="25"/>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25"/>
      <c r="D73" s="25"/>
      <c r="E73" s="2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25"/>
      <c r="D74" s="25"/>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27"/>
      <c r="B75" s="10"/>
      <c r="C75" s="25"/>
      <c r="D75" s="25"/>
      <c r="E75" s="2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25"/>
      <c r="D76" s="25"/>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25"/>
      <c r="D77" s="25"/>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24"/>
      <c r="B78" s="10"/>
      <c r="C78" s="25"/>
      <c r="D78" s="25"/>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25"/>
      <c r="D79" s="25"/>
      <c r="E79" s="2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25"/>
      <c r="D80" s="25"/>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25"/>
      <c r="D81" s="25"/>
      <c r="E81" s="20"/>
      <c r="F81" s="10"/>
      <c r="G81" s="10"/>
      <c r="H81" s="10"/>
      <c r="I81" s="10"/>
      <c r="J81" s="10"/>
      <c r="K81" s="10"/>
      <c r="L81" s="10"/>
      <c r="M81" s="10"/>
      <c r="N81" s="10"/>
      <c r="O81" s="10"/>
      <c r="P81" s="10"/>
      <c r="Q81" s="10"/>
      <c r="R81" s="10"/>
      <c r="S81" s="10"/>
      <c r="T81" s="10"/>
      <c r="U81" s="10"/>
      <c r="V81" s="10"/>
      <c r="W81" s="10"/>
      <c r="X81" s="10"/>
      <c r="Y81" s="10"/>
      <c r="Z81" s="10"/>
    </row>
    <row r="82" ht="15.75" customHeight="1">
      <c r="A82" s="27"/>
      <c r="B82" s="10"/>
      <c r="C82" s="25"/>
      <c r="D82" s="25"/>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25"/>
      <c r="D83" s="25"/>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27"/>
      <c r="B84" s="10"/>
      <c r="C84" s="25"/>
      <c r="D84" s="25"/>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25"/>
      <c r="D85" s="25"/>
      <c r="E85" s="2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25"/>
      <c r="D86" s="25"/>
      <c r="F86" s="10"/>
      <c r="G86" s="10"/>
      <c r="H86" s="10"/>
      <c r="I86" s="10"/>
      <c r="J86" s="10"/>
      <c r="K86" s="10"/>
      <c r="L86" s="10"/>
      <c r="M86" s="10"/>
      <c r="N86" s="10"/>
      <c r="O86" s="10"/>
      <c r="P86" s="10"/>
      <c r="Q86" s="10"/>
      <c r="R86" s="10"/>
      <c r="S86" s="10"/>
      <c r="T86" s="10"/>
      <c r="U86" s="10"/>
      <c r="V86" s="10"/>
      <c r="W86" s="10"/>
      <c r="X86" s="10"/>
      <c r="Y86" s="10"/>
      <c r="Z86" s="10"/>
    </row>
    <row r="87" ht="15.75" customHeight="1">
      <c r="A87" s="27"/>
      <c r="B87" s="10"/>
      <c r="C87" s="25"/>
      <c r="D87" s="25"/>
      <c r="E87" s="20"/>
      <c r="F87" s="10"/>
      <c r="G87" s="10"/>
      <c r="H87" s="10"/>
      <c r="I87" s="10"/>
      <c r="J87" s="10"/>
      <c r="K87" s="10"/>
      <c r="L87" s="10"/>
      <c r="M87" s="10"/>
      <c r="N87" s="10"/>
      <c r="O87" s="10"/>
      <c r="P87" s="10"/>
      <c r="Q87" s="10"/>
      <c r="R87" s="10"/>
      <c r="S87" s="10"/>
      <c r="T87" s="10"/>
      <c r="U87" s="10"/>
      <c r="V87" s="10"/>
      <c r="W87" s="10"/>
      <c r="X87" s="10"/>
      <c r="Y87" s="10"/>
      <c r="Z87" s="10"/>
    </row>
    <row r="88" ht="15.75" customHeight="1">
      <c r="A88" s="27"/>
      <c r="B88" s="10"/>
      <c r="C88" s="25"/>
      <c r="D88" s="25"/>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25"/>
      <c r="D89" s="25"/>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27"/>
      <c r="B90" s="10"/>
      <c r="C90" s="25"/>
      <c r="D90" s="25"/>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25"/>
      <c r="D91" s="25"/>
      <c r="E91" s="2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25"/>
      <c r="D92" s="25"/>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25"/>
      <c r="D93" s="25"/>
      <c r="E93" s="20"/>
      <c r="F93" s="10"/>
      <c r="G93" s="10"/>
      <c r="H93" s="10"/>
      <c r="I93" s="10"/>
      <c r="J93" s="10"/>
      <c r="K93" s="10"/>
      <c r="L93" s="10"/>
      <c r="M93" s="10"/>
      <c r="N93" s="10"/>
      <c r="O93" s="10"/>
      <c r="P93" s="10"/>
      <c r="Q93" s="10"/>
      <c r="R93" s="10"/>
      <c r="S93" s="10"/>
      <c r="T93" s="10"/>
      <c r="U93" s="10"/>
      <c r="V93" s="10"/>
      <c r="W93" s="10"/>
      <c r="X93" s="10"/>
      <c r="Y93" s="10"/>
      <c r="Z93" s="10"/>
    </row>
    <row r="94" ht="15.75" customHeight="1">
      <c r="A94" s="27"/>
      <c r="B94" s="10"/>
      <c r="C94" s="25"/>
      <c r="D94" s="25"/>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25"/>
      <c r="D95" s="25"/>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24"/>
      <c r="B96" s="10"/>
      <c r="C96" s="25"/>
      <c r="D96" s="25"/>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25"/>
      <c r="D97" s="25"/>
      <c r="E97" s="2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25"/>
      <c r="D98" s="25"/>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25"/>
      <c r="D99" s="25"/>
      <c r="E99" s="20"/>
      <c r="F99" s="10"/>
      <c r="G99" s="10"/>
      <c r="H99" s="10"/>
      <c r="I99" s="10"/>
      <c r="J99" s="10"/>
      <c r="K99" s="10"/>
      <c r="L99" s="10"/>
      <c r="M99" s="10"/>
      <c r="N99" s="10"/>
      <c r="O99" s="10"/>
      <c r="P99" s="10"/>
      <c r="Q99" s="10"/>
      <c r="R99" s="10"/>
      <c r="S99" s="10"/>
      <c r="T99" s="10"/>
      <c r="U99" s="10"/>
      <c r="V99" s="10"/>
      <c r="W99" s="10"/>
      <c r="X99" s="10"/>
      <c r="Y99" s="10"/>
      <c r="Z99" s="10"/>
    </row>
    <row r="100" ht="15.75" customHeight="1">
      <c r="A100" s="27"/>
      <c r="B100" s="10"/>
      <c r="C100" s="25"/>
      <c r="D100" s="25"/>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25"/>
      <c r="D101" s="25"/>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27"/>
      <c r="B102" s="10"/>
      <c r="C102" s="25"/>
      <c r="D102" s="25"/>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25"/>
      <c r="D103" s="25"/>
      <c r="E103" s="2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25"/>
      <c r="D104" s="25"/>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25"/>
      <c r="D105" s="25"/>
      <c r="E105" s="2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25"/>
      <c r="D106" s="25"/>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27"/>
      <c r="B107" s="10"/>
      <c r="C107" s="25"/>
      <c r="D107" s="25"/>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27"/>
      <c r="B108" s="10"/>
      <c r="C108" s="25"/>
      <c r="D108" s="25"/>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25"/>
      <c r="D109" s="25"/>
      <c r="E109" s="2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25"/>
      <c r="D110" s="25"/>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25"/>
      <c r="D111" s="25"/>
      <c r="E111" s="2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25"/>
      <c r="D112" s="25"/>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27"/>
      <c r="B113" s="10"/>
      <c r="C113" s="25"/>
      <c r="D113" s="25"/>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27"/>
      <c r="B114" s="10"/>
      <c r="C114" s="25"/>
      <c r="D114" s="25"/>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25"/>
      <c r="D115" s="25"/>
      <c r="E115" s="2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25"/>
      <c r="D116" s="25"/>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25"/>
      <c r="D117" s="25"/>
      <c r="E117" s="2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25"/>
      <c r="D118" s="25"/>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27"/>
      <c r="B119" s="10"/>
      <c r="C119" s="25"/>
      <c r="D119" s="25"/>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27"/>
      <c r="B120" s="10"/>
      <c r="C120" s="25"/>
      <c r="D120" s="25"/>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25"/>
      <c r="D121" s="25"/>
      <c r="E121" s="2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25"/>
      <c r="D122" s="25"/>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25"/>
      <c r="D123" s="25"/>
      <c r="E123" s="20"/>
      <c r="F123" s="10"/>
      <c r="O123" s="10"/>
      <c r="P123" s="10"/>
      <c r="Q123" s="10"/>
      <c r="R123" s="10"/>
      <c r="S123" s="10"/>
      <c r="T123" s="10"/>
      <c r="U123" s="10"/>
      <c r="V123" s="10"/>
      <c r="W123" s="10"/>
      <c r="X123" s="10"/>
      <c r="Y123" s="10"/>
      <c r="Z123" s="10"/>
    </row>
    <row r="124" ht="15.75" customHeight="1">
      <c r="A124" s="10"/>
      <c r="B124" s="10"/>
      <c r="C124" s="25"/>
      <c r="D124" s="25"/>
      <c r="E124" s="10"/>
      <c r="F124" s="10"/>
      <c r="O124" s="10"/>
      <c r="P124" s="10"/>
      <c r="Q124" s="10"/>
      <c r="R124" s="10"/>
      <c r="S124" s="10"/>
      <c r="T124" s="10"/>
      <c r="U124" s="10"/>
      <c r="V124" s="10"/>
      <c r="W124" s="10"/>
      <c r="X124" s="10"/>
      <c r="Y124" s="10"/>
      <c r="Z124" s="10"/>
    </row>
    <row r="125" ht="15.75" customHeight="1">
      <c r="A125" s="27"/>
      <c r="B125" s="10"/>
      <c r="C125" s="25"/>
      <c r="D125" s="25"/>
      <c r="E125" s="10"/>
      <c r="F125" s="10"/>
      <c r="O125" s="10"/>
      <c r="P125" s="10"/>
      <c r="Q125" s="10"/>
      <c r="R125" s="10"/>
      <c r="S125" s="10"/>
      <c r="T125" s="10"/>
      <c r="U125" s="10"/>
      <c r="V125" s="10"/>
      <c r="W125" s="10"/>
      <c r="X125" s="10"/>
      <c r="Y125" s="10"/>
      <c r="Z125" s="10"/>
    </row>
    <row r="126" ht="15.75" customHeight="1">
      <c r="A126" s="27"/>
      <c r="B126" s="10"/>
      <c r="C126" s="25"/>
      <c r="D126" s="25"/>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25"/>
      <c r="D127" s="25"/>
      <c r="E127" s="2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25"/>
      <c r="D128" s="25"/>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25"/>
      <c r="D129" s="25"/>
      <c r="E129" s="2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25"/>
      <c r="D130" s="25"/>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27"/>
      <c r="B131" s="10"/>
      <c r="C131" s="25"/>
      <c r="D131" s="25"/>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27"/>
      <c r="B132" s="10"/>
      <c r="C132" s="25"/>
      <c r="D132" s="25"/>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25"/>
      <c r="D133" s="25"/>
      <c r="E133" s="2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25"/>
      <c r="D134" s="25"/>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25"/>
      <c r="D135" s="25"/>
      <c r="E135" s="2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25"/>
      <c r="D136" s="25"/>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27"/>
      <c r="B137" s="10"/>
      <c r="C137" s="25"/>
      <c r="D137" s="25"/>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27"/>
      <c r="B138" s="10"/>
      <c r="C138" s="25"/>
      <c r="D138" s="25"/>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25"/>
      <c r="D139" s="25"/>
      <c r="E139" s="2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25"/>
      <c r="D140" s="25"/>
      <c r="E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25"/>
      <c r="D141" s="25"/>
      <c r="E141" s="2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25"/>
      <c r="D142" s="25"/>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27"/>
      <c r="B143" s="10"/>
      <c r="C143" s="25"/>
      <c r="D143" s="25"/>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27"/>
      <c r="B144" s="10"/>
      <c r="C144" s="25"/>
      <c r="D144" s="25"/>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25"/>
      <c r="D145" s="25"/>
      <c r="E145" s="2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25"/>
      <c r="D146" s="25"/>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25"/>
      <c r="D147" s="25"/>
      <c r="E147" s="2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25"/>
      <c r="D148" s="25"/>
      <c r="E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27"/>
      <c r="B149" s="10"/>
      <c r="C149" s="25"/>
      <c r="D149" s="25"/>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27"/>
      <c r="B150" s="10"/>
      <c r="C150" s="25"/>
      <c r="D150" s="25"/>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25"/>
      <c r="D151" s="25"/>
      <c r="E151" s="2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25"/>
      <c r="D152" s="25"/>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25"/>
      <c r="D153" s="25"/>
      <c r="E153" s="2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25"/>
      <c r="D154" s="25"/>
      <c r="E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27"/>
      <c r="B155" s="10"/>
      <c r="C155" s="25"/>
      <c r="D155" s="25"/>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27"/>
      <c r="B156" s="10"/>
      <c r="C156" s="25"/>
      <c r="D156" s="25"/>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25"/>
      <c r="D157" s="25"/>
      <c r="E157" s="2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25"/>
      <c r="D158" s="25"/>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25"/>
      <c r="D159" s="25"/>
      <c r="E159" s="2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25"/>
      <c r="D160" s="25"/>
      <c r="E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27"/>
      <c r="B162" s="10"/>
      <c r="C162" s="25"/>
      <c r="D162" s="25"/>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25"/>
      <c r="D163" s="25"/>
      <c r="E163" s="2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25"/>
      <c r="D164" s="25"/>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2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27"/>
      <c r="B166" s="10"/>
      <c r="C166" s="25"/>
      <c r="D166" s="25"/>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27"/>
      <c r="B168" s="10"/>
      <c r="C168" s="25"/>
      <c r="D168" s="25"/>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25"/>
      <c r="D169" s="25"/>
      <c r="E169" s="2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25"/>
      <c r="D170" s="25"/>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25"/>
      <c r="D171" s="25"/>
      <c r="E171" s="2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25"/>
      <c r="D172" s="25"/>
      <c r="E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27"/>
      <c r="B174" s="10"/>
      <c r="C174" s="25"/>
      <c r="D174" s="25"/>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25"/>
      <c r="D175" s="25"/>
      <c r="E175" s="2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25"/>
      <c r="D176" s="25"/>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25"/>
      <c r="D177" s="25"/>
      <c r="E177" s="2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25"/>
      <c r="D178" s="25"/>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27"/>
      <c r="B180" s="10"/>
      <c r="C180" s="25"/>
      <c r="D180" s="25"/>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0"/>
  <cols>
    <col customWidth="1" min="1" max="1" width="12.63"/>
    <col customWidth="1" min="2" max="2" width="20.5"/>
    <col customWidth="1" min="3" max="3" width="10.5"/>
    <col customWidth="1" min="4" max="7" width="12.63"/>
  </cols>
  <sheetData>
    <row r="1" ht="15.75" customHeight="1">
      <c r="A1" s="35"/>
      <c r="B1" s="36"/>
      <c r="C1" s="20"/>
      <c r="D1" s="37" t="s">
        <v>98</v>
      </c>
      <c r="E1" s="38" t="s">
        <v>99</v>
      </c>
      <c r="F1" s="39" t="s">
        <v>100</v>
      </c>
      <c r="G1" s="20"/>
      <c r="H1" s="20"/>
      <c r="L1" s="40"/>
      <c r="M1" s="41"/>
      <c r="N1" s="20"/>
      <c r="O1" s="20"/>
      <c r="P1" s="20"/>
      <c r="Q1" s="20"/>
      <c r="R1" s="20"/>
      <c r="S1" s="42"/>
      <c r="T1" s="20"/>
      <c r="U1" s="20"/>
      <c r="V1" s="20"/>
      <c r="W1" s="20"/>
      <c r="X1" s="20"/>
      <c r="Y1" s="20"/>
      <c r="Z1" s="20"/>
      <c r="AA1" s="20"/>
      <c r="AB1" s="20"/>
      <c r="AC1" s="20"/>
      <c r="AD1" s="20"/>
      <c r="AE1" s="40"/>
      <c r="AF1" s="20"/>
      <c r="AG1" s="20"/>
      <c r="AH1" s="20"/>
      <c r="AI1" s="42"/>
      <c r="AJ1" s="20"/>
      <c r="AK1" s="20"/>
      <c r="AL1" s="20"/>
      <c r="AM1" s="20"/>
      <c r="AN1" s="20"/>
      <c r="AO1" s="43"/>
      <c r="AP1" s="20"/>
      <c r="AQ1" s="20"/>
      <c r="AR1" s="20"/>
      <c r="AS1" s="20"/>
      <c r="AT1" s="41"/>
      <c r="AU1" s="20"/>
      <c r="AV1" s="20"/>
      <c r="AW1" s="20"/>
      <c r="AX1" s="20"/>
      <c r="AY1" s="42"/>
      <c r="AZ1" s="20"/>
      <c r="BA1" s="20"/>
      <c r="BB1" s="20"/>
      <c r="BC1" s="20"/>
      <c r="BD1" s="20"/>
      <c r="BE1" s="20"/>
      <c r="BF1" s="20"/>
      <c r="BG1" s="20"/>
      <c r="BH1" s="20"/>
      <c r="BI1" s="40"/>
      <c r="BJ1" s="20"/>
      <c r="BK1" s="20"/>
      <c r="BL1" s="20"/>
      <c r="BM1" s="20"/>
      <c r="BN1" s="20"/>
      <c r="BO1" s="44"/>
    </row>
    <row r="2" ht="15.75" customHeight="1">
      <c r="A2" s="35" t="s">
        <v>101</v>
      </c>
      <c r="B2" s="45"/>
      <c r="D2" s="20" t="s">
        <v>102</v>
      </c>
      <c r="E2" s="20"/>
      <c r="F2" s="20"/>
      <c r="G2" s="20" t="s">
        <v>103</v>
      </c>
      <c r="H2" s="20"/>
      <c r="I2" s="46"/>
      <c r="J2" s="46" t="s">
        <v>103</v>
      </c>
      <c r="K2" s="46"/>
      <c r="L2" s="47" t="s">
        <v>104</v>
      </c>
      <c r="M2" s="20"/>
      <c r="N2" s="20"/>
      <c r="O2" s="20"/>
      <c r="P2" s="20"/>
      <c r="Q2" s="20"/>
      <c r="R2" s="20" t="s">
        <v>103</v>
      </c>
      <c r="S2" s="42" t="s">
        <v>105</v>
      </c>
      <c r="T2" s="48" t="s">
        <v>102</v>
      </c>
      <c r="U2" s="48"/>
      <c r="V2" s="20" t="s">
        <v>103</v>
      </c>
      <c r="W2" s="20"/>
      <c r="X2" s="20"/>
      <c r="Y2" s="20"/>
      <c r="Z2" s="20"/>
      <c r="AA2" s="20"/>
      <c r="AB2" s="20"/>
      <c r="AC2" s="20"/>
      <c r="AD2" s="20"/>
      <c r="AE2" s="47" t="s">
        <v>104</v>
      </c>
      <c r="AF2" s="20"/>
      <c r="AG2" s="20" t="s">
        <v>106</v>
      </c>
      <c r="AH2" s="46"/>
      <c r="AI2" s="42" t="s">
        <v>103</v>
      </c>
      <c r="AJ2" s="20"/>
      <c r="AK2" s="46"/>
      <c r="AL2" s="46"/>
      <c r="AM2" s="46"/>
      <c r="AN2" s="49" t="s">
        <v>103</v>
      </c>
      <c r="AO2" s="43"/>
      <c r="AP2" s="46"/>
      <c r="AQ2" s="46" t="s">
        <v>102</v>
      </c>
      <c r="AR2" s="20"/>
      <c r="AS2" s="46" t="s">
        <v>107</v>
      </c>
      <c r="AT2" s="10"/>
      <c r="AU2" s="10"/>
      <c r="AV2" s="46"/>
      <c r="AW2" s="48"/>
      <c r="AX2" s="48"/>
      <c r="AY2" s="50"/>
      <c r="AZ2" s="46"/>
      <c r="BA2" s="46"/>
      <c r="BB2" s="20" t="s">
        <v>106</v>
      </c>
      <c r="BC2" s="20"/>
      <c r="BD2" s="46"/>
      <c r="BE2" s="46"/>
      <c r="BF2" s="20"/>
      <c r="BG2" s="46"/>
      <c r="BH2" s="46"/>
      <c r="BI2" s="47" t="s">
        <v>104</v>
      </c>
      <c r="BJ2" s="20" t="s">
        <v>106</v>
      </c>
      <c r="BK2" s="20" t="s">
        <v>108</v>
      </c>
      <c r="BL2" s="46"/>
      <c r="BM2" s="46"/>
      <c r="BN2" s="49"/>
      <c r="BO2" s="51" t="s">
        <v>104</v>
      </c>
    </row>
    <row r="3" ht="15.75" customHeight="1">
      <c r="A3" s="35" t="s">
        <v>109</v>
      </c>
      <c r="B3" s="45"/>
      <c r="C3" s="46"/>
      <c r="D3" s="20"/>
      <c r="E3" s="20"/>
      <c r="F3" s="20"/>
      <c r="G3" s="20"/>
      <c r="H3" s="20"/>
      <c r="I3" s="46"/>
      <c r="J3" s="46"/>
      <c r="K3" s="46"/>
      <c r="L3" s="47"/>
      <c r="M3" s="20" t="s">
        <v>110</v>
      </c>
      <c r="N3" s="20"/>
      <c r="O3" s="20"/>
      <c r="P3" s="20"/>
      <c r="Q3" s="20"/>
      <c r="R3" s="20"/>
      <c r="S3" s="42" t="s">
        <v>111</v>
      </c>
      <c r="T3" s="48"/>
      <c r="U3" s="48" t="s">
        <v>112</v>
      </c>
      <c r="V3" s="20"/>
      <c r="W3" s="20"/>
      <c r="X3" s="20"/>
      <c r="Y3" s="20"/>
      <c r="Z3" s="20"/>
      <c r="AA3" s="20"/>
      <c r="AB3" s="20"/>
      <c r="AC3" s="20"/>
      <c r="AD3" s="20"/>
      <c r="AE3" s="47"/>
      <c r="AF3" s="20"/>
      <c r="AG3" s="20"/>
      <c r="AH3" s="46" t="s">
        <v>110</v>
      </c>
      <c r="AI3" s="42"/>
      <c r="AJ3" s="20" t="s">
        <v>113</v>
      </c>
      <c r="AK3" s="46"/>
      <c r="AL3" s="46"/>
      <c r="AM3" s="46"/>
      <c r="AN3" s="20" t="s">
        <v>110</v>
      </c>
      <c r="AO3" s="43" t="s">
        <v>114</v>
      </c>
      <c r="AP3" s="46"/>
      <c r="AQ3" s="46" t="s">
        <v>115</v>
      </c>
      <c r="AR3" s="20"/>
      <c r="AS3" s="46"/>
      <c r="AT3" s="10"/>
      <c r="AU3" s="10"/>
      <c r="AV3" s="46"/>
      <c r="AW3" s="48"/>
      <c r="AX3" s="48"/>
      <c r="AY3" s="50"/>
      <c r="AZ3" s="46"/>
      <c r="BA3" s="46"/>
      <c r="BB3" s="20"/>
      <c r="BC3" s="20"/>
      <c r="BD3" s="46"/>
      <c r="BE3" s="46"/>
      <c r="BF3" s="20"/>
      <c r="BG3" s="46" t="s">
        <v>112</v>
      </c>
      <c r="BH3" s="46"/>
      <c r="BI3" s="47" t="s">
        <v>116</v>
      </c>
      <c r="BJ3" s="20"/>
      <c r="BK3" s="20"/>
      <c r="BL3" s="46" t="s">
        <v>112</v>
      </c>
      <c r="BM3" s="46"/>
      <c r="BN3" s="49"/>
      <c r="BO3" s="51"/>
    </row>
    <row r="4" ht="15.75" customHeight="1">
      <c r="A4" s="35" t="s">
        <v>117</v>
      </c>
      <c r="B4" s="45" t="s">
        <v>118</v>
      </c>
      <c r="C4" s="52" t="s">
        <v>119</v>
      </c>
      <c r="D4" s="53">
        <v>1.0</v>
      </c>
      <c r="E4" s="54">
        <v>2.0</v>
      </c>
      <c r="F4" s="54">
        <v>3.0</v>
      </c>
      <c r="G4" s="55">
        <v>4.0</v>
      </c>
      <c r="H4" s="54">
        <v>5.0</v>
      </c>
      <c r="I4" s="54">
        <v>6.0</v>
      </c>
      <c r="J4" s="56">
        <v>7.0</v>
      </c>
      <c r="K4" s="54">
        <v>8.0</v>
      </c>
      <c r="L4" s="57">
        <v>9.0</v>
      </c>
      <c r="M4" s="58">
        <v>10.0</v>
      </c>
      <c r="N4" s="54">
        <v>11.0</v>
      </c>
      <c r="O4" s="54">
        <v>12.0</v>
      </c>
      <c r="P4" s="55">
        <v>13.0</v>
      </c>
      <c r="Q4" s="54">
        <v>14.0</v>
      </c>
      <c r="R4" s="54">
        <v>15.0</v>
      </c>
      <c r="S4" s="59" t="s">
        <v>120</v>
      </c>
      <c r="T4" s="60" t="s">
        <v>121</v>
      </c>
      <c r="U4" s="61" t="s">
        <v>122</v>
      </c>
      <c r="V4" s="54">
        <v>19.0</v>
      </c>
      <c r="W4" s="55">
        <v>20.0</v>
      </c>
      <c r="X4" s="54">
        <v>21.0</v>
      </c>
      <c r="Y4" s="54">
        <v>22.0</v>
      </c>
      <c r="Z4" s="56">
        <v>23.0</v>
      </c>
      <c r="AA4" s="54">
        <v>24.0</v>
      </c>
      <c r="AB4" s="54">
        <v>25.0</v>
      </c>
      <c r="AC4" s="58">
        <v>26.0</v>
      </c>
      <c r="AD4" s="54">
        <v>27.0</v>
      </c>
      <c r="AE4" s="57">
        <v>28.0</v>
      </c>
      <c r="AF4" s="55">
        <v>29.0</v>
      </c>
      <c r="AG4" s="54">
        <v>30.0</v>
      </c>
      <c r="AH4" s="54">
        <v>31.0</v>
      </c>
      <c r="AI4" s="62">
        <v>32.0</v>
      </c>
      <c r="AJ4" s="53">
        <v>33.0</v>
      </c>
      <c r="AK4" s="54">
        <v>34.0</v>
      </c>
      <c r="AL4" s="54">
        <v>35.0</v>
      </c>
      <c r="AM4" s="55">
        <v>36.0</v>
      </c>
      <c r="AN4" s="54">
        <v>37.0</v>
      </c>
      <c r="AO4" s="63">
        <v>38.0</v>
      </c>
      <c r="AP4" s="56">
        <v>39.0</v>
      </c>
      <c r="AQ4" s="54">
        <v>40.0</v>
      </c>
      <c r="AR4" s="54">
        <v>41.0</v>
      </c>
      <c r="AS4" s="58">
        <v>42.0</v>
      </c>
      <c r="AT4" s="54">
        <v>43.0</v>
      </c>
      <c r="AU4" s="54">
        <v>44.0</v>
      </c>
      <c r="AV4" s="55">
        <v>45.0</v>
      </c>
      <c r="AW4" s="61" t="s">
        <v>123</v>
      </c>
      <c r="AX4" s="61" t="s">
        <v>124</v>
      </c>
      <c r="AY4" s="59" t="s">
        <v>125</v>
      </c>
      <c r="AZ4" s="53">
        <v>49.0</v>
      </c>
      <c r="BA4" s="54">
        <v>50.0</v>
      </c>
      <c r="BB4" s="54">
        <v>51.0</v>
      </c>
      <c r="BC4" s="55">
        <v>52.0</v>
      </c>
      <c r="BD4" s="54">
        <v>53.0</v>
      </c>
      <c r="BE4" s="54">
        <v>54.0</v>
      </c>
      <c r="BF4" s="56">
        <v>55.0</v>
      </c>
      <c r="BG4" s="54">
        <v>56.0</v>
      </c>
      <c r="BH4" s="54">
        <v>57.0</v>
      </c>
      <c r="BI4" s="64">
        <v>58.0</v>
      </c>
      <c r="BJ4" s="54">
        <v>59.0</v>
      </c>
      <c r="BK4" s="54">
        <v>60.0</v>
      </c>
      <c r="BL4" s="55">
        <v>61.0</v>
      </c>
      <c r="BM4" s="65">
        <v>62.0</v>
      </c>
      <c r="BN4" s="65">
        <v>63.0</v>
      </c>
      <c r="BO4" s="66">
        <v>64.0</v>
      </c>
    </row>
    <row r="5" ht="15.75" customHeight="1">
      <c r="A5" s="67">
        <v>45790.0</v>
      </c>
      <c r="B5" s="68" t="s">
        <v>126</v>
      </c>
      <c r="C5" s="10"/>
      <c r="D5" s="10" t="s">
        <v>127</v>
      </c>
      <c r="E5" s="10" t="s">
        <v>128</v>
      </c>
      <c r="F5" s="10" t="s">
        <v>129</v>
      </c>
      <c r="G5" s="10" t="s">
        <v>130</v>
      </c>
      <c r="H5" s="10" t="s">
        <v>131</v>
      </c>
      <c r="I5" s="10" t="s">
        <v>132</v>
      </c>
      <c r="J5" s="10" t="s">
        <v>133</v>
      </c>
      <c r="K5" s="10" t="s">
        <v>134</v>
      </c>
      <c r="L5" s="69" t="s">
        <v>135</v>
      </c>
      <c r="M5" s="10" t="s">
        <v>136</v>
      </c>
      <c r="N5" s="10" t="s">
        <v>137</v>
      </c>
      <c r="O5" s="10" t="s">
        <v>138</v>
      </c>
      <c r="P5" s="10" t="s">
        <v>139</v>
      </c>
      <c r="Q5" s="10" t="s">
        <v>140</v>
      </c>
      <c r="R5" s="10" t="s">
        <v>141</v>
      </c>
      <c r="S5" s="68" t="s">
        <v>142</v>
      </c>
      <c r="T5" s="10" t="s">
        <v>143</v>
      </c>
      <c r="U5" s="10" t="s">
        <v>144</v>
      </c>
      <c r="V5" s="10" t="s">
        <v>145</v>
      </c>
      <c r="W5" s="10" t="s">
        <v>146</v>
      </c>
      <c r="X5" s="10" t="s">
        <v>147</v>
      </c>
      <c r="Y5" s="10" t="s">
        <v>148</v>
      </c>
      <c r="Z5" s="10" t="s">
        <v>149</v>
      </c>
      <c r="AA5" s="10" t="s">
        <v>150</v>
      </c>
      <c r="AB5" s="10" t="s">
        <v>151</v>
      </c>
      <c r="AC5" s="10" t="s">
        <v>152</v>
      </c>
      <c r="AD5" s="10" t="s">
        <v>153</v>
      </c>
      <c r="AE5" s="69" t="s">
        <v>154</v>
      </c>
      <c r="AF5" s="10" t="s">
        <v>155</v>
      </c>
      <c r="AG5" s="10" t="s">
        <v>156</v>
      </c>
      <c r="AH5" s="10" t="s">
        <v>157</v>
      </c>
      <c r="AI5" s="68" t="s">
        <v>158</v>
      </c>
      <c r="AJ5" s="10" t="s">
        <v>159</v>
      </c>
      <c r="AK5" s="10" t="s">
        <v>160</v>
      </c>
      <c r="AL5" s="10" t="s">
        <v>161</v>
      </c>
      <c r="AM5" s="10" t="s">
        <v>162</v>
      </c>
      <c r="AN5" s="10" t="s">
        <v>163</v>
      </c>
      <c r="AO5" s="70" t="s">
        <v>164</v>
      </c>
      <c r="AP5" s="10" t="s">
        <v>165</v>
      </c>
      <c r="AQ5" s="10" t="s">
        <v>166</v>
      </c>
      <c r="AR5" s="10" t="s">
        <v>167</v>
      </c>
      <c r="AS5" s="10" t="s">
        <v>168</v>
      </c>
      <c r="AT5" s="10" t="s">
        <v>169</v>
      </c>
      <c r="AU5" s="10" t="s">
        <v>170</v>
      </c>
      <c r="AV5" s="10" t="s">
        <v>171</v>
      </c>
      <c r="AW5" s="10" t="s">
        <v>172</v>
      </c>
      <c r="AX5" s="10" t="s">
        <v>173</v>
      </c>
      <c r="AY5" s="68" t="s">
        <v>174</v>
      </c>
      <c r="AZ5" s="10" t="s">
        <v>175</v>
      </c>
      <c r="BA5" s="10" t="s">
        <v>176</v>
      </c>
      <c r="BB5" s="10" t="s">
        <v>177</v>
      </c>
      <c r="BC5" s="10" t="s">
        <v>178</v>
      </c>
      <c r="BD5" s="10" t="s">
        <v>179</v>
      </c>
      <c r="BE5" s="10" t="s">
        <v>180</v>
      </c>
      <c r="BF5" s="10" t="s">
        <v>181</v>
      </c>
      <c r="BG5" s="10" t="s">
        <v>182</v>
      </c>
      <c r="BH5" s="10" t="s">
        <v>183</v>
      </c>
      <c r="BI5" s="69" t="s">
        <v>184</v>
      </c>
      <c r="BJ5" s="10" t="s">
        <v>185</v>
      </c>
      <c r="BK5" s="10" t="s">
        <v>186</v>
      </c>
      <c r="BL5" s="10" t="s">
        <v>187</v>
      </c>
      <c r="BM5" s="71" t="s">
        <v>188</v>
      </c>
      <c r="BN5" s="71" t="s">
        <v>189</v>
      </c>
      <c r="BO5" s="72" t="s">
        <v>190</v>
      </c>
    </row>
    <row r="6" ht="15.75" customHeight="1">
      <c r="A6" s="73" t="s">
        <v>191</v>
      </c>
      <c r="B6" s="73"/>
      <c r="C6" s="74"/>
      <c r="D6" s="74">
        <v>7.0</v>
      </c>
      <c r="E6" s="74">
        <v>7.0</v>
      </c>
      <c r="F6" s="74">
        <v>8.0</v>
      </c>
      <c r="G6" s="74">
        <v>7.0</v>
      </c>
      <c r="H6" s="74">
        <v>6.5</v>
      </c>
      <c r="I6" s="74">
        <v>6.0</v>
      </c>
      <c r="J6" s="74">
        <v>7.0</v>
      </c>
      <c r="K6" s="74">
        <v>7.0</v>
      </c>
      <c r="L6" s="75">
        <v>9.0</v>
      </c>
      <c r="M6" s="74">
        <v>6.0</v>
      </c>
      <c r="N6" s="74">
        <v>7.0</v>
      </c>
      <c r="O6" s="74">
        <v>6.0</v>
      </c>
      <c r="P6" s="74">
        <v>6.0</v>
      </c>
      <c r="Q6" s="74">
        <v>7.0</v>
      </c>
      <c r="R6" s="74">
        <v>6.0</v>
      </c>
      <c r="S6" s="73">
        <v>8.0</v>
      </c>
      <c r="T6" s="74">
        <v>9.0</v>
      </c>
      <c r="U6" s="74">
        <v>7.0</v>
      </c>
      <c r="V6" s="74">
        <v>7.0</v>
      </c>
      <c r="W6" s="74">
        <v>6.0</v>
      </c>
      <c r="X6" s="74">
        <v>6.0</v>
      </c>
      <c r="Y6" s="74">
        <v>7.0</v>
      </c>
      <c r="Z6" s="74">
        <v>6.0</v>
      </c>
      <c r="AA6" s="74">
        <v>6.0</v>
      </c>
      <c r="AB6" s="74">
        <v>6.0</v>
      </c>
      <c r="AC6" s="74">
        <v>6.0</v>
      </c>
      <c r="AD6" s="74">
        <v>7.0</v>
      </c>
      <c r="AE6" s="75">
        <v>10.0</v>
      </c>
      <c r="AF6" s="74">
        <v>7.0</v>
      </c>
      <c r="AG6" s="74">
        <v>6.0</v>
      </c>
      <c r="AH6" s="74">
        <v>8.0</v>
      </c>
      <c r="AI6" s="73">
        <v>7.0</v>
      </c>
      <c r="AJ6" s="74">
        <v>6.0</v>
      </c>
      <c r="AK6" s="74">
        <v>6.0</v>
      </c>
      <c r="AL6" s="74">
        <v>7.0</v>
      </c>
      <c r="AM6" s="74">
        <v>6.0</v>
      </c>
      <c r="AN6" s="74">
        <v>6.0</v>
      </c>
      <c r="AO6" s="76">
        <v>6.0</v>
      </c>
      <c r="AP6" s="74">
        <v>7.0</v>
      </c>
      <c r="AQ6" s="74">
        <v>8.0</v>
      </c>
      <c r="AR6" s="74">
        <v>6.0</v>
      </c>
      <c r="AS6" s="74">
        <v>6.0</v>
      </c>
      <c r="AT6" s="74">
        <v>6.0</v>
      </c>
      <c r="AU6" s="74">
        <v>7.0</v>
      </c>
      <c r="AV6" s="74">
        <v>6.0</v>
      </c>
      <c r="AW6" s="74">
        <v>7.0</v>
      </c>
      <c r="AX6" s="74">
        <v>7.0</v>
      </c>
      <c r="AY6" s="73">
        <v>6.0</v>
      </c>
      <c r="AZ6" s="74">
        <v>7.0</v>
      </c>
      <c r="BA6" s="74">
        <v>6.0</v>
      </c>
      <c r="BB6" s="74">
        <v>8.0</v>
      </c>
      <c r="BC6" s="74">
        <v>8.0</v>
      </c>
      <c r="BD6" s="74">
        <v>7.5</v>
      </c>
      <c r="BE6" s="74">
        <v>8.0</v>
      </c>
      <c r="BF6" s="74">
        <v>8.0</v>
      </c>
      <c r="BG6" s="74">
        <v>7.0</v>
      </c>
      <c r="BH6" s="74" t="s">
        <v>192</v>
      </c>
      <c r="BI6" s="75">
        <v>8.0</v>
      </c>
      <c r="BJ6" s="74">
        <v>6.0</v>
      </c>
      <c r="BK6" s="74">
        <v>7.0</v>
      </c>
      <c r="BL6" s="74">
        <v>6.0</v>
      </c>
      <c r="BM6" s="74">
        <v>6.5</v>
      </c>
      <c r="BN6" s="74">
        <v>6.0</v>
      </c>
      <c r="BO6" s="77">
        <v>10.0</v>
      </c>
    </row>
    <row r="7" ht="15.75" customHeight="1">
      <c r="A7" s="67">
        <v>45791.0</v>
      </c>
      <c r="B7" s="68" t="s">
        <v>193</v>
      </c>
      <c r="C7" s="10"/>
      <c r="D7" s="10" t="s">
        <v>194</v>
      </c>
      <c r="E7" s="10" t="s">
        <v>195</v>
      </c>
      <c r="F7" s="10" t="s">
        <v>196</v>
      </c>
      <c r="G7" s="10" t="s">
        <v>197</v>
      </c>
      <c r="H7" s="10" t="s">
        <v>198</v>
      </c>
      <c r="I7" s="10" t="s">
        <v>199</v>
      </c>
      <c r="J7" s="10" t="s">
        <v>200</v>
      </c>
      <c r="K7" s="10" t="s">
        <v>201</v>
      </c>
      <c r="L7" s="69" t="s">
        <v>202</v>
      </c>
      <c r="M7" s="10" t="s">
        <v>203</v>
      </c>
      <c r="N7" s="10" t="s">
        <v>204</v>
      </c>
      <c r="O7" s="10" t="s">
        <v>205</v>
      </c>
      <c r="P7" s="10" t="s">
        <v>206</v>
      </c>
      <c r="Q7" s="10" t="s">
        <v>207</v>
      </c>
      <c r="R7" s="10" t="s">
        <v>208</v>
      </c>
      <c r="S7" s="68" t="s">
        <v>209</v>
      </c>
      <c r="T7" s="10" t="s">
        <v>210</v>
      </c>
      <c r="U7" s="10" t="s">
        <v>211</v>
      </c>
      <c r="V7" s="10" t="s">
        <v>212</v>
      </c>
      <c r="W7" s="10" t="s">
        <v>213</v>
      </c>
      <c r="X7" s="10" t="s">
        <v>214</v>
      </c>
      <c r="Y7" s="10" t="s">
        <v>215</v>
      </c>
      <c r="Z7" s="10" t="s">
        <v>216</v>
      </c>
      <c r="AA7" s="10" t="s">
        <v>217</v>
      </c>
      <c r="AB7" s="10" t="s">
        <v>218</v>
      </c>
      <c r="AC7" s="10" t="s">
        <v>219</v>
      </c>
      <c r="AD7" s="10" t="s">
        <v>220</v>
      </c>
      <c r="AE7" s="69" t="s">
        <v>221</v>
      </c>
      <c r="AF7" s="10" t="s">
        <v>222</v>
      </c>
      <c r="AG7" s="10" t="s">
        <v>223</v>
      </c>
      <c r="AH7" s="10" t="s">
        <v>224</v>
      </c>
      <c r="AI7" s="68" t="s">
        <v>225</v>
      </c>
      <c r="AJ7" s="10" t="s">
        <v>226</v>
      </c>
      <c r="AK7" s="10" t="s">
        <v>227</v>
      </c>
      <c r="AL7" s="10" t="s">
        <v>228</v>
      </c>
      <c r="AM7" s="10" t="s">
        <v>229</v>
      </c>
      <c r="AN7" s="10" t="s">
        <v>230</v>
      </c>
      <c r="AO7" s="70" t="s">
        <v>231</v>
      </c>
      <c r="AP7" s="10" t="s">
        <v>232</v>
      </c>
      <c r="AQ7" s="10" t="s">
        <v>233</v>
      </c>
      <c r="AR7" s="10" t="s">
        <v>234</v>
      </c>
      <c r="AS7" s="10" t="s">
        <v>235</v>
      </c>
      <c r="AT7" s="10" t="s">
        <v>236</v>
      </c>
      <c r="AU7" s="10" t="s">
        <v>237</v>
      </c>
      <c r="AV7" s="10" t="s">
        <v>215</v>
      </c>
      <c r="AW7" s="10" t="s">
        <v>238</v>
      </c>
      <c r="AX7" s="10" t="s">
        <v>239</v>
      </c>
      <c r="AY7" s="68" t="s">
        <v>240</v>
      </c>
      <c r="AZ7" s="10" t="s">
        <v>241</v>
      </c>
      <c r="BA7" s="10" t="s">
        <v>242</v>
      </c>
      <c r="BB7" s="10" t="s">
        <v>243</v>
      </c>
      <c r="BC7" s="10" t="s">
        <v>244</v>
      </c>
      <c r="BD7" s="10" t="s">
        <v>245</v>
      </c>
      <c r="BE7" s="10" t="s">
        <v>246</v>
      </c>
      <c r="BF7" s="10" t="s">
        <v>247</v>
      </c>
      <c r="BG7" s="10" t="s">
        <v>248</v>
      </c>
      <c r="BH7" s="10" t="s">
        <v>249</v>
      </c>
      <c r="BI7" s="69" t="s">
        <v>250</v>
      </c>
      <c r="BJ7" s="10" t="s">
        <v>251</v>
      </c>
      <c r="BK7" s="10" t="s">
        <v>252</v>
      </c>
      <c r="BL7" s="10" t="s">
        <v>253</v>
      </c>
      <c r="BM7" s="10" t="s">
        <v>253</v>
      </c>
      <c r="BN7" s="10" t="s">
        <v>254</v>
      </c>
      <c r="BO7" s="72" t="s">
        <v>255</v>
      </c>
    </row>
    <row r="8" ht="15.75" customHeight="1">
      <c r="A8" s="73" t="s">
        <v>256</v>
      </c>
      <c r="B8" s="78"/>
      <c r="C8" s="14"/>
      <c r="D8" s="14">
        <v>8.0</v>
      </c>
      <c r="E8" s="14">
        <v>8.5</v>
      </c>
      <c r="F8" s="14">
        <v>9.0</v>
      </c>
      <c r="G8" s="14">
        <v>8.5</v>
      </c>
      <c r="H8" s="14">
        <v>8.0</v>
      </c>
      <c r="I8" s="14">
        <v>7.0</v>
      </c>
      <c r="J8" s="14">
        <v>9.0</v>
      </c>
      <c r="K8" s="14">
        <v>8.0</v>
      </c>
      <c r="L8" s="79">
        <v>11.0</v>
      </c>
      <c r="M8" s="14">
        <v>8.0</v>
      </c>
      <c r="N8" s="14">
        <v>8.5</v>
      </c>
      <c r="O8" s="14">
        <v>7.0</v>
      </c>
      <c r="P8" s="14">
        <v>7.0</v>
      </c>
      <c r="Q8" s="14">
        <v>9.0</v>
      </c>
      <c r="R8" s="14">
        <v>7.5</v>
      </c>
      <c r="S8" s="78">
        <v>9.0</v>
      </c>
      <c r="T8" s="14">
        <v>10.0</v>
      </c>
      <c r="U8" s="14">
        <v>9.5</v>
      </c>
      <c r="V8" s="14">
        <v>8.0</v>
      </c>
      <c r="W8" s="14">
        <v>8.5</v>
      </c>
      <c r="X8" s="14">
        <v>8.0</v>
      </c>
      <c r="Y8" s="14">
        <v>8.0</v>
      </c>
      <c r="Z8" s="14">
        <v>9.0</v>
      </c>
      <c r="AA8" s="14">
        <v>9.0</v>
      </c>
      <c r="AB8" s="14">
        <v>8.0</v>
      </c>
      <c r="AC8" s="14">
        <v>9.0</v>
      </c>
      <c r="AD8" s="14">
        <v>8.0</v>
      </c>
      <c r="AE8" s="79">
        <v>11.0</v>
      </c>
      <c r="AF8" s="14">
        <v>9.0</v>
      </c>
      <c r="AG8" s="14">
        <v>8.0</v>
      </c>
      <c r="AH8" s="14">
        <v>9.0</v>
      </c>
      <c r="AI8" s="78">
        <v>8.0</v>
      </c>
      <c r="AJ8" s="14">
        <v>8.0</v>
      </c>
      <c r="AK8" s="14">
        <v>7.5</v>
      </c>
      <c r="AL8" s="14">
        <v>8.0</v>
      </c>
      <c r="AM8" s="14">
        <v>7.0</v>
      </c>
      <c r="AN8" s="14">
        <v>7.0</v>
      </c>
      <c r="AO8" s="80">
        <v>8.0</v>
      </c>
      <c r="AP8" s="14">
        <v>8.0</v>
      </c>
      <c r="AQ8" s="14">
        <v>9.5</v>
      </c>
      <c r="AR8" s="14">
        <v>7.5</v>
      </c>
      <c r="AS8" s="14">
        <v>7.0</v>
      </c>
      <c r="AT8" s="14">
        <v>7.0</v>
      </c>
      <c r="AU8" s="14">
        <v>8.0</v>
      </c>
      <c r="AV8" s="14">
        <v>7.0</v>
      </c>
      <c r="AW8" s="14">
        <v>8.0</v>
      </c>
      <c r="AX8" s="14">
        <v>8.5</v>
      </c>
      <c r="AY8" s="78">
        <v>8.0</v>
      </c>
      <c r="AZ8" s="14">
        <v>8.0</v>
      </c>
      <c r="BA8" s="14">
        <v>8.0</v>
      </c>
      <c r="BB8" s="14">
        <v>9.0</v>
      </c>
      <c r="BC8" s="14">
        <v>9.0</v>
      </c>
      <c r="BD8" s="14">
        <v>8.5</v>
      </c>
      <c r="BE8" s="14">
        <v>9.0</v>
      </c>
      <c r="BF8" s="14">
        <v>9.5</v>
      </c>
      <c r="BG8" s="14">
        <v>8.0</v>
      </c>
      <c r="BH8" s="14" t="s">
        <v>257</v>
      </c>
      <c r="BI8" s="79"/>
      <c r="BJ8" s="14">
        <v>7.5</v>
      </c>
      <c r="BK8" s="14">
        <v>8.0</v>
      </c>
      <c r="BL8" s="14">
        <v>7.0</v>
      </c>
      <c r="BM8" s="14">
        <v>7.5</v>
      </c>
      <c r="BN8" s="14">
        <v>7.0</v>
      </c>
      <c r="BO8" s="81">
        <v>12.0</v>
      </c>
    </row>
    <row r="9" ht="15.75" customHeight="1">
      <c r="A9" s="67">
        <v>45792.0</v>
      </c>
      <c r="B9" s="68" t="s">
        <v>258</v>
      </c>
      <c r="C9" s="10"/>
      <c r="D9" s="10" t="s">
        <v>259</v>
      </c>
      <c r="E9" s="10" t="s">
        <v>260</v>
      </c>
      <c r="F9" s="10" t="s">
        <v>261</v>
      </c>
      <c r="G9" s="10" t="s">
        <v>260</v>
      </c>
      <c r="H9" s="10" t="s">
        <v>262</v>
      </c>
      <c r="I9" s="10" t="s">
        <v>262</v>
      </c>
      <c r="J9" s="10" t="s">
        <v>260</v>
      </c>
      <c r="K9" s="10" t="s">
        <v>263</v>
      </c>
      <c r="L9" s="69" t="s">
        <v>264</v>
      </c>
      <c r="M9" s="10" t="s">
        <v>260</v>
      </c>
      <c r="N9" s="10" t="s">
        <v>265</v>
      </c>
      <c r="O9" s="10" t="s">
        <v>266</v>
      </c>
      <c r="P9" s="10" t="s">
        <v>260</v>
      </c>
      <c r="Q9" s="10" t="s">
        <v>267</v>
      </c>
      <c r="R9" s="10" t="s">
        <v>267</v>
      </c>
      <c r="S9" s="68" t="s">
        <v>268</v>
      </c>
      <c r="T9" s="10" t="s">
        <v>265</v>
      </c>
      <c r="U9" s="10" t="s">
        <v>267</v>
      </c>
      <c r="V9" s="10" t="s">
        <v>267</v>
      </c>
      <c r="W9" s="10" t="s">
        <v>267</v>
      </c>
      <c r="X9" s="10" t="s">
        <v>269</v>
      </c>
      <c r="Y9" s="10" t="s">
        <v>270</v>
      </c>
      <c r="Z9" s="10" t="s">
        <v>267</v>
      </c>
      <c r="AA9" s="10" t="s">
        <v>267</v>
      </c>
      <c r="AB9" s="10" t="s">
        <v>271</v>
      </c>
      <c r="AC9" s="10" t="s">
        <v>267</v>
      </c>
      <c r="AD9" s="10" t="s">
        <v>272</v>
      </c>
      <c r="AE9" s="69" t="s">
        <v>250</v>
      </c>
      <c r="AF9" s="10" t="s">
        <v>273</v>
      </c>
      <c r="AG9" s="10" t="s">
        <v>274</v>
      </c>
      <c r="AH9" s="10" t="s">
        <v>275</v>
      </c>
      <c r="AI9" s="68" t="s">
        <v>276</v>
      </c>
      <c r="AJ9" s="10" t="s">
        <v>277</v>
      </c>
      <c r="AK9" s="10" t="s">
        <v>278</v>
      </c>
      <c r="AL9" s="10" t="s">
        <v>279</v>
      </c>
      <c r="AM9" s="10" t="s">
        <v>259</v>
      </c>
      <c r="AN9" s="10" t="s">
        <v>280</v>
      </c>
      <c r="AO9" s="70" t="s">
        <v>281</v>
      </c>
      <c r="AP9" s="10" t="s">
        <v>282</v>
      </c>
      <c r="AQ9" s="10" t="s">
        <v>283</v>
      </c>
      <c r="AR9" s="10" t="s">
        <v>284</v>
      </c>
      <c r="AS9" s="10" t="s">
        <v>285</v>
      </c>
      <c r="AT9" s="10" t="s">
        <v>286</v>
      </c>
      <c r="AU9" s="10" t="s">
        <v>287</v>
      </c>
      <c r="AV9" s="10" t="s">
        <v>288</v>
      </c>
      <c r="AW9" s="10" t="s">
        <v>259</v>
      </c>
      <c r="AX9" s="10" t="s">
        <v>289</v>
      </c>
      <c r="AY9" s="68" t="s">
        <v>290</v>
      </c>
      <c r="AZ9" s="10" t="s">
        <v>291</v>
      </c>
      <c r="BA9" s="10" t="s">
        <v>292</v>
      </c>
      <c r="BB9" s="10" t="s">
        <v>293</v>
      </c>
      <c r="BC9" s="10" t="s">
        <v>294</v>
      </c>
      <c r="BD9" s="10" t="s">
        <v>295</v>
      </c>
      <c r="BE9" s="10" t="s">
        <v>296</v>
      </c>
      <c r="BF9" s="10" t="s">
        <v>297</v>
      </c>
      <c r="BG9" s="10" t="s">
        <v>298</v>
      </c>
      <c r="BH9" s="10" t="s">
        <v>299</v>
      </c>
      <c r="BI9" s="69"/>
      <c r="BJ9" s="10" t="s">
        <v>300</v>
      </c>
      <c r="BK9" s="10" t="s">
        <v>285</v>
      </c>
      <c r="BL9" s="10" t="s">
        <v>288</v>
      </c>
      <c r="BM9" s="10" t="s">
        <v>301</v>
      </c>
      <c r="BN9" s="10" t="s">
        <v>302</v>
      </c>
      <c r="BO9" s="72"/>
    </row>
    <row r="10" ht="15.75" customHeight="1">
      <c r="A10" s="73" t="s">
        <v>303</v>
      </c>
      <c r="B10" s="78"/>
      <c r="C10" s="14"/>
      <c r="D10" s="14">
        <v>9.0</v>
      </c>
      <c r="E10" s="14">
        <v>9.5</v>
      </c>
      <c r="F10" s="14">
        <v>10.0</v>
      </c>
      <c r="G10" s="14">
        <v>9.5</v>
      </c>
      <c r="H10" s="14">
        <v>9.0</v>
      </c>
      <c r="I10" s="14">
        <v>8.0</v>
      </c>
      <c r="J10" s="14">
        <v>10.0</v>
      </c>
      <c r="K10" s="14">
        <v>9.0</v>
      </c>
      <c r="L10" s="79"/>
      <c r="M10" s="14">
        <v>9.0</v>
      </c>
      <c r="N10" s="14">
        <v>9.5</v>
      </c>
      <c r="O10" s="14">
        <v>8.5</v>
      </c>
      <c r="P10" s="14">
        <v>8.0</v>
      </c>
      <c r="Q10" s="14">
        <v>10.0</v>
      </c>
      <c r="R10" s="14">
        <v>8.5</v>
      </c>
      <c r="S10" s="78">
        <v>12.5</v>
      </c>
      <c r="T10" s="14">
        <v>11.0</v>
      </c>
      <c r="U10" s="14">
        <v>10.5</v>
      </c>
      <c r="V10" s="14">
        <v>9.0</v>
      </c>
      <c r="W10" s="14">
        <v>9.5</v>
      </c>
      <c r="X10" s="14">
        <v>9.0</v>
      </c>
      <c r="Y10" s="14">
        <v>9.0</v>
      </c>
      <c r="Z10" s="14">
        <v>10.0</v>
      </c>
      <c r="AA10" s="14">
        <v>10.0</v>
      </c>
      <c r="AB10" s="14">
        <v>9.0</v>
      </c>
      <c r="AC10" s="14">
        <v>10.0</v>
      </c>
      <c r="AD10" s="14">
        <v>9.0</v>
      </c>
      <c r="AE10" s="79"/>
      <c r="AF10" s="14">
        <v>11.0</v>
      </c>
      <c r="AG10" s="14">
        <v>10.0</v>
      </c>
      <c r="AH10" s="14">
        <v>10.0</v>
      </c>
      <c r="AI10" s="78">
        <v>9.0</v>
      </c>
      <c r="AJ10" s="14">
        <v>8.0</v>
      </c>
      <c r="AK10" s="14">
        <v>8.5</v>
      </c>
      <c r="AL10" s="14">
        <v>9.0</v>
      </c>
      <c r="AM10" s="14">
        <v>8.0</v>
      </c>
      <c r="AN10" s="14">
        <v>8.0</v>
      </c>
      <c r="AO10" s="80">
        <v>9.0</v>
      </c>
      <c r="AP10" s="14">
        <v>9.0</v>
      </c>
      <c r="AQ10" s="14">
        <v>11.5</v>
      </c>
      <c r="AR10" s="14">
        <v>9.0</v>
      </c>
      <c r="AS10" s="14">
        <v>8.0</v>
      </c>
      <c r="AT10" s="14">
        <v>8.0</v>
      </c>
      <c r="AU10" s="14">
        <v>9.0</v>
      </c>
      <c r="AV10" s="14">
        <v>8.0</v>
      </c>
      <c r="AW10" s="14">
        <v>9.0</v>
      </c>
      <c r="AX10" s="14">
        <v>9.5</v>
      </c>
      <c r="AY10" s="78">
        <v>9.0</v>
      </c>
      <c r="AZ10" s="14">
        <v>9.5</v>
      </c>
      <c r="BA10" s="14">
        <v>9.0</v>
      </c>
      <c r="BB10" s="14">
        <v>10.0</v>
      </c>
      <c r="BC10" s="14">
        <v>10.0</v>
      </c>
      <c r="BD10" s="14">
        <v>9.5</v>
      </c>
      <c r="BE10" s="14">
        <v>10.0</v>
      </c>
      <c r="BF10" s="14">
        <v>10.5</v>
      </c>
      <c r="BG10" s="14">
        <v>9.0</v>
      </c>
      <c r="BH10" s="14">
        <v>11.5</v>
      </c>
      <c r="BI10" s="79"/>
      <c r="BJ10" s="14">
        <v>8.5</v>
      </c>
      <c r="BK10" s="14">
        <v>9.0</v>
      </c>
      <c r="BL10" s="14">
        <v>8.0</v>
      </c>
      <c r="BM10" s="14">
        <v>8.5</v>
      </c>
      <c r="BN10" s="14">
        <v>8.5</v>
      </c>
      <c r="BO10" s="81"/>
    </row>
    <row r="11" ht="15.75" customHeight="1">
      <c r="A11" s="67">
        <v>45793.0</v>
      </c>
      <c r="B11" s="68" t="s">
        <v>304</v>
      </c>
      <c r="C11" s="10"/>
      <c r="D11" s="10" t="s">
        <v>305</v>
      </c>
      <c r="E11" s="10" t="s">
        <v>306</v>
      </c>
      <c r="F11" s="10" t="s">
        <v>307</v>
      </c>
      <c r="G11" s="10" t="s">
        <v>308</v>
      </c>
      <c r="H11" s="10" t="s">
        <v>309</v>
      </c>
      <c r="I11" s="10" t="s">
        <v>310</v>
      </c>
      <c r="J11" s="10" t="s">
        <v>311</v>
      </c>
      <c r="K11" s="10" t="s">
        <v>312</v>
      </c>
      <c r="L11" s="69"/>
      <c r="M11" s="10" t="s">
        <v>313</v>
      </c>
      <c r="N11" s="10" t="s">
        <v>314</v>
      </c>
      <c r="O11" s="10" t="s">
        <v>315</v>
      </c>
      <c r="P11" s="10" t="s">
        <v>316</v>
      </c>
      <c r="Q11" s="10" t="s">
        <v>317</v>
      </c>
      <c r="R11" s="10" t="s">
        <v>318</v>
      </c>
      <c r="S11" s="68" t="s">
        <v>319</v>
      </c>
      <c r="T11" s="10" t="s">
        <v>320</v>
      </c>
      <c r="U11" s="10" t="s">
        <v>306</v>
      </c>
      <c r="V11" s="10" t="s">
        <v>321</v>
      </c>
      <c r="W11" s="10" t="s">
        <v>322</v>
      </c>
      <c r="X11" s="10" t="s">
        <v>323</v>
      </c>
      <c r="Y11" s="10" t="s">
        <v>324</v>
      </c>
      <c r="Z11" s="10" t="s">
        <v>325</v>
      </c>
      <c r="AA11" s="10" t="s">
        <v>326</v>
      </c>
      <c r="AB11" s="10" t="s">
        <v>327</v>
      </c>
      <c r="AC11" s="10" t="s">
        <v>328</v>
      </c>
      <c r="AD11" s="10" t="s">
        <v>272</v>
      </c>
      <c r="AE11" s="69"/>
      <c r="AF11" s="10" t="s">
        <v>329</v>
      </c>
      <c r="AG11" s="10" t="s">
        <v>330</v>
      </c>
      <c r="AH11" s="10" t="s">
        <v>331</v>
      </c>
      <c r="AI11" s="68" t="s">
        <v>332</v>
      </c>
      <c r="AJ11" s="10" t="s">
        <v>333</v>
      </c>
      <c r="AK11" s="10" t="s">
        <v>334</v>
      </c>
      <c r="AL11" s="10" t="s">
        <v>335</v>
      </c>
      <c r="AM11" s="10" t="s">
        <v>336</v>
      </c>
      <c r="AN11" s="10" t="s">
        <v>337</v>
      </c>
      <c r="AO11" s="70" t="s">
        <v>338</v>
      </c>
      <c r="AP11" s="10" t="s">
        <v>339</v>
      </c>
      <c r="AQ11" s="10" t="s">
        <v>340</v>
      </c>
      <c r="AR11" s="10" t="s">
        <v>341</v>
      </c>
      <c r="AS11" s="10" t="s">
        <v>259</v>
      </c>
      <c r="AT11" s="10" t="s">
        <v>342</v>
      </c>
      <c r="AU11" s="10" t="s">
        <v>338</v>
      </c>
      <c r="AV11" s="10" t="s">
        <v>343</v>
      </c>
      <c r="AW11" s="10" t="s">
        <v>343</v>
      </c>
      <c r="AX11" s="10" t="s">
        <v>344</v>
      </c>
      <c r="AY11" s="68" t="s">
        <v>345</v>
      </c>
      <c r="AZ11" s="10" t="s">
        <v>346</v>
      </c>
      <c r="BA11" s="10" t="s">
        <v>338</v>
      </c>
      <c r="BB11" s="10" t="s">
        <v>347</v>
      </c>
      <c r="BC11" s="10" t="s">
        <v>348</v>
      </c>
      <c r="BD11" s="10" t="s">
        <v>349</v>
      </c>
      <c r="BE11" s="10" t="s">
        <v>350</v>
      </c>
      <c r="BF11" s="10" t="s">
        <v>351</v>
      </c>
      <c r="BG11" s="10" t="s">
        <v>352</v>
      </c>
      <c r="BH11" s="10" t="s">
        <v>353</v>
      </c>
      <c r="BI11" s="69"/>
      <c r="BJ11" s="10" t="s">
        <v>354</v>
      </c>
      <c r="BK11" s="10" t="s">
        <v>355</v>
      </c>
      <c r="BL11" s="10" t="s">
        <v>356</v>
      </c>
      <c r="BM11" s="10" t="s">
        <v>334</v>
      </c>
      <c r="BN11" s="10" t="s">
        <v>357</v>
      </c>
      <c r="BO11" s="72"/>
    </row>
    <row r="12" ht="15.75" customHeight="1">
      <c r="A12" s="73" t="s">
        <v>358</v>
      </c>
      <c r="B12" s="78"/>
      <c r="C12" s="14"/>
      <c r="D12" s="14">
        <v>10.0</v>
      </c>
      <c r="E12" s="14">
        <v>10.5</v>
      </c>
      <c r="F12" s="14">
        <v>11.0</v>
      </c>
      <c r="G12" s="14">
        <v>10.5</v>
      </c>
      <c r="H12" s="14">
        <v>10.0</v>
      </c>
      <c r="I12" s="14">
        <v>9.0</v>
      </c>
      <c r="J12" s="14">
        <v>11.0</v>
      </c>
      <c r="K12" s="14">
        <v>10.0</v>
      </c>
      <c r="L12" s="79"/>
      <c r="M12" s="14">
        <v>10.0</v>
      </c>
      <c r="N12" s="14">
        <v>10.5</v>
      </c>
      <c r="O12" s="14">
        <v>9.5</v>
      </c>
      <c r="P12" s="14">
        <v>9.0</v>
      </c>
      <c r="Q12" s="14">
        <v>11.5</v>
      </c>
      <c r="R12" s="14">
        <v>9.5</v>
      </c>
      <c r="S12" s="78">
        <v>13.5</v>
      </c>
      <c r="T12" s="14">
        <v>12.0</v>
      </c>
      <c r="U12" s="14">
        <v>11.5</v>
      </c>
      <c r="V12" s="14">
        <v>10.0</v>
      </c>
      <c r="W12" s="14">
        <v>10.5</v>
      </c>
      <c r="X12" s="14">
        <v>10.0</v>
      </c>
      <c r="Y12" s="14">
        <v>10.0</v>
      </c>
      <c r="Z12" s="14">
        <v>11.0</v>
      </c>
      <c r="AA12" s="14">
        <v>11.0</v>
      </c>
      <c r="AB12" s="14">
        <v>10.0</v>
      </c>
      <c r="AC12" s="14">
        <v>11.0</v>
      </c>
      <c r="AD12" s="14">
        <v>10.0</v>
      </c>
      <c r="AE12" s="79"/>
      <c r="AF12" s="14">
        <v>12.0</v>
      </c>
      <c r="AG12" s="14">
        <v>11.0</v>
      </c>
      <c r="AH12" s="14">
        <v>11.0</v>
      </c>
      <c r="AI12" s="78">
        <v>10.0</v>
      </c>
      <c r="AJ12" s="14">
        <v>9.0</v>
      </c>
      <c r="AK12" s="14">
        <v>9.5</v>
      </c>
      <c r="AL12" s="14">
        <v>10.0</v>
      </c>
      <c r="AM12" s="14">
        <v>9.0</v>
      </c>
      <c r="AN12" s="14">
        <v>9.0</v>
      </c>
      <c r="AO12" s="80">
        <v>10.0</v>
      </c>
      <c r="AP12" s="14">
        <v>10.0</v>
      </c>
      <c r="AQ12" s="14">
        <v>12.5</v>
      </c>
      <c r="AR12" s="14">
        <v>10.0</v>
      </c>
      <c r="AS12" s="14">
        <v>9.0</v>
      </c>
      <c r="AT12" s="14">
        <v>9.0</v>
      </c>
      <c r="AU12" s="14">
        <v>10.0</v>
      </c>
      <c r="AV12" s="14">
        <v>9.0</v>
      </c>
      <c r="AW12" s="14">
        <v>10.0</v>
      </c>
      <c r="AX12" s="14">
        <v>10.5</v>
      </c>
      <c r="AY12" s="78">
        <v>10.0</v>
      </c>
      <c r="AZ12" s="14">
        <v>10.5</v>
      </c>
      <c r="BA12" s="14">
        <v>10.0</v>
      </c>
      <c r="BB12" s="14">
        <v>11.0</v>
      </c>
      <c r="BC12" s="14">
        <v>11.0</v>
      </c>
      <c r="BD12" s="14">
        <v>10.5</v>
      </c>
      <c r="BE12" s="14">
        <v>11.0</v>
      </c>
      <c r="BF12" s="14">
        <v>11.5</v>
      </c>
      <c r="BG12" s="14">
        <v>10.0</v>
      </c>
      <c r="BH12" s="14">
        <v>12.5</v>
      </c>
      <c r="BI12" s="79"/>
      <c r="BJ12" s="14">
        <v>9.5</v>
      </c>
      <c r="BK12" s="14">
        <v>10.0</v>
      </c>
      <c r="BL12" s="14">
        <v>9.0</v>
      </c>
      <c r="BM12" s="14">
        <v>9.5</v>
      </c>
      <c r="BN12" s="14">
        <v>9.5</v>
      </c>
      <c r="BO12" s="81"/>
    </row>
    <row r="13" ht="15.75" customHeight="1">
      <c r="A13" s="67">
        <v>45794.0</v>
      </c>
      <c r="B13" s="68" t="s">
        <v>359</v>
      </c>
      <c r="C13" s="10"/>
      <c r="D13" s="10" t="s">
        <v>360</v>
      </c>
      <c r="E13" s="10" t="s">
        <v>361</v>
      </c>
      <c r="F13" s="10" t="s">
        <v>362</v>
      </c>
      <c r="G13" s="10" t="s">
        <v>363</v>
      </c>
      <c r="H13" s="10" t="s">
        <v>364</v>
      </c>
      <c r="I13" s="10" t="s">
        <v>365</v>
      </c>
      <c r="J13" s="10" t="s">
        <v>366</v>
      </c>
      <c r="K13" s="10" t="s">
        <v>325</v>
      </c>
      <c r="L13" s="69"/>
      <c r="M13" s="10" t="s">
        <v>367</v>
      </c>
      <c r="N13" s="10" t="s">
        <v>368</v>
      </c>
      <c r="O13" s="10" t="s">
        <v>361</v>
      </c>
      <c r="P13" s="10" t="s">
        <v>361</v>
      </c>
      <c r="Q13" s="10" t="s">
        <v>369</v>
      </c>
      <c r="R13" s="10" t="s">
        <v>361</v>
      </c>
      <c r="S13" s="68" t="s">
        <v>370</v>
      </c>
      <c r="T13" s="10" t="s">
        <v>371</v>
      </c>
      <c r="U13" s="10" t="s">
        <v>372</v>
      </c>
      <c r="V13" s="10" t="s">
        <v>373</v>
      </c>
      <c r="W13" s="10" t="s">
        <v>374</v>
      </c>
      <c r="X13" s="10" t="s">
        <v>375</v>
      </c>
      <c r="Y13" s="10" t="s">
        <v>375</v>
      </c>
      <c r="Z13" s="10" t="s">
        <v>376</v>
      </c>
      <c r="AA13" s="10" t="s">
        <v>361</v>
      </c>
      <c r="AB13" s="10" t="s">
        <v>319</v>
      </c>
      <c r="AC13" s="10" t="s">
        <v>377</v>
      </c>
      <c r="AD13" s="10" t="s">
        <v>378</v>
      </c>
      <c r="AE13" s="69"/>
      <c r="AF13" s="10" t="s">
        <v>361</v>
      </c>
      <c r="AG13" s="10" t="s">
        <v>379</v>
      </c>
      <c r="AH13" s="10" t="s">
        <v>380</v>
      </c>
      <c r="AI13" s="68" t="s">
        <v>381</v>
      </c>
      <c r="AJ13" s="10" t="s">
        <v>382</v>
      </c>
      <c r="AK13" s="10" t="s">
        <v>383</v>
      </c>
      <c r="AL13" s="10" t="s">
        <v>384</v>
      </c>
      <c r="AM13" s="10" t="s">
        <v>385</v>
      </c>
      <c r="AN13" s="10" t="s">
        <v>386</v>
      </c>
      <c r="AO13" s="70" t="s">
        <v>259</v>
      </c>
      <c r="AP13" s="10" t="s">
        <v>387</v>
      </c>
      <c r="AQ13" s="10" t="s">
        <v>388</v>
      </c>
      <c r="AR13" s="10" t="s">
        <v>334</v>
      </c>
      <c r="AS13" s="10" t="s">
        <v>389</v>
      </c>
      <c r="AT13" s="10" t="s">
        <v>390</v>
      </c>
      <c r="AU13" s="10" t="s">
        <v>391</v>
      </c>
      <c r="AV13" s="10" t="s">
        <v>392</v>
      </c>
      <c r="AW13" s="10" t="s">
        <v>393</v>
      </c>
      <c r="AX13" s="10" t="s">
        <v>394</v>
      </c>
      <c r="AY13" s="68" t="s">
        <v>395</v>
      </c>
      <c r="AZ13" s="10" t="s">
        <v>396</v>
      </c>
      <c r="BA13" s="10" t="s">
        <v>397</v>
      </c>
      <c r="BB13" s="10" t="s">
        <v>398</v>
      </c>
      <c r="BC13" s="10" t="s">
        <v>399</v>
      </c>
      <c r="BD13" s="10" t="s">
        <v>400</v>
      </c>
      <c r="BE13" s="10" t="s">
        <v>401</v>
      </c>
      <c r="BF13" s="10" t="s">
        <v>402</v>
      </c>
      <c r="BG13" s="10" t="s">
        <v>403</v>
      </c>
      <c r="BH13" s="10" t="s">
        <v>404</v>
      </c>
      <c r="BI13" s="69"/>
      <c r="BJ13" s="10" t="s">
        <v>405</v>
      </c>
      <c r="BK13" s="10" t="s">
        <v>292</v>
      </c>
      <c r="BL13" s="10" t="s">
        <v>292</v>
      </c>
      <c r="BM13" s="10" t="s">
        <v>406</v>
      </c>
      <c r="BN13" s="10" t="s">
        <v>407</v>
      </c>
      <c r="BO13" s="72"/>
    </row>
    <row r="14" ht="15.75" customHeight="1">
      <c r="A14" s="73" t="s">
        <v>408</v>
      </c>
      <c r="B14" s="78"/>
      <c r="C14" s="14"/>
      <c r="D14" s="14">
        <v>11.0</v>
      </c>
      <c r="E14" s="14">
        <v>11.5</v>
      </c>
      <c r="F14" s="14">
        <v>12.0</v>
      </c>
      <c r="G14" s="14">
        <v>11.5</v>
      </c>
      <c r="H14" s="14">
        <v>11.0</v>
      </c>
      <c r="I14" s="14">
        <v>10.0</v>
      </c>
      <c r="J14" s="14">
        <v>12.0</v>
      </c>
      <c r="K14" s="14">
        <v>11.0</v>
      </c>
      <c r="L14" s="79"/>
      <c r="M14" s="14">
        <v>11.0</v>
      </c>
      <c r="N14" s="14">
        <v>11.5</v>
      </c>
      <c r="O14" s="14">
        <v>10.5</v>
      </c>
      <c r="P14" s="14">
        <v>10.0</v>
      </c>
      <c r="Q14" s="14">
        <v>12.5</v>
      </c>
      <c r="R14" s="14">
        <v>10.5</v>
      </c>
      <c r="S14" s="78">
        <v>14.5</v>
      </c>
      <c r="T14" s="14">
        <v>13.0</v>
      </c>
      <c r="U14" s="14">
        <v>12.5</v>
      </c>
      <c r="V14" s="14">
        <v>11.0</v>
      </c>
      <c r="W14" s="14">
        <v>11.5</v>
      </c>
      <c r="X14" s="14">
        <v>11.0</v>
      </c>
      <c r="Y14" s="14">
        <v>11.0</v>
      </c>
      <c r="Z14" s="14">
        <v>12.0</v>
      </c>
      <c r="AA14" s="14">
        <v>12.0</v>
      </c>
      <c r="AB14" s="14">
        <v>11.0</v>
      </c>
      <c r="AC14" s="14">
        <v>12.0</v>
      </c>
      <c r="AD14" s="14">
        <v>11.0</v>
      </c>
      <c r="AE14" s="79"/>
      <c r="AF14" s="14">
        <v>13.0</v>
      </c>
      <c r="AG14" s="14">
        <v>12.0</v>
      </c>
      <c r="AH14" s="14">
        <v>12.0</v>
      </c>
      <c r="AI14" s="78">
        <v>11.0</v>
      </c>
      <c r="AJ14" s="14">
        <v>10.0</v>
      </c>
      <c r="AK14" s="14">
        <v>10.5</v>
      </c>
      <c r="AL14" s="14">
        <v>11.0</v>
      </c>
      <c r="AM14" s="14">
        <v>10.0</v>
      </c>
      <c r="AN14" s="14">
        <v>10.0</v>
      </c>
      <c r="AO14" s="80">
        <v>11.0</v>
      </c>
      <c r="AP14" s="14">
        <v>11.0</v>
      </c>
      <c r="AQ14" s="14">
        <v>13.5</v>
      </c>
      <c r="AR14" s="14">
        <v>11.0</v>
      </c>
      <c r="AS14" s="14">
        <v>10.0</v>
      </c>
      <c r="AT14" s="14">
        <v>10.0</v>
      </c>
      <c r="AU14" s="14">
        <v>11.0</v>
      </c>
      <c r="AV14" s="14">
        <v>10.0</v>
      </c>
      <c r="AW14" s="14">
        <v>11.0</v>
      </c>
      <c r="AX14" s="14">
        <v>11.5</v>
      </c>
      <c r="AY14" s="78">
        <v>11.0</v>
      </c>
      <c r="AZ14" s="14">
        <v>11.5</v>
      </c>
      <c r="BA14" s="14">
        <v>11.0</v>
      </c>
      <c r="BB14" s="14">
        <v>12.0</v>
      </c>
      <c r="BC14" s="14">
        <v>12.0</v>
      </c>
      <c r="BD14" s="14">
        <v>11.5</v>
      </c>
      <c r="BE14" s="14">
        <v>12.0</v>
      </c>
      <c r="BF14" s="14">
        <v>12.5</v>
      </c>
      <c r="BG14" s="14">
        <v>11.0</v>
      </c>
      <c r="BH14" s="14">
        <v>13.5</v>
      </c>
      <c r="BI14" s="79"/>
      <c r="BJ14" s="14">
        <v>10.5</v>
      </c>
      <c r="BK14" s="14">
        <v>11.0</v>
      </c>
      <c r="BL14" s="14">
        <v>10.0</v>
      </c>
      <c r="BM14" s="14">
        <v>10.5</v>
      </c>
      <c r="BN14" s="14">
        <v>10.5</v>
      </c>
      <c r="BO14" s="81"/>
    </row>
    <row r="15" ht="15.75" customHeight="1">
      <c r="A15" s="82">
        <v>45796.0</v>
      </c>
      <c r="B15" s="68" t="s">
        <v>409</v>
      </c>
      <c r="C15" s="10"/>
      <c r="D15" s="10" t="s">
        <v>410</v>
      </c>
      <c r="E15" s="10" t="s">
        <v>410</v>
      </c>
      <c r="F15" s="10" t="s">
        <v>411</v>
      </c>
      <c r="G15" s="10" t="s">
        <v>410</v>
      </c>
      <c r="H15" s="10" t="s">
        <v>412</v>
      </c>
      <c r="I15" s="10" t="s">
        <v>410</v>
      </c>
      <c r="J15" s="10" t="s">
        <v>413</v>
      </c>
      <c r="K15" s="10" t="s">
        <v>414</v>
      </c>
      <c r="L15" s="69"/>
      <c r="M15" s="10" t="s">
        <v>415</v>
      </c>
      <c r="N15" s="10" t="s">
        <v>410</v>
      </c>
      <c r="O15" s="10" t="s">
        <v>416</v>
      </c>
      <c r="P15" s="10" t="s">
        <v>417</v>
      </c>
      <c r="Q15" s="10" t="s">
        <v>418</v>
      </c>
      <c r="R15" s="10" t="s">
        <v>419</v>
      </c>
      <c r="S15" s="68" t="s">
        <v>420</v>
      </c>
      <c r="T15" s="10" t="s">
        <v>421</v>
      </c>
      <c r="U15" s="10" t="s">
        <v>410</v>
      </c>
      <c r="V15" s="10" t="s">
        <v>422</v>
      </c>
      <c r="W15" s="10" t="s">
        <v>422</v>
      </c>
      <c r="X15" s="10" t="s">
        <v>423</v>
      </c>
      <c r="Y15" s="10" t="s">
        <v>424</v>
      </c>
      <c r="Z15" s="10" t="s">
        <v>413</v>
      </c>
      <c r="AA15" s="10" t="s">
        <v>425</v>
      </c>
      <c r="AB15" s="10" t="s">
        <v>426</v>
      </c>
      <c r="AC15" s="10" t="s">
        <v>427</v>
      </c>
      <c r="AD15" s="10" t="s">
        <v>428</v>
      </c>
      <c r="AE15" s="69"/>
      <c r="AF15" s="10" t="s">
        <v>429</v>
      </c>
      <c r="AG15" s="10" t="s">
        <v>421</v>
      </c>
      <c r="AH15" s="10" t="s">
        <v>410</v>
      </c>
      <c r="AI15" s="68" t="s">
        <v>430</v>
      </c>
      <c r="AJ15" s="10" t="s">
        <v>431</v>
      </c>
      <c r="AK15" s="10" t="s">
        <v>432</v>
      </c>
      <c r="AL15" s="10" t="s">
        <v>433</v>
      </c>
      <c r="AM15" s="10" t="s">
        <v>434</v>
      </c>
      <c r="AN15" s="10" t="s">
        <v>435</v>
      </c>
      <c r="AO15" s="70" t="s">
        <v>436</v>
      </c>
      <c r="AP15" s="10" t="s">
        <v>437</v>
      </c>
      <c r="AQ15" s="10" t="s">
        <v>438</v>
      </c>
      <c r="AR15" s="10" t="s">
        <v>439</v>
      </c>
      <c r="AS15" s="10" t="s">
        <v>434</v>
      </c>
      <c r="AT15" s="10" t="s">
        <v>431</v>
      </c>
      <c r="AU15" s="10" t="s">
        <v>434</v>
      </c>
      <c r="AV15" s="10" t="s">
        <v>440</v>
      </c>
      <c r="AW15" s="10" t="s">
        <v>441</v>
      </c>
      <c r="AX15" s="10" t="s">
        <v>441</v>
      </c>
      <c r="AY15" s="68" t="s">
        <v>442</v>
      </c>
      <c r="AZ15" s="10" t="s">
        <v>443</v>
      </c>
      <c r="BA15" s="10" t="s">
        <v>444</v>
      </c>
      <c r="BB15" s="10" t="s">
        <v>445</v>
      </c>
      <c r="BC15" s="10" t="s">
        <v>446</v>
      </c>
      <c r="BD15" s="10" t="s">
        <v>447</v>
      </c>
      <c r="BE15" s="10" t="s">
        <v>448</v>
      </c>
      <c r="BF15" s="10" t="s">
        <v>449</v>
      </c>
      <c r="BG15" s="10" t="s">
        <v>450</v>
      </c>
      <c r="BH15" s="10" t="s">
        <v>451</v>
      </c>
      <c r="BI15" s="69"/>
      <c r="BJ15" s="10" t="s">
        <v>452</v>
      </c>
      <c r="BK15" s="10" t="s">
        <v>453</v>
      </c>
      <c r="BL15" s="10" t="s">
        <v>454</v>
      </c>
      <c r="BM15" s="10" t="s">
        <v>455</v>
      </c>
      <c r="BN15" s="10" t="s">
        <v>456</v>
      </c>
      <c r="BO15" s="72"/>
    </row>
    <row r="16" ht="15.75" customHeight="1">
      <c r="A16" s="73" t="s">
        <v>457</v>
      </c>
      <c r="B16" s="78"/>
      <c r="C16" s="14"/>
      <c r="D16" s="14">
        <v>11.5</v>
      </c>
      <c r="E16" s="14">
        <v>12.0</v>
      </c>
      <c r="F16" s="14">
        <v>12.5</v>
      </c>
      <c r="G16" s="14">
        <v>12.0</v>
      </c>
      <c r="H16" s="14">
        <v>11.5</v>
      </c>
      <c r="I16" s="14">
        <v>10.5</v>
      </c>
      <c r="J16" s="14">
        <v>12.5</v>
      </c>
      <c r="K16" s="14">
        <v>11.0</v>
      </c>
      <c r="L16" s="79"/>
      <c r="M16" s="14">
        <v>11.5</v>
      </c>
      <c r="N16" s="14">
        <v>12.0</v>
      </c>
      <c r="O16" s="14">
        <v>11.5</v>
      </c>
      <c r="P16" s="14">
        <v>10.5</v>
      </c>
      <c r="Q16" s="14">
        <v>13.0</v>
      </c>
      <c r="R16" s="14">
        <v>11.0</v>
      </c>
      <c r="S16" s="78">
        <v>14.0</v>
      </c>
      <c r="T16" s="14">
        <v>13.5</v>
      </c>
      <c r="U16" s="14">
        <v>13.0</v>
      </c>
      <c r="V16" s="14">
        <v>11.5</v>
      </c>
      <c r="W16" s="14">
        <v>12.0</v>
      </c>
      <c r="X16" s="14">
        <v>11.5</v>
      </c>
      <c r="Y16" s="14">
        <v>11.5</v>
      </c>
      <c r="Z16" s="14">
        <v>12.5</v>
      </c>
      <c r="AA16" s="14">
        <v>12.5</v>
      </c>
      <c r="AB16" s="14">
        <v>12.0</v>
      </c>
      <c r="AC16" s="14">
        <v>12.75</v>
      </c>
      <c r="AD16" s="14">
        <v>11.5</v>
      </c>
      <c r="AE16" s="79"/>
      <c r="AF16" s="14">
        <v>13.0</v>
      </c>
      <c r="AG16" s="14">
        <v>12.5</v>
      </c>
      <c r="AH16" s="14">
        <v>12.5</v>
      </c>
      <c r="AI16" s="78">
        <v>11.5</v>
      </c>
      <c r="AJ16" s="14">
        <v>10.5</v>
      </c>
      <c r="AK16" s="14">
        <v>11.5</v>
      </c>
      <c r="AL16" s="14">
        <v>11.5</v>
      </c>
      <c r="AM16" s="14">
        <v>11.0</v>
      </c>
      <c r="AN16" s="14">
        <v>10.5</v>
      </c>
      <c r="AO16" s="80">
        <v>12.0</v>
      </c>
      <c r="AP16" s="14">
        <v>11.5</v>
      </c>
      <c r="AQ16" s="14">
        <v>13.5</v>
      </c>
      <c r="AR16" s="14">
        <v>11.5</v>
      </c>
      <c r="AS16" s="14">
        <v>11.0</v>
      </c>
      <c r="AT16" s="14">
        <v>10.5</v>
      </c>
      <c r="AU16" s="14">
        <v>12.0</v>
      </c>
      <c r="AV16" s="14">
        <v>10.5</v>
      </c>
      <c r="AW16" s="14">
        <v>11.5</v>
      </c>
      <c r="AX16" s="14">
        <v>12.0</v>
      </c>
      <c r="AY16" s="78">
        <v>12.0</v>
      </c>
      <c r="AZ16" s="14">
        <v>12.0</v>
      </c>
      <c r="BA16" s="14">
        <v>12.0</v>
      </c>
      <c r="BB16" s="14">
        <v>13.0</v>
      </c>
      <c r="BC16" s="14">
        <v>13.0</v>
      </c>
      <c r="BD16" s="14">
        <v>12.5</v>
      </c>
      <c r="BE16" s="14">
        <v>13.0</v>
      </c>
      <c r="BF16" s="14">
        <v>13.0</v>
      </c>
      <c r="BG16" s="14">
        <v>11.5</v>
      </c>
      <c r="BH16" s="14">
        <v>14.0</v>
      </c>
      <c r="BI16" s="79"/>
      <c r="BJ16" s="14">
        <v>11.0</v>
      </c>
      <c r="BK16" s="14">
        <v>11.5</v>
      </c>
      <c r="BL16" s="14">
        <v>10.5</v>
      </c>
      <c r="BM16" s="14">
        <v>11.5</v>
      </c>
      <c r="BN16" s="14">
        <v>11.5</v>
      </c>
      <c r="BO16" s="81"/>
    </row>
    <row r="17" ht="15.75" customHeight="1">
      <c r="A17" s="67">
        <v>45797.0</v>
      </c>
      <c r="B17" s="68" t="s">
        <v>458</v>
      </c>
      <c r="C17" s="10"/>
      <c r="D17" s="10" t="s">
        <v>428</v>
      </c>
      <c r="E17" s="10" t="s">
        <v>459</v>
      </c>
      <c r="F17" s="10" t="s">
        <v>412</v>
      </c>
      <c r="G17" s="10" t="s">
        <v>460</v>
      </c>
      <c r="H17" s="10" t="s">
        <v>410</v>
      </c>
      <c r="I17" s="10" t="s">
        <v>416</v>
      </c>
      <c r="J17" s="10" t="s">
        <v>461</v>
      </c>
      <c r="K17" s="10" t="s">
        <v>414</v>
      </c>
      <c r="L17" s="69"/>
      <c r="M17" s="10" t="s">
        <v>412</v>
      </c>
      <c r="N17" s="10" t="s">
        <v>459</v>
      </c>
      <c r="O17" s="10" t="s">
        <v>462</v>
      </c>
      <c r="P17" s="10" t="s">
        <v>428</v>
      </c>
      <c r="Q17" s="10" t="s">
        <v>463</v>
      </c>
      <c r="R17" s="10" t="s">
        <v>418</v>
      </c>
      <c r="S17" s="68" t="s">
        <v>464</v>
      </c>
      <c r="T17" s="10" t="s">
        <v>465</v>
      </c>
      <c r="U17" s="10" t="s">
        <v>464</v>
      </c>
      <c r="V17" s="10" t="s">
        <v>419</v>
      </c>
      <c r="W17" s="10" t="s">
        <v>466</v>
      </c>
      <c r="X17" s="10" t="s">
        <v>467</v>
      </c>
      <c r="Y17" s="10" t="s">
        <v>461</v>
      </c>
      <c r="Z17" s="10" t="s">
        <v>468</v>
      </c>
      <c r="AA17" s="10" t="s">
        <v>468</v>
      </c>
      <c r="AB17" s="10" t="s">
        <v>469</v>
      </c>
      <c r="AC17" s="10" t="s">
        <v>470</v>
      </c>
      <c r="AD17" s="10" t="s">
        <v>471</v>
      </c>
      <c r="AE17" s="69"/>
      <c r="AF17" s="10" t="s">
        <v>472</v>
      </c>
      <c r="AG17" s="10" t="s">
        <v>473</v>
      </c>
      <c r="AH17" s="10" t="s">
        <v>474</v>
      </c>
      <c r="AI17" s="68" t="s">
        <v>410</v>
      </c>
      <c r="AJ17" s="10" t="s">
        <v>475</v>
      </c>
      <c r="AK17" s="10" t="s">
        <v>441</v>
      </c>
      <c r="AL17" s="10" t="s">
        <v>476</v>
      </c>
      <c r="AM17" s="10" t="s">
        <v>477</v>
      </c>
      <c r="AN17" s="10" t="s">
        <v>478</v>
      </c>
      <c r="AO17" s="70" t="s">
        <v>441</v>
      </c>
      <c r="AP17" s="10" t="s">
        <v>479</v>
      </c>
      <c r="AQ17" s="10" t="s">
        <v>438</v>
      </c>
      <c r="AR17" s="10" t="s">
        <v>480</v>
      </c>
      <c r="AS17" s="10" t="s">
        <v>481</v>
      </c>
      <c r="AT17" s="10" t="s">
        <v>482</v>
      </c>
      <c r="AU17" s="10" t="s">
        <v>483</v>
      </c>
      <c r="AV17" s="10" t="s">
        <v>484</v>
      </c>
      <c r="AW17" s="10" t="s">
        <v>431</v>
      </c>
      <c r="AX17" s="10" t="s">
        <v>441</v>
      </c>
      <c r="AY17" s="68" t="s">
        <v>441</v>
      </c>
      <c r="AZ17" s="10" t="s">
        <v>485</v>
      </c>
      <c r="BA17" s="10" t="s">
        <v>486</v>
      </c>
      <c r="BB17" s="10" t="s">
        <v>487</v>
      </c>
      <c r="BC17" s="10" t="s">
        <v>488</v>
      </c>
      <c r="BD17" s="10" t="s">
        <v>489</v>
      </c>
      <c r="BE17" s="10" t="s">
        <v>490</v>
      </c>
      <c r="BF17" s="10" t="s">
        <v>491</v>
      </c>
      <c r="BG17" s="10" t="s">
        <v>492</v>
      </c>
      <c r="BH17" s="10" t="s">
        <v>493</v>
      </c>
      <c r="BI17" s="69"/>
      <c r="BJ17" s="10" t="s">
        <v>494</v>
      </c>
      <c r="BK17" s="10" t="s">
        <v>441</v>
      </c>
      <c r="BL17" s="10" t="s">
        <v>495</v>
      </c>
      <c r="BM17" s="10" t="s">
        <v>496</v>
      </c>
      <c r="BN17" s="10" t="s">
        <v>497</v>
      </c>
      <c r="BO17" s="72"/>
    </row>
    <row r="18" ht="15.75" customHeight="1">
      <c r="A18" s="73" t="s">
        <v>498</v>
      </c>
      <c r="B18" s="78"/>
      <c r="C18" s="14"/>
      <c r="D18" s="14">
        <v>12.0</v>
      </c>
      <c r="E18" s="14">
        <v>12.5</v>
      </c>
      <c r="F18" s="14">
        <v>13.0</v>
      </c>
      <c r="G18" s="14">
        <v>12.5</v>
      </c>
      <c r="H18" s="14">
        <v>12.0</v>
      </c>
      <c r="I18" s="14">
        <v>11.5</v>
      </c>
      <c r="J18" s="14">
        <v>13.0</v>
      </c>
      <c r="K18" s="14">
        <v>11.0</v>
      </c>
      <c r="L18" s="79"/>
      <c r="M18" s="14">
        <v>12.0</v>
      </c>
      <c r="N18" s="14">
        <v>12.5</v>
      </c>
      <c r="O18" s="14">
        <v>12.0</v>
      </c>
      <c r="P18" s="14">
        <v>11.0</v>
      </c>
      <c r="Q18" s="14">
        <v>13.0</v>
      </c>
      <c r="R18" s="14">
        <v>11.5</v>
      </c>
      <c r="S18" s="78">
        <v>14.0</v>
      </c>
      <c r="T18" s="14">
        <v>14.0</v>
      </c>
      <c r="U18" s="14">
        <v>13.0</v>
      </c>
      <c r="V18" s="14">
        <v>12.0</v>
      </c>
      <c r="W18" s="14">
        <v>12.5</v>
      </c>
      <c r="X18" s="14">
        <v>12.0</v>
      </c>
      <c r="Y18" s="14">
        <v>12.0</v>
      </c>
      <c r="Z18" s="14">
        <v>12.5</v>
      </c>
      <c r="AA18" s="14">
        <v>12.5</v>
      </c>
      <c r="AB18" s="14">
        <v>12.5</v>
      </c>
      <c r="AC18" s="14">
        <v>13.0</v>
      </c>
      <c r="AD18" s="14">
        <v>11.5</v>
      </c>
      <c r="AE18" s="79"/>
      <c r="AF18" s="14">
        <v>13.25</v>
      </c>
      <c r="AG18" s="14">
        <v>12.75</v>
      </c>
      <c r="AH18" s="14">
        <v>13.0</v>
      </c>
      <c r="AI18" s="78">
        <v>12.0</v>
      </c>
      <c r="AJ18" s="14">
        <v>11.5</v>
      </c>
      <c r="AK18" s="14">
        <v>12.0</v>
      </c>
      <c r="AL18" s="14">
        <v>12.0</v>
      </c>
      <c r="AM18" s="14">
        <v>12.0</v>
      </c>
      <c r="AN18" s="14">
        <v>11.0</v>
      </c>
      <c r="AO18" s="80">
        <v>12.5</v>
      </c>
      <c r="AP18" s="14">
        <v>11.5</v>
      </c>
      <c r="AQ18" s="14">
        <v>13.5</v>
      </c>
      <c r="AR18" s="14">
        <v>12.5</v>
      </c>
      <c r="AS18" s="14">
        <v>11.5</v>
      </c>
      <c r="AT18" s="14">
        <v>11.5</v>
      </c>
      <c r="AU18" s="14">
        <v>12.5</v>
      </c>
      <c r="AV18" s="14">
        <v>11.5</v>
      </c>
      <c r="AW18" s="14">
        <v>12.0</v>
      </c>
      <c r="AX18" s="14">
        <v>12.5</v>
      </c>
      <c r="AY18" s="78">
        <v>12.5</v>
      </c>
      <c r="AZ18" s="14">
        <v>12.5</v>
      </c>
      <c r="BA18" s="14">
        <v>12.5</v>
      </c>
      <c r="BB18" s="14">
        <v>13.25</v>
      </c>
      <c r="BC18" s="14">
        <v>13.5</v>
      </c>
      <c r="BD18" s="14">
        <v>13.0</v>
      </c>
      <c r="BE18" s="14">
        <v>13.5</v>
      </c>
      <c r="BF18" s="14">
        <v>13.5</v>
      </c>
      <c r="BG18" s="14">
        <v>12.0</v>
      </c>
      <c r="BH18" s="14">
        <v>14.0</v>
      </c>
      <c r="BI18" s="79"/>
      <c r="BJ18" s="14">
        <v>12.0</v>
      </c>
      <c r="BK18" s="14">
        <v>12.0</v>
      </c>
      <c r="BL18" s="14">
        <v>11.5</v>
      </c>
      <c r="BM18" s="14">
        <v>12.0</v>
      </c>
      <c r="BN18" s="14">
        <v>11.5</v>
      </c>
      <c r="BO18" s="81"/>
    </row>
    <row r="19" ht="15.75" customHeight="1">
      <c r="A19" s="67">
        <v>45798.0</v>
      </c>
      <c r="B19" s="68" t="s">
        <v>458</v>
      </c>
      <c r="C19" s="10"/>
      <c r="D19" s="10" t="s">
        <v>431</v>
      </c>
      <c r="E19" s="10" t="s">
        <v>428</v>
      </c>
      <c r="F19" s="10" t="s">
        <v>499</v>
      </c>
      <c r="G19" s="10" t="s">
        <v>410</v>
      </c>
      <c r="H19" s="10" t="s">
        <v>500</v>
      </c>
      <c r="I19" s="10" t="s">
        <v>501</v>
      </c>
      <c r="J19" s="10" t="s">
        <v>502</v>
      </c>
      <c r="K19" s="10" t="s">
        <v>414</v>
      </c>
      <c r="L19" s="69"/>
      <c r="M19" s="10" t="s">
        <v>503</v>
      </c>
      <c r="N19" s="10" t="s">
        <v>504</v>
      </c>
      <c r="O19" s="10" t="s">
        <v>505</v>
      </c>
      <c r="P19" s="10" t="s">
        <v>506</v>
      </c>
      <c r="Q19" s="10" t="s">
        <v>507</v>
      </c>
      <c r="R19" s="10" t="s">
        <v>508</v>
      </c>
      <c r="S19" s="68" t="s">
        <v>509</v>
      </c>
      <c r="T19" s="10" t="s">
        <v>510</v>
      </c>
      <c r="U19" s="10" t="s">
        <v>511</v>
      </c>
      <c r="V19" s="10" t="s">
        <v>512</v>
      </c>
      <c r="W19" s="10" t="s">
        <v>513</v>
      </c>
      <c r="X19" s="10" t="s">
        <v>514</v>
      </c>
      <c r="Y19" s="10" t="s">
        <v>410</v>
      </c>
      <c r="Z19" s="10" t="s">
        <v>515</v>
      </c>
      <c r="AA19" s="10" t="s">
        <v>515</v>
      </c>
      <c r="AB19" s="10" t="s">
        <v>441</v>
      </c>
      <c r="AC19" s="10" t="s">
        <v>516</v>
      </c>
      <c r="AD19" s="10" t="s">
        <v>517</v>
      </c>
      <c r="AE19" s="69"/>
      <c r="AF19" s="10" t="s">
        <v>518</v>
      </c>
      <c r="AG19" s="10" t="s">
        <v>519</v>
      </c>
      <c r="AH19" s="10" t="s">
        <v>520</v>
      </c>
      <c r="AI19" s="68" t="s">
        <v>410</v>
      </c>
      <c r="AJ19" s="10" t="s">
        <v>521</v>
      </c>
      <c r="AK19" s="10" t="s">
        <v>431</v>
      </c>
      <c r="AL19" s="10" t="s">
        <v>522</v>
      </c>
      <c r="AM19" s="10" t="s">
        <v>523</v>
      </c>
      <c r="AN19" s="10" t="s">
        <v>524</v>
      </c>
      <c r="AO19" s="70" t="s">
        <v>525</v>
      </c>
      <c r="AP19" s="10" t="s">
        <v>517</v>
      </c>
      <c r="AQ19" s="10" t="s">
        <v>509</v>
      </c>
      <c r="AR19" s="10" t="s">
        <v>485</v>
      </c>
      <c r="AS19" s="10" t="s">
        <v>526</v>
      </c>
      <c r="AT19" s="10" t="s">
        <v>527</v>
      </c>
      <c r="AU19" s="10" t="s">
        <v>528</v>
      </c>
      <c r="AV19" s="10" t="s">
        <v>529</v>
      </c>
      <c r="AW19" s="10" t="s">
        <v>530</v>
      </c>
      <c r="AX19" s="10" t="s">
        <v>441</v>
      </c>
      <c r="AY19" s="68" t="s">
        <v>486</v>
      </c>
      <c r="AZ19" s="10" t="s">
        <v>507</v>
      </c>
      <c r="BA19" s="10" t="s">
        <v>531</v>
      </c>
      <c r="BB19" s="10" t="s">
        <v>532</v>
      </c>
      <c r="BC19" s="10" t="s">
        <v>533</v>
      </c>
      <c r="BD19" s="10" t="s">
        <v>534</v>
      </c>
      <c r="BE19" s="10" t="s">
        <v>535</v>
      </c>
      <c r="BF19" s="10" t="s">
        <v>536</v>
      </c>
      <c r="BG19" s="10" t="s">
        <v>537</v>
      </c>
      <c r="BH19" s="10" t="s">
        <v>538</v>
      </c>
      <c r="BI19" s="69" t="s">
        <v>539</v>
      </c>
      <c r="BJ19" s="10" t="s">
        <v>540</v>
      </c>
      <c r="BK19" s="10" t="s">
        <v>431</v>
      </c>
      <c r="BL19" s="10" t="s">
        <v>541</v>
      </c>
      <c r="BM19" s="10" t="s">
        <v>542</v>
      </c>
      <c r="BN19" s="10" t="s">
        <v>517</v>
      </c>
      <c r="BO19" s="72"/>
    </row>
    <row r="20" ht="15.75" customHeight="1">
      <c r="A20" s="73" t="s">
        <v>543</v>
      </c>
      <c r="B20" s="78"/>
      <c r="C20" s="14"/>
      <c r="D20" s="14">
        <v>12.5</v>
      </c>
      <c r="E20" s="14">
        <v>13.0</v>
      </c>
      <c r="F20" s="14">
        <v>13.5</v>
      </c>
      <c r="G20" s="14">
        <v>13.0</v>
      </c>
      <c r="H20" s="14">
        <v>13.0</v>
      </c>
      <c r="I20" s="14">
        <v>12.5</v>
      </c>
      <c r="J20" s="14">
        <v>13.5</v>
      </c>
      <c r="K20" s="14"/>
      <c r="L20" s="79"/>
      <c r="M20" s="14">
        <v>13.0</v>
      </c>
      <c r="N20" s="14">
        <v>13.5</v>
      </c>
      <c r="O20" s="14">
        <v>12.5</v>
      </c>
      <c r="P20" s="14">
        <v>12.0</v>
      </c>
      <c r="Q20" s="14">
        <v>13.25</v>
      </c>
      <c r="R20" s="14">
        <v>12.5</v>
      </c>
      <c r="S20" s="78">
        <v>14.125</v>
      </c>
      <c r="T20" s="14">
        <v>14.5</v>
      </c>
      <c r="U20" s="14">
        <v>13.25</v>
      </c>
      <c r="V20" s="14">
        <v>13.0</v>
      </c>
      <c r="W20" s="14">
        <v>13.0</v>
      </c>
      <c r="X20" s="14">
        <v>12.5</v>
      </c>
      <c r="Y20" s="14">
        <v>12.5</v>
      </c>
      <c r="Z20" s="14">
        <v>12.75</v>
      </c>
      <c r="AA20" s="14">
        <v>12.75</v>
      </c>
      <c r="AB20" s="14">
        <v>13.0</v>
      </c>
      <c r="AC20" s="14">
        <v>13.25</v>
      </c>
      <c r="AD20" s="14">
        <v>11.5</v>
      </c>
      <c r="AE20" s="79"/>
      <c r="AF20" s="14">
        <v>13.75</v>
      </c>
      <c r="AG20" s="14">
        <v>12.75</v>
      </c>
      <c r="AH20" s="14">
        <v>13.5</v>
      </c>
      <c r="AI20" s="78">
        <v>12.5</v>
      </c>
      <c r="AJ20" s="14">
        <v>12.5</v>
      </c>
      <c r="AK20" s="14">
        <v>12.5</v>
      </c>
      <c r="AL20" s="14">
        <v>13.0</v>
      </c>
      <c r="AM20" s="14">
        <v>13.0</v>
      </c>
      <c r="AN20" s="14">
        <v>12.0</v>
      </c>
      <c r="AO20" s="80">
        <v>13.0</v>
      </c>
      <c r="AP20" s="14">
        <v>11.5</v>
      </c>
      <c r="AQ20" s="14">
        <v>13.625</v>
      </c>
      <c r="AR20" s="14">
        <v>13.0</v>
      </c>
      <c r="AS20" s="14">
        <v>12.5</v>
      </c>
      <c r="AT20" s="14">
        <v>12.5</v>
      </c>
      <c r="AU20" s="14">
        <v>13.0</v>
      </c>
      <c r="AV20" s="14">
        <v>12.0</v>
      </c>
      <c r="AW20" s="14">
        <v>13.0</v>
      </c>
      <c r="AX20" s="14">
        <v>13.0</v>
      </c>
      <c r="AY20" s="78">
        <v>13.0</v>
      </c>
      <c r="AZ20" s="14">
        <v>12.75</v>
      </c>
      <c r="BA20" s="14">
        <v>13.0</v>
      </c>
      <c r="BB20" s="14">
        <v>13.5</v>
      </c>
      <c r="BC20" s="14">
        <v>13.75</v>
      </c>
      <c r="BD20" s="14">
        <v>13.5</v>
      </c>
      <c r="BE20" s="14">
        <v>13.75</v>
      </c>
      <c r="BF20" s="14">
        <v>14.0</v>
      </c>
      <c r="BG20" s="14">
        <v>12.5</v>
      </c>
      <c r="BH20" s="14"/>
      <c r="BI20" s="79"/>
      <c r="BJ20" s="14">
        <v>13.0</v>
      </c>
      <c r="BK20" s="14">
        <v>12.5</v>
      </c>
      <c r="BL20" s="14">
        <v>12.5</v>
      </c>
      <c r="BM20" s="14">
        <v>13.0</v>
      </c>
      <c r="BN20" s="14">
        <v>11.5</v>
      </c>
      <c r="BO20" s="81"/>
    </row>
    <row r="21" ht="15.75" customHeight="1">
      <c r="A21" s="67">
        <v>45799.0</v>
      </c>
      <c r="B21" s="68" t="s">
        <v>544</v>
      </c>
      <c r="C21" s="10"/>
      <c r="D21" s="10" t="s">
        <v>545</v>
      </c>
      <c r="E21" s="10" t="s">
        <v>546</v>
      </c>
      <c r="F21" s="10" t="s">
        <v>547</v>
      </c>
      <c r="G21" s="10" t="s">
        <v>548</v>
      </c>
      <c r="H21" s="10" t="s">
        <v>549</v>
      </c>
      <c r="I21" s="10" t="s">
        <v>550</v>
      </c>
      <c r="J21" s="10" t="s">
        <v>551</v>
      </c>
      <c r="K21" s="10"/>
      <c r="L21" s="69" t="s">
        <v>552</v>
      </c>
      <c r="M21" s="10" t="s">
        <v>549</v>
      </c>
      <c r="N21" s="10" t="s">
        <v>553</v>
      </c>
      <c r="O21" s="10" t="s">
        <v>554</v>
      </c>
      <c r="P21" s="10" t="s">
        <v>555</v>
      </c>
      <c r="Q21" s="10" t="s">
        <v>556</v>
      </c>
      <c r="R21" s="10" t="s">
        <v>557</v>
      </c>
      <c r="S21" s="83" t="s">
        <v>558</v>
      </c>
      <c r="T21" s="10" t="s">
        <v>559</v>
      </c>
      <c r="U21" s="10" t="s">
        <v>438</v>
      </c>
      <c r="V21" s="10" t="s">
        <v>560</v>
      </c>
      <c r="W21" s="10" t="s">
        <v>561</v>
      </c>
      <c r="X21" s="10" t="s">
        <v>562</v>
      </c>
      <c r="Y21" s="10" t="s">
        <v>563</v>
      </c>
      <c r="Z21" s="10" t="s">
        <v>564</v>
      </c>
      <c r="AA21" s="10" t="s">
        <v>564</v>
      </c>
      <c r="AB21" s="10" t="s">
        <v>565</v>
      </c>
      <c r="AC21" s="84" t="s">
        <v>438</v>
      </c>
      <c r="AD21" s="10" t="s">
        <v>566</v>
      </c>
      <c r="AE21" s="69" t="s">
        <v>567</v>
      </c>
      <c r="AF21" s="10" t="s">
        <v>568</v>
      </c>
      <c r="AG21" s="84" t="s">
        <v>569</v>
      </c>
      <c r="AH21" s="10" t="s">
        <v>570</v>
      </c>
      <c r="AI21" s="68" t="s">
        <v>571</v>
      </c>
      <c r="AJ21" s="10" t="s">
        <v>572</v>
      </c>
      <c r="AK21" s="10" t="s">
        <v>573</v>
      </c>
      <c r="AL21" s="10" t="s">
        <v>574</v>
      </c>
      <c r="AM21" s="10" t="s">
        <v>415</v>
      </c>
      <c r="AN21" s="10" t="s">
        <v>500</v>
      </c>
      <c r="AO21" s="70" t="s">
        <v>575</v>
      </c>
      <c r="AP21" s="10" t="s">
        <v>517</v>
      </c>
      <c r="AQ21" s="10" t="s">
        <v>576</v>
      </c>
      <c r="AR21" s="10" t="s">
        <v>577</v>
      </c>
      <c r="AS21" s="10" t="s">
        <v>578</v>
      </c>
      <c r="AT21" s="10" t="s">
        <v>579</v>
      </c>
      <c r="AU21" s="10" t="s">
        <v>580</v>
      </c>
      <c r="AV21" s="10" t="s">
        <v>505</v>
      </c>
      <c r="AW21" s="10" t="s">
        <v>580</v>
      </c>
      <c r="AX21" s="10" t="s">
        <v>581</v>
      </c>
      <c r="AY21" s="68" t="s">
        <v>582</v>
      </c>
      <c r="AZ21" s="10" t="s">
        <v>583</v>
      </c>
      <c r="BA21" s="10" t="s">
        <v>481</v>
      </c>
      <c r="BB21" s="10" t="s">
        <v>584</v>
      </c>
      <c r="BC21" s="10" t="s">
        <v>585</v>
      </c>
      <c r="BD21" s="10" t="s">
        <v>586</v>
      </c>
      <c r="BE21" s="10" t="s">
        <v>587</v>
      </c>
      <c r="BF21" s="10" t="s">
        <v>588</v>
      </c>
      <c r="BG21" s="10" t="s">
        <v>589</v>
      </c>
      <c r="BH21" s="10" t="s">
        <v>517</v>
      </c>
      <c r="BI21" s="69" t="s">
        <v>590</v>
      </c>
      <c r="BJ21" s="10" t="s">
        <v>591</v>
      </c>
      <c r="BK21" s="10" t="s">
        <v>592</v>
      </c>
      <c r="BL21" s="10" t="s">
        <v>476</v>
      </c>
      <c r="BM21" s="10" t="s">
        <v>412</v>
      </c>
      <c r="BN21" s="10" t="s">
        <v>517</v>
      </c>
      <c r="BO21" s="72"/>
    </row>
    <row r="22" ht="15.75" customHeight="1">
      <c r="A22" s="73" t="s">
        <v>593</v>
      </c>
      <c r="B22" s="78"/>
      <c r="C22" s="14"/>
      <c r="D22" s="14">
        <v>13.0</v>
      </c>
      <c r="E22" s="14">
        <v>13.5</v>
      </c>
      <c r="F22" s="14">
        <v>14.0</v>
      </c>
      <c r="G22" s="14">
        <v>13.0</v>
      </c>
      <c r="H22" s="14">
        <v>13.5</v>
      </c>
      <c r="I22" s="14">
        <v>13.0</v>
      </c>
      <c r="J22" s="14">
        <v>14.0</v>
      </c>
      <c r="K22" s="14" t="s">
        <v>594</v>
      </c>
      <c r="L22" s="79">
        <v>12.5</v>
      </c>
      <c r="M22" s="14">
        <v>13.5</v>
      </c>
      <c r="N22" s="14"/>
      <c r="O22" s="14">
        <v>13.0</v>
      </c>
      <c r="P22" s="14">
        <v>12.5</v>
      </c>
      <c r="Q22" s="14"/>
      <c r="R22" s="14">
        <v>13.0</v>
      </c>
      <c r="S22" s="78"/>
      <c r="T22" s="14"/>
      <c r="U22" s="14">
        <v>13.25</v>
      </c>
      <c r="V22" s="14">
        <v>13.0</v>
      </c>
      <c r="W22" s="14">
        <v>13.125</v>
      </c>
      <c r="X22" s="14">
        <v>13.0</v>
      </c>
      <c r="Y22" s="14">
        <v>13.0</v>
      </c>
      <c r="Z22" s="14">
        <v>12.75</v>
      </c>
      <c r="AA22" s="14">
        <v>12.75</v>
      </c>
      <c r="AB22" s="14">
        <v>13.25</v>
      </c>
      <c r="AC22" s="14">
        <v>13.25</v>
      </c>
      <c r="AD22" s="14">
        <v>12.5</v>
      </c>
      <c r="AE22" s="79"/>
      <c r="AF22" s="14">
        <v>14.0</v>
      </c>
      <c r="AG22" s="14">
        <v>12.75</v>
      </c>
      <c r="AH22" s="14">
        <v>14.0</v>
      </c>
      <c r="AI22" s="78">
        <v>13.0</v>
      </c>
      <c r="AJ22" s="14">
        <v>13.5</v>
      </c>
      <c r="AK22" s="14">
        <v>13.5</v>
      </c>
      <c r="AL22" s="14">
        <v>14.0</v>
      </c>
      <c r="AM22" s="14">
        <v>13.5</v>
      </c>
      <c r="AN22" s="14">
        <v>13.0</v>
      </c>
      <c r="AO22" s="80">
        <v>13.25</v>
      </c>
      <c r="AP22" s="14" t="s">
        <v>594</v>
      </c>
      <c r="AQ22" s="14"/>
      <c r="AR22" s="14">
        <v>13.125</v>
      </c>
      <c r="AS22" s="14">
        <v>12.75</v>
      </c>
      <c r="AT22" s="14">
        <v>12.75</v>
      </c>
      <c r="AU22" s="14">
        <v>13.125</v>
      </c>
      <c r="AV22" s="14">
        <v>12.5</v>
      </c>
      <c r="AW22" s="14">
        <v>13.125</v>
      </c>
      <c r="AX22" s="14">
        <v>13.5</v>
      </c>
      <c r="AY22" s="78">
        <v>13.5</v>
      </c>
      <c r="AZ22" s="14">
        <v>13.25</v>
      </c>
      <c r="BA22" s="14">
        <v>13.5</v>
      </c>
      <c r="BB22" s="14">
        <v>14.0</v>
      </c>
      <c r="BC22" s="14">
        <v>14.25</v>
      </c>
      <c r="BD22" s="14">
        <v>14.0</v>
      </c>
      <c r="BE22" s="14">
        <v>14.25</v>
      </c>
      <c r="BF22" s="14">
        <v>14.5</v>
      </c>
      <c r="BG22" s="14">
        <v>13.5</v>
      </c>
      <c r="BH22" s="14" t="s">
        <v>594</v>
      </c>
      <c r="BI22" s="79"/>
      <c r="BJ22" s="14">
        <v>13.5</v>
      </c>
      <c r="BK22" s="14">
        <v>13.0</v>
      </c>
      <c r="BL22" s="14">
        <v>13.0</v>
      </c>
      <c r="BM22" s="14">
        <v>13.5</v>
      </c>
      <c r="BN22" s="14" t="s">
        <v>594</v>
      </c>
      <c r="BO22" s="81"/>
    </row>
    <row r="23" ht="15.75" customHeight="1">
      <c r="A23" s="82">
        <v>45800.0</v>
      </c>
      <c r="B23" s="68"/>
      <c r="C23" s="10"/>
      <c r="D23" s="10" t="s">
        <v>595</v>
      </c>
      <c r="E23" s="84" t="s">
        <v>596</v>
      </c>
      <c r="F23" s="10" t="s">
        <v>597</v>
      </c>
      <c r="G23" s="10" t="s">
        <v>598</v>
      </c>
      <c r="H23" s="10" t="s">
        <v>599</v>
      </c>
      <c r="I23" s="10" t="s">
        <v>600</v>
      </c>
      <c r="J23" s="84" t="s">
        <v>601</v>
      </c>
      <c r="K23" s="85" t="s">
        <v>602</v>
      </c>
      <c r="L23" s="69" t="s">
        <v>603</v>
      </c>
      <c r="M23" s="10" t="s">
        <v>604</v>
      </c>
      <c r="N23" s="10" t="s">
        <v>605</v>
      </c>
      <c r="O23" s="84" t="s">
        <v>606</v>
      </c>
      <c r="P23" s="10" t="s">
        <v>607</v>
      </c>
      <c r="Q23" s="10" t="s">
        <v>608</v>
      </c>
      <c r="R23" s="10" t="s">
        <v>609</v>
      </c>
      <c r="S23" s="83" t="s">
        <v>558</v>
      </c>
      <c r="T23" s="84" t="s">
        <v>610</v>
      </c>
      <c r="U23" s="10" t="s">
        <v>438</v>
      </c>
      <c r="V23" s="84" t="s">
        <v>611</v>
      </c>
      <c r="W23" s="10" t="s">
        <v>580</v>
      </c>
      <c r="X23" s="84" t="s">
        <v>612</v>
      </c>
      <c r="Y23" s="10" t="s">
        <v>613</v>
      </c>
      <c r="Z23" s="10" t="s">
        <v>614</v>
      </c>
      <c r="AA23" s="10" t="s">
        <v>615</v>
      </c>
      <c r="AB23" s="84" t="s">
        <v>616</v>
      </c>
      <c r="AC23" s="84" t="s">
        <v>438</v>
      </c>
      <c r="AD23" s="10" t="s">
        <v>472</v>
      </c>
      <c r="AE23" s="69" t="s">
        <v>617</v>
      </c>
      <c r="AF23" s="10" t="s">
        <v>576</v>
      </c>
      <c r="AG23" s="84" t="s">
        <v>618</v>
      </c>
      <c r="AH23" s="10" t="s">
        <v>619</v>
      </c>
      <c r="AI23" s="68" t="s">
        <v>620</v>
      </c>
      <c r="AJ23" s="10" t="s">
        <v>467</v>
      </c>
      <c r="AK23" s="10" t="s">
        <v>621</v>
      </c>
      <c r="AL23" s="10" t="s">
        <v>580</v>
      </c>
      <c r="AM23" s="10" t="s">
        <v>622</v>
      </c>
      <c r="AN23" s="10" t="s">
        <v>623</v>
      </c>
      <c r="AO23" s="70" t="s">
        <v>624</v>
      </c>
      <c r="AP23" s="10" t="s">
        <v>517</v>
      </c>
      <c r="AQ23" s="10" t="s">
        <v>576</v>
      </c>
      <c r="AR23" s="10" t="s">
        <v>625</v>
      </c>
      <c r="AS23" s="10" t="s">
        <v>615</v>
      </c>
      <c r="AT23" s="10" t="s">
        <v>576</v>
      </c>
      <c r="AU23" s="10" t="s">
        <v>626</v>
      </c>
      <c r="AV23" s="10" t="s">
        <v>627</v>
      </c>
      <c r="AW23" s="10" t="s">
        <v>628</v>
      </c>
      <c r="AX23" s="10" t="s">
        <v>629</v>
      </c>
      <c r="AY23" s="68" t="s">
        <v>630</v>
      </c>
      <c r="AZ23" s="10" t="s">
        <v>631</v>
      </c>
      <c r="BA23" s="10" t="s">
        <v>632</v>
      </c>
      <c r="BB23" s="10" t="s">
        <v>633</v>
      </c>
      <c r="BC23" s="10" t="s">
        <v>634</v>
      </c>
      <c r="BD23" s="10" t="s">
        <v>635</v>
      </c>
      <c r="BE23" s="10" t="s">
        <v>636</v>
      </c>
      <c r="BF23" s="10" t="s">
        <v>637</v>
      </c>
      <c r="BG23" s="10" t="s">
        <v>638</v>
      </c>
      <c r="BH23" s="10" t="s">
        <v>639</v>
      </c>
      <c r="BI23" s="69" t="s">
        <v>640</v>
      </c>
      <c r="BJ23" s="10" t="s">
        <v>641</v>
      </c>
      <c r="BK23" s="10" t="s">
        <v>641</v>
      </c>
      <c r="BL23" s="10" t="s">
        <v>642</v>
      </c>
      <c r="BM23" s="10" t="s">
        <v>643</v>
      </c>
      <c r="BN23" s="10" t="s">
        <v>517</v>
      </c>
      <c r="BO23" s="72"/>
    </row>
    <row r="24" ht="14.25" customHeight="1">
      <c r="A24" s="73" t="s">
        <v>644</v>
      </c>
      <c r="B24" s="78"/>
      <c r="C24" s="14"/>
      <c r="D24" s="14">
        <v>13.25</v>
      </c>
      <c r="E24" s="14"/>
      <c r="F24" s="14"/>
      <c r="G24" s="14"/>
      <c r="H24" s="14"/>
      <c r="I24" s="14"/>
      <c r="J24" s="14"/>
      <c r="K24" s="14"/>
      <c r="L24" s="79"/>
      <c r="M24" s="14"/>
      <c r="N24" s="14">
        <v>13.75</v>
      </c>
      <c r="O24" s="14">
        <v>13.25</v>
      </c>
      <c r="P24" s="14"/>
      <c r="Q24" s="14"/>
      <c r="R24" s="14"/>
      <c r="S24" s="78"/>
      <c r="T24" s="14"/>
      <c r="U24" s="14"/>
      <c r="V24" s="14"/>
      <c r="W24" s="14"/>
      <c r="X24" s="14"/>
      <c r="Y24" s="14"/>
      <c r="Z24" s="14"/>
      <c r="AA24" s="14"/>
      <c r="AB24" s="14"/>
      <c r="AC24" s="14"/>
      <c r="AD24" s="14"/>
      <c r="AE24" s="79"/>
      <c r="AF24" s="14"/>
      <c r="AG24" s="14"/>
      <c r="AH24" s="14"/>
      <c r="AI24" s="78"/>
      <c r="AJ24" s="14"/>
      <c r="AK24" s="14"/>
      <c r="AL24" s="14"/>
      <c r="AM24" s="14"/>
      <c r="AN24" s="14"/>
      <c r="AO24" s="80">
        <v>13.5</v>
      </c>
      <c r="AP24" s="14"/>
      <c r="AQ24" s="14"/>
      <c r="AR24" s="14"/>
      <c r="AS24" s="14"/>
      <c r="AT24" s="14"/>
      <c r="AU24" s="14"/>
      <c r="AV24" s="14">
        <v>13.0</v>
      </c>
      <c r="AW24" s="14"/>
      <c r="AX24" s="14"/>
      <c r="AY24" s="78"/>
      <c r="AZ24" s="14">
        <v>13.5</v>
      </c>
      <c r="BA24" s="14">
        <v>13.72</v>
      </c>
      <c r="BB24" s="14"/>
      <c r="BC24" s="14">
        <v>14.5</v>
      </c>
      <c r="BD24" s="14">
        <v>14.25</v>
      </c>
      <c r="BE24" s="14"/>
      <c r="BF24" s="14">
        <v>14.75</v>
      </c>
      <c r="BG24" s="14">
        <v>13.75</v>
      </c>
      <c r="BH24" s="14"/>
      <c r="BI24" s="79"/>
      <c r="BJ24" s="14">
        <v>13.75</v>
      </c>
      <c r="BK24" s="14">
        <v>13.25</v>
      </c>
      <c r="BL24" s="14">
        <v>13.25</v>
      </c>
      <c r="BM24" s="14">
        <v>13.75</v>
      </c>
      <c r="BN24" s="14"/>
      <c r="BO24" s="81"/>
    </row>
    <row r="25" ht="15.75" customHeight="1">
      <c r="A25" s="82">
        <v>45804.0</v>
      </c>
      <c r="B25" s="68" t="s">
        <v>645</v>
      </c>
      <c r="C25" s="10"/>
      <c r="D25" s="84" t="s">
        <v>646</v>
      </c>
      <c r="E25" s="84" t="s">
        <v>647</v>
      </c>
      <c r="F25" s="10" t="s">
        <v>648</v>
      </c>
      <c r="G25" s="84" t="s">
        <v>649</v>
      </c>
      <c r="H25" s="84" t="s">
        <v>650</v>
      </c>
      <c r="I25" s="84" t="s">
        <v>651</v>
      </c>
      <c r="J25" s="84" t="s">
        <v>652</v>
      </c>
      <c r="K25" s="85" t="s">
        <v>653</v>
      </c>
      <c r="L25" s="69"/>
      <c r="M25" s="84" t="s">
        <v>650</v>
      </c>
      <c r="N25" s="10" t="s">
        <v>654</v>
      </c>
      <c r="O25" s="84" t="s">
        <v>655</v>
      </c>
      <c r="P25" s="84" t="s">
        <v>650</v>
      </c>
      <c r="Q25" s="84" t="s">
        <v>650</v>
      </c>
      <c r="R25" s="84" t="s">
        <v>656</v>
      </c>
      <c r="S25" s="83" t="s">
        <v>657</v>
      </c>
      <c r="T25" s="84" t="s">
        <v>650</v>
      </c>
      <c r="U25" s="84" t="s">
        <v>658</v>
      </c>
      <c r="V25" s="84" t="s">
        <v>659</v>
      </c>
      <c r="W25" s="84" t="s">
        <v>660</v>
      </c>
      <c r="X25" s="84" t="s">
        <v>650</v>
      </c>
      <c r="Y25" s="10" t="s">
        <v>661</v>
      </c>
      <c r="Z25" s="84" t="s">
        <v>662</v>
      </c>
      <c r="AA25" s="84" t="s">
        <v>650</v>
      </c>
      <c r="AB25" s="84" t="s">
        <v>647</v>
      </c>
      <c r="AC25" s="84" t="s">
        <v>663</v>
      </c>
      <c r="AD25" s="84" t="s">
        <v>664</v>
      </c>
      <c r="AE25" s="69"/>
      <c r="AF25" s="84" t="s">
        <v>647</v>
      </c>
      <c r="AG25" s="84" t="s">
        <v>665</v>
      </c>
      <c r="AH25" s="84" t="s">
        <v>666</v>
      </c>
      <c r="AI25" s="83" t="s">
        <v>667</v>
      </c>
      <c r="AJ25" s="10" t="s">
        <v>668</v>
      </c>
      <c r="AK25" s="10" t="s">
        <v>669</v>
      </c>
      <c r="AL25" s="10" t="s">
        <v>670</v>
      </c>
      <c r="AM25" s="10" t="s">
        <v>671</v>
      </c>
      <c r="AN25" s="10" t="s">
        <v>672</v>
      </c>
      <c r="AO25" s="70" t="s">
        <v>662</v>
      </c>
      <c r="AP25" s="86" t="s">
        <v>517</v>
      </c>
      <c r="AQ25" s="10" t="s">
        <v>673</v>
      </c>
      <c r="AR25" s="10" t="s">
        <v>674</v>
      </c>
      <c r="AS25" s="10" t="s">
        <v>576</v>
      </c>
      <c r="AT25" s="10" t="s">
        <v>673</v>
      </c>
      <c r="AU25" s="10" t="s">
        <v>576</v>
      </c>
      <c r="AV25" s="10" t="s">
        <v>626</v>
      </c>
      <c r="AW25" s="10" t="s">
        <v>673</v>
      </c>
      <c r="AX25" s="10" t="s">
        <v>675</v>
      </c>
      <c r="AY25" s="68" t="s">
        <v>676</v>
      </c>
      <c r="AZ25" s="10" t="s">
        <v>611</v>
      </c>
      <c r="BA25" s="84" t="s">
        <v>616</v>
      </c>
      <c r="BB25" s="10" t="s">
        <v>576</v>
      </c>
      <c r="BC25" s="10" t="s">
        <v>580</v>
      </c>
      <c r="BD25" s="10" t="s">
        <v>677</v>
      </c>
      <c r="BE25" s="10" t="s">
        <v>678</v>
      </c>
      <c r="BF25" s="10" t="s">
        <v>679</v>
      </c>
      <c r="BG25" s="10" t="s">
        <v>680</v>
      </c>
      <c r="BH25" s="10" t="s">
        <v>681</v>
      </c>
      <c r="BI25" s="69" t="s">
        <v>682</v>
      </c>
      <c r="BJ25" s="10" t="s">
        <v>472</v>
      </c>
      <c r="BK25" s="10" t="s">
        <v>683</v>
      </c>
      <c r="BL25" s="10" t="s">
        <v>684</v>
      </c>
      <c r="BM25" s="10" t="s">
        <v>669</v>
      </c>
      <c r="BN25" s="10" t="s">
        <v>685</v>
      </c>
      <c r="BO25" s="72"/>
    </row>
    <row r="26" ht="15.75" customHeight="1">
      <c r="A26" s="73" t="s">
        <v>686</v>
      </c>
      <c r="B26" s="78"/>
      <c r="C26" s="14"/>
      <c r="D26" s="14"/>
      <c r="E26" s="14"/>
      <c r="F26" s="14"/>
      <c r="G26" s="14"/>
      <c r="H26" s="14"/>
      <c r="I26" s="14"/>
      <c r="J26" s="14"/>
      <c r="K26" s="14"/>
      <c r="L26" s="79"/>
      <c r="M26" s="14"/>
      <c r="N26" s="14">
        <v>14.0</v>
      </c>
      <c r="O26" s="14"/>
      <c r="P26" s="14"/>
      <c r="Q26" s="14"/>
      <c r="R26" s="14"/>
      <c r="S26" s="78"/>
      <c r="T26" s="14"/>
      <c r="U26" s="14"/>
      <c r="V26" s="14"/>
      <c r="W26" s="14"/>
      <c r="X26" s="14"/>
      <c r="Y26" s="14"/>
      <c r="Z26" s="14"/>
      <c r="AA26" s="14"/>
      <c r="AB26" s="14"/>
      <c r="AC26" s="14"/>
      <c r="AD26" s="14"/>
      <c r="AE26" s="79"/>
      <c r="AF26" s="14"/>
      <c r="AG26" s="14"/>
      <c r="AH26" s="14"/>
      <c r="AI26" s="78"/>
      <c r="AJ26" s="14"/>
      <c r="AK26" s="14"/>
      <c r="AL26" s="14"/>
      <c r="AM26" s="14"/>
      <c r="AN26" s="14"/>
      <c r="AO26" s="80"/>
      <c r="AP26" s="14">
        <v>11.5</v>
      </c>
      <c r="AQ26" s="14"/>
      <c r="AR26" s="14"/>
      <c r="AS26" s="14"/>
      <c r="AT26" s="14"/>
      <c r="AU26" s="14"/>
      <c r="AV26" s="14"/>
      <c r="AW26" s="14"/>
      <c r="AX26" s="14"/>
      <c r="AY26" s="78"/>
      <c r="AZ26" s="14"/>
      <c r="BA26" s="14"/>
      <c r="BB26" s="14"/>
      <c r="BC26" s="14"/>
      <c r="BD26" s="14"/>
      <c r="BE26" s="14"/>
      <c r="BF26" s="14"/>
      <c r="BG26" s="14"/>
      <c r="BH26" s="14"/>
      <c r="BI26" s="79">
        <v>9.0</v>
      </c>
      <c r="BJ26" s="14"/>
      <c r="BK26" s="14"/>
      <c r="BL26" s="14"/>
      <c r="BM26" s="14"/>
      <c r="BN26" s="14">
        <v>11.5</v>
      </c>
      <c r="BO26" s="81"/>
    </row>
    <row r="27" ht="15.75" customHeight="1">
      <c r="A27" s="67">
        <v>45805.0</v>
      </c>
      <c r="B27" s="68" t="s">
        <v>687</v>
      </c>
      <c r="C27" s="10"/>
      <c r="D27" s="10" t="s">
        <v>688</v>
      </c>
      <c r="E27" s="10" t="s">
        <v>689</v>
      </c>
      <c r="F27" s="10" t="s">
        <v>690</v>
      </c>
      <c r="G27" s="10" t="s">
        <v>656</v>
      </c>
      <c r="H27" s="10" t="s">
        <v>691</v>
      </c>
      <c r="I27" s="10" t="s">
        <v>558</v>
      </c>
      <c r="J27" s="10" t="s">
        <v>692</v>
      </c>
      <c r="K27" s="10" t="s">
        <v>653</v>
      </c>
      <c r="L27" s="69"/>
      <c r="M27" s="10" t="s">
        <v>693</v>
      </c>
      <c r="N27" s="10" t="s">
        <v>694</v>
      </c>
      <c r="O27" s="10" t="s">
        <v>695</v>
      </c>
      <c r="P27" s="10" t="s">
        <v>696</v>
      </c>
      <c r="Q27" s="10" t="s">
        <v>697</v>
      </c>
      <c r="R27" s="10" t="s">
        <v>650</v>
      </c>
      <c r="S27" s="68" t="s">
        <v>698</v>
      </c>
      <c r="T27" s="10" t="s">
        <v>650</v>
      </c>
      <c r="U27" s="10" t="s">
        <v>699</v>
      </c>
      <c r="V27" s="10" t="s">
        <v>697</v>
      </c>
      <c r="W27" s="10" t="s">
        <v>699</v>
      </c>
      <c r="X27" s="10" t="s">
        <v>650</v>
      </c>
      <c r="Y27" s="10" t="s">
        <v>700</v>
      </c>
      <c r="Z27" s="10" t="s">
        <v>693</v>
      </c>
      <c r="AA27" s="10"/>
      <c r="AB27" s="10"/>
      <c r="AC27" s="10"/>
      <c r="AD27" s="10"/>
      <c r="AE27" s="69"/>
      <c r="AF27" s="10"/>
      <c r="AG27" s="10"/>
      <c r="AH27" s="10"/>
      <c r="AI27" s="68"/>
      <c r="AJ27" s="10" t="s">
        <v>701</v>
      </c>
      <c r="AK27" s="10" t="s">
        <v>702</v>
      </c>
      <c r="AL27" s="10" t="s">
        <v>703</v>
      </c>
      <c r="AM27" s="10" t="s">
        <v>704</v>
      </c>
      <c r="AN27" s="10" t="s">
        <v>705</v>
      </c>
      <c r="AO27" s="70" t="s">
        <v>706</v>
      </c>
      <c r="AP27" s="86" t="s">
        <v>707</v>
      </c>
      <c r="AQ27" s="10" t="s">
        <v>708</v>
      </c>
      <c r="AR27" s="10" t="s">
        <v>709</v>
      </c>
      <c r="AS27" s="10" t="s">
        <v>710</v>
      </c>
      <c r="AT27" s="10" t="s">
        <v>711</v>
      </c>
      <c r="AU27" s="10" t="s">
        <v>712</v>
      </c>
      <c r="AV27" s="10" t="s">
        <v>713</v>
      </c>
      <c r="AW27" s="10" t="s">
        <v>714</v>
      </c>
      <c r="AX27" s="10" t="s">
        <v>715</v>
      </c>
      <c r="AY27" s="68" t="s">
        <v>716</v>
      </c>
      <c r="AZ27" s="10" t="s">
        <v>717</v>
      </c>
      <c r="BA27" s="10" t="s">
        <v>438</v>
      </c>
      <c r="BB27" s="10" t="s">
        <v>718</v>
      </c>
      <c r="BC27" s="10" t="s">
        <v>719</v>
      </c>
      <c r="BD27" s="10" t="s">
        <v>720</v>
      </c>
      <c r="BE27" s="10" t="s">
        <v>678</v>
      </c>
      <c r="BF27" s="10" t="s">
        <v>721</v>
      </c>
      <c r="BG27" s="10" t="s">
        <v>722</v>
      </c>
      <c r="BH27" s="10"/>
      <c r="BI27" s="69" t="s">
        <v>723</v>
      </c>
      <c r="BJ27" s="10" t="s">
        <v>724</v>
      </c>
      <c r="BK27" s="10" t="s">
        <v>725</v>
      </c>
      <c r="BL27" s="10" t="s">
        <v>684</v>
      </c>
      <c r="BM27" s="10" t="s">
        <v>726</v>
      </c>
      <c r="BN27" s="10" t="s">
        <v>727</v>
      </c>
      <c r="BO27" s="72"/>
    </row>
    <row r="28" ht="15.75" customHeight="1">
      <c r="A28" s="73" t="s">
        <v>728</v>
      </c>
      <c r="B28" s="78"/>
      <c r="C28" s="14"/>
      <c r="D28" s="14"/>
      <c r="E28" s="14"/>
      <c r="F28" s="14"/>
      <c r="G28" s="14"/>
      <c r="H28" s="14"/>
      <c r="I28" s="14"/>
      <c r="J28" s="14"/>
      <c r="K28" s="14"/>
      <c r="L28" s="79"/>
      <c r="M28" s="14"/>
      <c r="N28" s="14"/>
      <c r="O28" s="14"/>
      <c r="P28" s="14"/>
      <c r="Q28" s="14"/>
      <c r="R28" s="14"/>
      <c r="S28" s="78"/>
      <c r="T28" s="14"/>
      <c r="U28" s="14"/>
      <c r="V28" s="14"/>
      <c r="W28" s="14"/>
      <c r="X28" s="14"/>
      <c r="Y28" s="14"/>
      <c r="Z28" s="14"/>
      <c r="AA28" s="14"/>
      <c r="AB28" s="14"/>
      <c r="AC28" s="14"/>
      <c r="AD28" s="14"/>
      <c r="AE28" s="79"/>
      <c r="AF28" s="14"/>
      <c r="AG28" s="14"/>
      <c r="AH28" s="14"/>
      <c r="AI28" s="78"/>
      <c r="AJ28" s="14"/>
      <c r="AK28" s="14"/>
      <c r="AL28" s="14"/>
      <c r="AM28" s="14"/>
      <c r="AN28" s="14"/>
      <c r="AO28" s="80"/>
      <c r="AP28" s="14">
        <v>12.5</v>
      </c>
      <c r="AQ28" s="14"/>
      <c r="AR28" s="14"/>
      <c r="AS28" s="14"/>
      <c r="AT28" s="14"/>
      <c r="AU28" s="14"/>
      <c r="AV28" s="14"/>
      <c r="AW28" s="14"/>
      <c r="AX28" s="14"/>
      <c r="AY28" s="78"/>
      <c r="AZ28" s="14"/>
      <c r="BA28" s="14"/>
      <c r="BB28" s="14"/>
      <c r="BC28" s="14"/>
      <c r="BD28" s="14"/>
      <c r="BE28" s="14"/>
      <c r="BF28" s="14"/>
      <c r="BG28" s="14"/>
      <c r="BH28" s="14"/>
      <c r="BI28" s="79">
        <v>10.5</v>
      </c>
      <c r="BJ28" s="14"/>
      <c r="BK28" s="14"/>
      <c r="BL28" s="14"/>
      <c r="BM28" s="14"/>
      <c r="BN28" s="14">
        <v>13.0</v>
      </c>
      <c r="BO28" s="81"/>
    </row>
    <row r="29" ht="15.75" customHeight="1">
      <c r="A29" s="82">
        <v>45806.0</v>
      </c>
      <c r="B29" s="68"/>
      <c r="C29" s="10"/>
      <c r="D29" s="10" t="s">
        <v>729</v>
      </c>
      <c r="E29" s="84" t="s">
        <v>730</v>
      </c>
      <c r="F29" s="10" t="s">
        <v>731</v>
      </c>
      <c r="G29" s="84" t="s">
        <v>732</v>
      </c>
      <c r="H29" s="84" t="s">
        <v>733</v>
      </c>
      <c r="I29" s="10" t="s">
        <v>734</v>
      </c>
      <c r="J29" s="84" t="s">
        <v>735</v>
      </c>
      <c r="K29" s="85" t="s">
        <v>653</v>
      </c>
      <c r="L29" s="69"/>
      <c r="M29" s="84" t="s">
        <v>733</v>
      </c>
      <c r="N29" s="84" t="s">
        <v>736</v>
      </c>
      <c r="O29" s="84" t="s">
        <v>737</v>
      </c>
      <c r="P29" s="10" t="s">
        <v>738</v>
      </c>
      <c r="Q29" s="84" t="s">
        <v>739</v>
      </c>
      <c r="R29" s="84" t="s">
        <v>740</v>
      </c>
      <c r="S29" s="83" t="s">
        <v>741</v>
      </c>
      <c r="T29" s="84" t="s">
        <v>742</v>
      </c>
      <c r="U29" s="84" t="s">
        <v>692</v>
      </c>
      <c r="V29" s="84" t="s">
        <v>743</v>
      </c>
      <c r="W29" s="84" t="s">
        <v>744</v>
      </c>
      <c r="X29" s="84" t="s">
        <v>745</v>
      </c>
      <c r="Y29" s="10" t="s">
        <v>746</v>
      </c>
      <c r="Z29" s="84" t="s">
        <v>747</v>
      </c>
      <c r="AA29" s="84" t="s">
        <v>748</v>
      </c>
      <c r="AB29" s="84" t="s">
        <v>749</v>
      </c>
      <c r="AC29" s="84" t="s">
        <v>750</v>
      </c>
      <c r="AD29" s="84" t="s">
        <v>751</v>
      </c>
      <c r="AE29" s="69"/>
      <c r="AF29" s="84" t="s">
        <v>752</v>
      </c>
      <c r="AG29" s="84" t="s">
        <v>753</v>
      </c>
      <c r="AH29" s="10" t="s">
        <v>754</v>
      </c>
      <c r="AI29" s="68" t="s">
        <v>675</v>
      </c>
      <c r="AJ29" s="10" t="s">
        <v>755</v>
      </c>
      <c r="AK29" s="10" t="s">
        <v>756</v>
      </c>
      <c r="AL29" s="10" t="s">
        <v>757</v>
      </c>
      <c r="AM29" s="10" t="s">
        <v>758</v>
      </c>
      <c r="AN29" s="10" t="s">
        <v>759</v>
      </c>
      <c r="AO29" s="70" t="s">
        <v>760</v>
      </c>
      <c r="AP29" s="86" t="s">
        <v>598</v>
      </c>
      <c r="AQ29" s="10" t="s">
        <v>761</v>
      </c>
      <c r="AR29" s="84" t="s">
        <v>762</v>
      </c>
      <c r="AS29" s="84" t="s">
        <v>763</v>
      </c>
      <c r="AT29" s="10" t="s">
        <v>764</v>
      </c>
      <c r="AU29" s="10" t="s">
        <v>765</v>
      </c>
      <c r="AV29" s="10" t="s">
        <v>766</v>
      </c>
      <c r="AW29" s="84" t="s">
        <v>767</v>
      </c>
      <c r="AX29" s="84" t="s">
        <v>768</v>
      </c>
      <c r="AY29" s="68" t="s">
        <v>769</v>
      </c>
      <c r="AZ29" s="10" t="s">
        <v>770</v>
      </c>
      <c r="BA29" s="10" t="s">
        <v>771</v>
      </c>
      <c r="BB29" s="10" t="s">
        <v>772</v>
      </c>
      <c r="BC29" s="10" t="s">
        <v>773</v>
      </c>
      <c r="BD29" s="10" t="s">
        <v>774</v>
      </c>
      <c r="BE29" s="10" t="s">
        <v>775</v>
      </c>
      <c r="BF29" s="10" t="s">
        <v>776</v>
      </c>
      <c r="BG29" s="10" t="s">
        <v>777</v>
      </c>
      <c r="BH29" s="10" t="s">
        <v>778</v>
      </c>
      <c r="BI29" s="69"/>
      <c r="BJ29" s="10" t="s">
        <v>779</v>
      </c>
      <c r="BK29" s="10" t="s">
        <v>780</v>
      </c>
      <c r="BL29" s="10" t="s">
        <v>538</v>
      </c>
      <c r="BM29" s="10" t="s">
        <v>781</v>
      </c>
      <c r="BN29" s="10" t="s">
        <v>782</v>
      </c>
      <c r="BO29" s="72"/>
    </row>
    <row r="30" ht="15.75" customHeight="1">
      <c r="A30" s="73" t="s">
        <v>783</v>
      </c>
      <c r="B30" s="78"/>
      <c r="C30" s="14"/>
      <c r="D30" s="14"/>
      <c r="E30" s="14"/>
      <c r="F30" s="14"/>
      <c r="G30" s="14"/>
      <c r="H30" s="14"/>
      <c r="I30" s="14"/>
      <c r="J30" s="14"/>
      <c r="K30" s="14"/>
      <c r="L30" s="79"/>
      <c r="M30" s="14"/>
      <c r="N30" s="14"/>
      <c r="O30" s="14"/>
      <c r="P30" s="14"/>
      <c r="Q30" s="14"/>
      <c r="R30" s="14"/>
      <c r="S30" s="78"/>
      <c r="T30" s="14"/>
      <c r="U30" s="14"/>
      <c r="V30" s="14"/>
      <c r="W30" s="14"/>
      <c r="X30" s="14"/>
      <c r="Y30" s="14"/>
      <c r="Z30" s="14"/>
      <c r="AA30" s="14"/>
      <c r="AB30" s="14"/>
      <c r="AC30" s="14"/>
      <c r="AD30" s="14"/>
      <c r="AE30" s="79"/>
      <c r="AF30" s="14"/>
      <c r="AG30" s="14"/>
      <c r="AH30" s="14"/>
      <c r="AI30" s="78"/>
      <c r="AJ30" s="14"/>
      <c r="AK30" s="14"/>
      <c r="AL30" s="14"/>
      <c r="AM30" s="14"/>
      <c r="AN30" s="14"/>
      <c r="AO30" s="80"/>
      <c r="AP30" s="14"/>
      <c r="AQ30" s="14"/>
      <c r="AR30" s="14"/>
      <c r="AS30" s="14"/>
      <c r="AT30" s="14"/>
      <c r="AU30" s="14"/>
      <c r="AV30" s="14"/>
      <c r="AW30" s="14"/>
      <c r="AX30" s="14"/>
      <c r="AY30" s="78"/>
      <c r="AZ30" s="14"/>
      <c r="BA30" s="14"/>
      <c r="BB30" s="14"/>
      <c r="BC30" s="14"/>
      <c r="BD30" s="14"/>
      <c r="BE30" s="14"/>
      <c r="BF30" s="14"/>
      <c r="BG30" s="14"/>
      <c r="BH30" s="14"/>
      <c r="BI30" s="79"/>
      <c r="BJ30" s="14"/>
      <c r="BK30" s="14"/>
      <c r="BL30" s="14"/>
      <c r="BM30" s="14"/>
      <c r="BN30" s="14"/>
      <c r="BO30" s="81"/>
    </row>
    <row r="31" ht="15.75" customHeight="1">
      <c r="A31" s="82">
        <v>45807.0</v>
      </c>
      <c r="B31" s="68" t="s">
        <v>784</v>
      </c>
      <c r="C31" s="87">
        <v>1.0</v>
      </c>
      <c r="D31" s="10" t="s">
        <v>785</v>
      </c>
      <c r="E31" s="84" t="s">
        <v>763</v>
      </c>
      <c r="F31" s="84" t="s">
        <v>786</v>
      </c>
      <c r="G31" s="84" t="s">
        <v>787</v>
      </c>
      <c r="H31" s="84" t="s">
        <v>752</v>
      </c>
      <c r="I31" s="84" t="s">
        <v>763</v>
      </c>
      <c r="J31" s="84" t="s">
        <v>735</v>
      </c>
      <c r="K31" s="85" t="s">
        <v>788</v>
      </c>
      <c r="L31" s="69"/>
      <c r="M31" s="84" t="s">
        <v>789</v>
      </c>
      <c r="N31" s="84" t="s">
        <v>790</v>
      </c>
      <c r="O31" s="84" t="s">
        <v>791</v>
      </c>
      <c r="P31" s="10" t="s">
        <v>792</v>
      </c>
      <c r="Q31" s="84" t="s">
        <v>793</v>
      </c>
      <c r="R31" s="84" t="s">
        <v>794</v>
      </c>
      <c r="S31" s="83" t="s">
        <v>795</v>
      </c>
      <c r="T31" s="84" t="s">
        <v>796</v>
      </c>
      <c r="U31" s="84" t="s">
        <v>797</v>
      </c>
      <c r="V31" s="84" t="s">
        <v>798</v>
      </c>
      <c r="W31" s="84" t="s">
        <v>799</v>
      </c>
      <c r="X31" s="84" t="s">
        <v>799</v>
      </c>
      <c r="Y31" s="10" t="s">
        <v>800</v>
      </c>
      <c r="Z31" s="84" t="s">
        <v>801</v>
      </c>
      <c r="AA31" s="84" t="s">
        <v>692</v>
      </c>
      <c r="AB31" s="84" t="s">
        <v>802</v>
      </c>
      <c r="AC31" s="84" t="s">
        <v>803</v>
      </c>
      <c r="AD31" s="84" t="s">
        <v>804</v>
      </c>
      <c r="AE31" s="69"/>
      <c r="AF31" s="84" t="s">
        <v>763</v>
      </c>
      <c r="AG31" s="84" t="s">
        <v>805</v>
      </c>
      <c r="AH31" s="10" t="s">
        <v>806</v>
      </c>
      <c r="AI31" s="68" t="s">
        <v>807</v>
      </c>
      <c r="AJ31" s="10" t="s">
        <v>808</v>
      </c>
      <c r="AK31" s="10" t="s">
        <v>809</v>
      </c>
      <c r="AL31" s="10" t="s">
        <v>810</v>
      </c>
      <c r="AM31" s="10" t="s">
        <v>811</v>
      </c>
      <c r="AN31" s="10" t="s">
        <v>812</v>
      </c>
      <c r="AO31" s="84" t="s">
        <v>813</v>
      </c>
      <c r="AP31" s="86" t="s">
        <v>814</v>
      </c>
      <c r="AQ31" s="10" t="s">
        <v>815</v>
      </c>
      <c r="AR31" s="84" t="s">
        <v>816</v>
      </c>
      <c r="AS31" s="84" t="s">
        <v>817</v>
      </c>
      <c r="AT31" s="10" t="s">
        <v>818</v>
      </c>
      <c r="AU31" s="10" t="s">
        <v>819</v>
      </c>
      <c r="AV31" s="10" t="s">
        <v>820</v>
      </c>
      <c r="AW31" s="84" t="s">
        <v>807</v>
      </c>
      <c r="AX31" s="84" t="s">
        <v>821</v>
      </c>
      <c r="AY31" s="68" t="s">
        <v>822</v>
      </c>
      <c r="AZ31" s="10" t="s">
        <v>823</v>
      </c>
      <c r="BA31" s="10" t="s">
        <v>824</v>
      </c>
      <c r="BB31" s="10" t="s">
        <v>825</v>
      </c>
      <c r="BC31" s="10" t="s">
        <v>826</v>
      </c>
      <c r="BD31" s="10" t="s">
        <v>827</v>
      </c>
      <c r="BE31" s="10" t="s">
        <v>828</v>
      </c>
      <c r="BF31" s="10" t="s">
        <v>829</v>
      </c>
      <c r="BG31" s="10" t="s">
        <v>830</v>
      </c>
      <c r="BH31" s="10" t="s">
        <v>831</v>
      </c>
      <c r="BI31" s="69"/>
      <c r="BJ31" s="10" t="s">
        <v>832</v>
      </c>
      <c r="BK31" s="10" t="s">
        <v>833</v>
      </c>
      <c r="BL31" s="10" t="s">
        <v>834</v>
      </c>
      <c r="BM31" s="10" t="s">
        <v>835</v>
      </c>
      <c r="BN31" s="10" t="s">
        <v>836</v>
      </c>
      <c r="BO31" s="72"/>
    </row>
    <row r="32" ht="15.75" customHeight="1">
      <c r="A32" s="73" t="s">
        <v>837</v>
      </c>
      <c r="B32" s="78"/>
      <c r="C32" s="14"/>
      <c r="D32" s="14"/>
      <c r="E32" s="14"/>
      <c r="F32" s="14"/>
      <c r="G32" s="14"/>
      <c r="H32" s="14"/>
      <c r="I32" s="14"/>
      <c r="J32" s="14"/>
      <c r="K32" s="14"/>
      <c r="L32" s="79"/>
      <c r="M32" s="14"/>
      <c r="N32" s="14"/>
      <c r="O32" s="14"/>
      <c r="P32" s="14"/>
      <c r="Q32" s="14"/>
      <c r="R32" s="14"/>
      <c r="S32" s="78"/>
      <c r="T32" s="14"/>
      <c r="U32" s="14"/>
      <c r="V32" s="14"/>
      <c r="W32" s="14"/>
      <c r="X32" s="14"/>
      <c r="Y32" s="14"/>
      <c r="Z32" s="14"/>
      <c r="AA32" s="14"/>
      <c r="AB32" s="14"/>
      <c r="AC32" s="14"/>
      <c r="AD32" s="14"/>
      <c r="AE32" s="79"/>
      <c r="AF32" s="14"/>
      <c r="AG32" s="14"/>
      <c r="AH32" s="14"/>
      <c r="AI32" s="78"/>
      <c r="AJ32" s="14"/>
      <c r="AK32" s="14"/>
      <c r="AL32" s="14"/>
      <c r="AM32" s="14"/>
      <c r="AN32" s="14"/>
      <c r="AO32" s="14">
        <v>14.0</v>
      </c>
      <c r="AP32" s="14"/>
      <c r="AQ32" s="14"/>
      <c r="AR32" s="14"/>
      <c r="AS32" s="14"/>
      <c r="AT32" s="14"/>
      <c r="AU32" s="14"/>
      <c r="AV32" s="14"/>
      <c r="AW32" s="14"/>
      <c r="AX32" s="14"/>
      <c r="AY32" s="78"/>
      <c r="AZ32" s="14"/>
      <c r="BA32" s="14"/>
      <c r="BB32" s="14"/>
      <c r="BC32" s="14"/>
      <c r="BD32" s="14"/>
      <c r="BE32" s="14"/>
      <c r="BF32" s="14"/>
      <c r="BG32" s="14"/>
      <c r="BH32" s="14"/>
      <c r="BI32" s="79"/>
      <c r="BJ32" s="14"/>
      <c r="BK32" s="14"/>
      <c r="BL32" s="14"/>
      <c r="BM32" s="14"/>
      <c r="BN32" s="14"/>
      <c r="BO32" s="81"/>
    </row>
    <row r="33" ht="15.75" customHeight="1">
      <c r="A33" s="67">
        <v>45810.0</v>
      </c>
      <c r="B33" s="68" t="s">
        <v>838</v>
      </c>
      <c r="C33" s="87">
        <v>2.0</v>
      </c>
      <c r="D33" s="84" t="s">
        <v>558</v>
      </c>
      <c r="E33" s="84" t="s">
        <v>752</v>
      </c>
      <c r="F33" s="84" t="s">
        <v>650</v>
      </c>
      <c r="G33" s="84" t="s">
        <v>839</v>
      </c>
      <c r="H33" s="84" t="s">
        <v>840</v>
      </c>
      <c r="I33" s="84" t="s">
        <v>841</v>
      </c>
      <c r="J33" s="84" t="s">
        <v>842</v>
      </c>
      <c r="K33" s="85" t="s">
        <v>843</v>
      </c>
      <c r="L33" s="69"/>
      <c r="M33" s="84" t="s">
        <v>844</v>
      </c>
      <c r="N33" s="84" t="s">
        <v>845</v>
      </c>
      <c r="O33" s="84" t="s">
        <v>846</v>
      </c>
      <c r="P33" s="84" t="s">
        <v>847</v>
      </c>
      <c r="Q33" s="84" t="s">
        <v>848</v>
      </c>
      <c r="R33" s="84" t="s">
        <v>849</v>
      </c>
      <c r="S33" s="83" t="s">
        <v>850</v>
      </c>
      <c r="T33" s="84" t="s">
        <v>841</v>
      </c>
      <c r="U33" s="84" t="s">
        <v>851</v>
      </c>
      <c r="V33" s="84" t="s">
        <v>852</v>
      </c>
      <c r="W33" s="84" t="s">
        <v>853</v>
      </c>
      <c r="X33" s="84" t="s">
        <v>854</v>
      </c>
      <c r="Y33" s="84" t="s">
        <v>752</v>
      </c>
      <c r="Z33" s="84" t="s">
        <v>855</v>
      </c>
      <c r="AA33" s="84" t="s">
        <v>647</v>
      </c>
      <c r="AB33" s="84" t="s">
        <v>752</v>
      </c>
      <c r="AC33" s="84" t="s">
        <v>647</v>
      </c>
      <c r="AD33" s="84" t="s">
        <v>856</v>
      </c>
      <c r="AE33" s="69"/>
      <c r="AF33" s="84" t="s">
        <v>647</v>
      </c>
      <c r="AG33" s="84" t="s">
        <v>752</v>
      </c>
      <c r="AH33" s="10" t="s">
        <v>857</v>
      </c>
      <c r="AI33" s="83" t="s">
        <v>858</v>
      </c>
      <c r="AJ33" s="84" t="s">
        <v>859</v>
      </c>
      <c r="AK33" s="84" t="s">
        <v>860</v>
      </c>
      <c r="AL33" s="84" t="s">
        <v>861</v>
      </c>
      <c r="AM33" s="10" t="s">
        <v>862</v>
      </c>
      <c r="AN33" s="84" t="s">
        <v>863</v>
      </c>
      <c r="AO33" s="10" t="s">
        <v>864</v>
      </c>
      <c r="AP33" s="86" t="s">
        <v>814</v>
      </c>
      <c r="AQ33" s="84" t="s">
        <v>865</v>
      </c>
      <c r="AR33" s="84" t="s">
        <v>866</v>
      </c>
      <c r="AS33" s="84" t="s">
        <v>733</v>
      </c>
      <c r="AT33" s="10" t="s">
        <v>867</v>
      </c>
      <c r="AU33" s="10" t="s">
        <v>868</v>
      </c>
      <c r="AV33" s="10" t="s">
        <v>869</v>
      </c>
      <c r="AW33" s="84" t="s">
        <v>870</v>
      </c>
      <c r="AX33" s="84" t="s">
        <v>761</v>
      </c>
      <c r="AY33" s="83" t="s">
        <v>871</v>
      </c>
      <c r="AZ33" s="10" t="s">
        <v>872</v>
      </c>
      <c r="BA33" s="10" t="s">
        <v>873</v>
      </c>
      <c r="BB33" s="10" t="s">
        <v>874</v>
      </c>
      <c r="BC33" s="10" t="s">
        <v>875</v>
      </c>
      <c r="BD33" s="84" t="s">
        <v>859</v>
      </c>
      <c r="BE33" s="10" t="s">
        <v>876</v>
      </c>
      <c r="BF33" s="10" t="s">
        <v>877</v>
      </c>
      <c r="BG33" s="10" t="s">
        <v>878</v>
      </c>
      <c r="BH33" s="10" t="s">
        <v>879</v>
      </c>
      <c r="BI33" s="69"/>
      <c r="BJ33" s="10" t="s">
        <v>880</v>
      </c>
      <c r="BK33" s="10" t="s">
        <v>881</v>
      </c>
      <c r="BL33" s="10" t="s">
        <v>882</v>
      </c>
      <c r="BM33" s="10" t="s">
        <v>883</v>
      </c>
      <c r="BN33" s="10" t="s">
        <v>884</v>
      </c>
      <c r="BO33" s="72"/>
    </row>
    <row r="34" ht="15.75" customHeight="1">
      <c r="A34" s="73" t="s">
        <v>885</v>
      </c>
      <c r="B34" s="78"/>
      <c r="C34" s="14"/>
      <c r="D34" s="14"/>
      <c r="E34" s="14"/>
      <c r="F34" s="14"/>
      <c r="G34" s="14"/>
      <c r="H34" s="14"/>
      <c r="I34" s="14"/>
      <c r="J34" s="14"/>
      <c r="K34" s="14"/>
      <c r="L34" s="79"/>
      <c r="M34" s="14"/>
      <c r="N34" s="14"/>
      <c r="O34" s="14"/>
      <c r="P34" s="14"/>
      <c r="Q34" s="14"/>
      <c r="R34" s="14"/>
      <c r="S34" s="78"/>
      <c r="T34" s="14"/>
      <c r="U34" s="14"/>
      <c r="V34" s="14"/>
      <c r="W34" s="14"/>
      <c r="X34" s="14"/>
      <c r="Y34" s="14"/>
      <c r="Z34" s="14"/>
      <c r="AA34" s="14"/>
      <c r="AB34" s="14"/>
      <c r="AC34" s="14"/>
      <c r="AD34" s="14"/>
      <c r="AE34" s="79"/>
      <c r="AF34" s="14"/>
      <c r="AG34" s="14"/>
      <c r="AH34" s="14"/>
      <c r="AI34" s="78"/>
      <c r="AJ34" s="14"/>
      <c r="AK34" s="14"/>
      <c r="AL34" s="14"/>
      <c r="AM34" s="14"/>
      <c r="AN34" s="14"/>
      <c r="AO34" s="14">
        <v>14.25</v>
      </c>
      <c r="AP34" s="14"/>
      <c r="AQ34" s="14"/>
      <c r="AR34" s="14"/>
      <c r="AS34" s="14"/>
      <c r="AT34" s="14"/>
      <c r="AU34" s="14"/>
      <c r="AV34" s="14"/>
      <c r="AW34" s="14"/>
      <c r="AX34" s="14"/>
      <c r="AY34" s="78"/>
      <c r="AZ34" s="14"/>
      <c r="BA34" s="14"/>
      <c r="BB34" s="14"/>
      <c r="BC34" s="14"/>
      <c r="BD34" s="14"/>
      <c r="BE34" s="14"/>
      <c r="BF34" s="14"/>
      <c r="BG34" s="14"/>
      <c r="BH34" s="14"/>
      <c r="BI34" s="79"/>
      <c r="BJ34" s="14"/>
      <c r="BK34" s="14"/>
      <c r="BL34" s="14"/>
      <c r="BM34" s="14"/>
      <c r="BN34" s="14"/>
      <c r="BO34" s="81"/>
    </row>
    <row r="35" ht="15.75" customHeight="1">
      <c r="A35" s="67">
        <v>45811.0</v>
      </c>
      <c r="B35" s="68" t="s">
        <v>886</v>
      </c>
      <c r="C35" s="87">
        <v>3.0</v>
      </c>
      <c r="D35" s="84" t="s">
        <v>887</v>
      </c>
      <c r="E35" s="84" t="s">
        <v>888</v>
      </c>
      <c r="F35" s="84" t="s">
        <v>889</v>
      </c>
      <c r="G35" s="84" t="s">
        <v>890</v>
      </c>
      <c r="H35" s="84" t="s">
        <v>763</v>
      </c>
      <c r="I35" s="84" t="s">
        <v>855</v>
      </c>
      <c r="J35" s="84" t="s">
        <v>891</v>
      </c>
      <c r="K35" s="85" t="s">
        <v>843</v>
      </c>
      <c r="L35" s="69"/>
      <c r="M35" s="84" t="s">
        <v>892</v>
      </c>
      <c r="N35" s="84" t="s">
        <v>893</v>
      </c>
      <c r="O35" s="84" t="s">
        <v>894</v>
      </c>
      <c r="P35" s="84" t="s">
        <v>895</v>
      </c>
      <c r="Q35" s="84" t="s">
        <v>896</v>
      </c>
      <c r="R35" s="84" t="s">
        <v>897</v>
      </c>
      <c r="S35" s="83" t="s">
        <v>898</v>
      </c>
      <c r="T35" s="84" t="s">
        <v>899</v>
      </c>
      <c r="U35" s="84" t="s">
        <v>900</v>
      </c>
      <c r="V35" s="84" t="s">
        <v>901</v>
      </c>
      <c r="W35" s="84" t="s">
        <v>902</v>
      </c>
      <c r="X35" s="84" t="s">
        <v>903</v>
      </c>
      <c r="Y35" s="84" t="s">
        <v>904</v>
      </c>
      <c r="Z35" s="84" t="s">
        <v>905</v>
      </c>
      <c r="AA35" s="84" t="s">
        <v>906</v>
      </c>
      <c r="AB35" s="84" t="s">
        <v>907</v>
      </c>
      <c r="AC35" s="84" t="s">
        <v>908</v>
      </c>
      <c r="AD35" s="84" t="s">
        <v>909</v>
      </c>
      <c r="AE35" s="69"/>
      <c r="AF35" s="84" t="s">
        <v>910</v>
      </c>
      <c r="AG35" s="84" t="s">
        <v>911</v>
      </c>
      <c r="AH35" s="10" t="s">
        <v>912</v>
      </c>
      <c r="AI35" s="83" t="s">
        <v>913</v>
      </c>
      <c r="AJ35" s="84" t="s">
        <v>914</v>
      </c>
      <c r="AK35" s="84" t="s">
        <v>915</v>
      </c>
      <c r="AL35" s="84" t="s">
        <v>916</v>
      </c>
      <c r="AM35" s="84" t="s">
        <v>917</v>
      </c>
      <c r="AN35" s="84" t="s">
        <v>918</v>
      </c>
      <c r="AO35" s="84" t="s">
        <v>794</v>
      </c>
      <c r="AP35" s="86" t="s">
        <v>919</v>
      </c>
      <c r="AQ35" s="84" t="s">
        <v>920</v>
      </c>
      <c r="AR35" s="84" t="s">
        <v>921</v>
      </c>
      <c r="AS35" s="84" t="s">
        <v>763</v>
      </c>
      <c r="AT35" s="10" t="s">
        <v>922</v>
      </c>
      <c r="AU35" s="84" t="s">
        <v>923</v>
      </c>
      <c r="AV35" s="84" t="s">
        <v>924</v>
      </c>
      <c r="AW35" s="84" t="s">
        <v>925</v>
      </c>
      <c r="AX35" s="84" t="s">
        <v>926</v>
      </c>
      <c r="AY35" s="83" t="s">
        <v>927</v>
      </c>
      <c r="AZ35" s="10" t="s">
        <v>928</v>
      </c>
      <c r="BA35" s="84" t="s">
        <v>929</v>
      </c>
      <c r="BB35" s="10" t="s">
        <v>930</v>
      </c>
      <c r="BC35" s="10" t="s">
        <v>931</v>
      </c>
      <c r="BD35" s="84" t="s">
        <v>932</v>
      </c>
      <c r="BE35" s="84" t="s">
        <v>933</v>
      </c>
      <c r="BF35" s="10" t="s">
        <v>934</v>
      </c>
      <c r="BG35" s="10" t="s">
        <v>935</v>
      </c>
      <c r="BH35" s="10" t="s">
        <v>936</v>
      </c>
      <c r="BI35" s="69"/>
      <c r="BJ35" s="84" t="s">
        <v>937</v>
      </c>
      <c r="BK35" s="84" t="s">
        <v>938</v>
      </c>
      <c r="BL35" s="10" t="s">
        <v>939</v>
      </c>
      <c r="BM35" s="10" t="s">
        <v>940</v>
      </c>
      <c r="BN35" s="10" t="s">
        <v>941</v>
      </c>
      <c r="BO35" s="72"/>
    </row>
    <row r="36" ht="15.75" customHeight="1">
      <c r="A36" s="88"/>
      <c r="B36" s="78"/>
      <c r="C36" s="14"/>
      <c r="D36" s="14"/>
      <c r="E36" s="14"/>
      <c r="F36" s="14"/>
      <c r="G36" s="14"/>
      <c r="H36" s="14"/>
      <c r="I36" s="14"/>
      <c r="J36" s="14"/>
      <c r="K36" s="14"/>
      <c r="L36" s="79"/>
      <c r="M36" s="14"/>
      <c r="N36" s="14"/>
      <c r="O36" s="14"/>
      <c r="P36" s="14"/>
      <c r="Q36" s="14"/>
      <c r="R36" s="14"/>
      <c r="S36" s="78"/>
      <c r="T36" s="14"/>
      <c r="U36" s="14"/>
      <c r="V36" s="14"/>
      <c r="W36" s="14"/>
      <c r="X36" s="14"/>
      <c r="Y36" s="14"/>
      <c r="Z36" s="14"/>
      <c r="AA36" s="89"/>
      <c r="AB36" s="14"/>
      <c r="AC36" s="14"/>
      <c r="AD36" s="14"/>
      <c r="AE36" s="79"/>
      <c r="AF36" s="14"/>
      <c r="AG36" s="14"/>
      <c r="AH36" s="14"/>
      <c r="AI36" s="78"/>
      <c r="AJ36" s="14"/>
      <c r="AK36" s="14"/>
      <c r="AL36" s="14"/>
      <c r="AM36" s="14"/>
      <c r="AN36" s="14"/>
      <c r="AO36" s="14"/>
      <c r="AP36" s="14"/>
      <c r="AQ36" s="14"/>
      <c r="AR36" s="14"/>
      <c r="AS36" s="14"/>
      <c r="AT36" s="14"/>
      <c r="AU36" s="14"/>
      <c r="AV36" s="14"/>
      <c r="AW36" s="14"/>
      <c r="AX36" s="14"/>
      <c r="AY36" s="78"/>
      <c r="AZ36" s="14"/>
      <c r="BA36" s="14"/>
      <c r="BB36" s="14"/>
      <c r="BC36" s="14"/>
      <c r="BD36" s="14"/>
      <c r="BE36" s="14"/>
      <c r="BF36" s="14"/>
      <c r="BG36" s="14"/>
      <c r="BH36" s="14"/>
      <c r="BI36" s="79"/>
      <c r="BJ36" s="14"/>
      <c r="BK36" s="14"/>
      <c r="BL36" s="14"/>
      <c r="BM36" s="14"/>
      <c r="BN36" s="14"/>
      <c r="BO36" s="81"/>
    </row>
    <row r="37" ht="15.75" customHeight="1">
      <c r="A37" s="67">
        <v>45812.0</v>
      </c>
      <c r="B37" s="68"/>
      <c r="C37" s="10"/>
      <c r="D37" s="84" t="s">
        <v>942</v>
      </c>
      <c r="E37" s="84" t="s">
        <v>943</v>
      </c>
      <c r="F37" s="10" t="s">
        <v>944</v>
      </c>
      <c r="G37" s="84" t="s">
        <v>945</v>
      </c>
      <c r="H37" s="84" t="s">
        <v>943</v>
      </c>
      <c r="I37" s="84" t="s">
        <v>856</v>
      </c>
      <c r="J37" s="84" t="s">
        <v>946</v>
      </c>
      <c r="K37" s="85" t="s">
        <v>843</v>
      </c>
      <c r="L37" s="69"/>
      <c r="M37" s="84" t="s">
        <v>947</v>
      </c>
      <c r="N37" s="84" t="s">
        <v>948</v>
      </c>
      <c r="O37" s="84" t="s">
        <v>949</v>
      </c>
      <c r="P37" s="84" t="s">
        <v>950</v>
      </c>
      <c r="Q37" s="84" t="s">
        <v>951</v>
      </c>
      <c r="R37" s="84" t="s">
        <v>952</v>
      </c>
      <c r="S37" s="83" t="s">
        <v>953</v>
      </c>
      <c r="T37" s="84" t="s">
        <v>954</v>
      </c>
      <c r="U37" s="84" t="s">
        <v>955</v>
      </c>
      <c r="V37" s="84" t="s">
        <v>956</v>
      </c>
      <c r="W37" s="84" t="s">
        <v>957</v>
      </c>
      <c r="X37" s="84" t="s">
        <v>958</v>
      </c>
      <c r="Y37" s="84" t="s">
        <v>959</v>
      </c>
      <c r="Z37" s="84" t="s">
        <v>960</v>
      </c>
      <c r="AA37" s="84" t="s">
        <v>961</v>
      </c>
      <c r="AB37" s="84" t="s">
        <v>962</v>
      </c>
      <c r="AC37" s="84" t="s">
        <v>937</v>
      </c>
      <c r="AD37" s="84" t="s">
        <v>963</v>
      </c>
      <c r="AE37" s="69"/>
      <c r="AF37" s="84" t="s">
        <v>964</v>
      </c>
      <c r="AG37" s="84" t="s">
        <v>965</v>
      </c>
      <c r="AH37" s="84" t="s">
        <v>966</v>
      </c>
      <c r="AI37" s="83" t="s">
        <v>967</v>
      </c>
      <c r="AJ37" s="84" t="s">
        <v>968</v>
      </c>
      <c r="AK37" s="84" t="s">
        <v>969</v>
      </c>
      <c r="AL37" s="84" t="s">
        <v>970</v>
      </c>
      <c r="AM37" s="84" t="s">
        <v>971</v>
      </c>
      <c r="AN37" s="84" t="s">
        <v>972</v>
      </c>
      <c r="AO37" s="84" t="s">
        <v>973</v>
      </c>
      <c r="AP37" s="86" t="s">
        <v>919</v>
      </c>
      <c r="AQ37" s="84" t="s">
        <v>974</v>
      </c>
      <c r="AR37" s="84" t="s">
        <v>975</v>
      </c>
      <c r="AS37" s="84" t="s">
        <v>976</v>
      </c>
      <c r="AT37" s="84" t="s">
        <v>790</v>
      </c>
      <c r="AU37" s="84" t="s">
        <v>977</v>
      </c>
      <c r="AV37" s="10" t="s">
        <v>978</v>
      </c>
      <c r="AW37" s="10" t="s">
        <v>979</v>
      </c>
      <c r="AX37" s="10" t="s">
        <v>980</v>
      </c>
      <c r="AY37" s="68" t="s">
        <v>981</v>
      </c>
      <c r="AZ37" s="10" t="s">
        <v>982</v>
      </c>
      <c r="BA37" s="10" t="s">
        <v>983</v>
      </c>
      <c r="BB37" s="10" t="s">
        <v>984</v>
      </c>
      <c r="BC37" s="10" t="s">
        <v>985</v>
      </c>
      <c r="BD37" s="10" t="s">
        <v>986</v>
      </c>
      <c r="BE37" s="10" t="s">
        <v>987</v>
      </c>
      <c r="BF37" s="10" t="s">
        <v>988</v>
      </c>
      <c r="BG37" s="10" t="s">
        <v>989</v>
      </c>
      <c r="BH37" s="10" t="s">
        <v>990</v>
      </c>
      <c r="BI37" s="69"/>
      <c r="BJ37" s="10" t="s">
        <v>991</v>
      </c>
      <c r="BK37" s="10" t="s">
        <v>992</v>
      </c>
      <c r="BL37" s="10" t="s">
        <v>993</v>
      </c>
      <c r="BM37" s="10" t="s">
        <v>994</v>
      </c>
      <c r="BN37" s="10" t="s">
        <v>995</v>
      </c>
      <c r="BO37" s="72"/>
    </row>
    <row r="38" ht="15.75" customHeight="1">
      <c r="A38" s="67"/>
      <c r="B38" s="68"/>
      <c r="C38" s="10"/>
      <c r="D38" s="10"/>
      <c r="E38" s="10"/>
      <c r="F38" s="10"/>
      <c r="G38" s="10"/>
      <c r="H38" s="10"/>
      <c r="I38" s="10"/>
      <c r="J38" s="10"/>
      <c r="K38" s="10"/>
      <c r="L38" s="69"/>
      <c r="M38" s="10"/>
      <c r="N38" s="10"/>
      <c r="O38" s="10"/>
      <c r="P38" s="10"/>
      <c r="Q38" s="10"/>
      <c r="R38" s="10"/>
      <c r="S38" s="68"/>
      <c r="T38" s="10"/>
      <c r="U38" s="10"/>
      <c r="V38" s="10"/>
      <c r="W38" s="10"/>
      <c r="X38" s="10"/>
      <c r="Y38" s="10"/>
      <c r="Z38" s="10"/>
      <c r="AA38" s="10"/>
      <c r="AB38" s="10"/>
      <c r="AC38" s="10"/>
      <c r="AD38" s="10"/>
      <c r="AE38" s="69"/>
      <c r="AF38" s="10"/>
      <c r="AG38" s="10"/>
      <c r="AH38" s="10"/>
      <c r="AI38" s="68"/>
      <c r="AJ38" s="10"/>
      <c r="AK38" s="10"/>
      <c r="AL38" s="10"/>
      <c r="AM38" s="10"/>
      <c r="AN38" s="10"/>
      <c r="AO38" s="10"/>
      <c r="AP38" s="10"/>
      <c r="AQ38" s="10"/>
      <c r="AR38" s="10"/>
      <c r="AS38" s="10"/>
      <c r="AT38" s="10"/>
      <c r="AU38" s="10"/>
      <c r="AV38" s="10"/>
      <c r="AW38" s="10"/>
      <c r="AX38" s="10"/>
      <c r="AY38" s="68"/>
      <c r="AZ38" s="10"/>
      <c r="BA38" s="10"/>
      <c r="BB38" s="10"/>
      <c r="BC38" s="10"/>
      <c r="BD38" s="10"/>
      <c r="BE38" s="10"/>
      <c r="BF38" s="10"/>
      <c r="BG38" s="10"/>
      <c r="BH38" s="10"/>
      <c r="BI38" s="69"/>
      <c r="BJ38" s="10"/>
      <c r="BK38" s="10"/>
      <c r="BL38" s="10"/>
      <c r="BM38" s="10"/>
      <c r="BN38" s="10"/>
      <c r="BO38" s="72"/>
    </row>
    <row r="39" ht="15.75" customHeight="1">
      <c r="A39" s="90">
        <v>45813.0</v>
      </c>
      <c r="B39" s="91" t="s">
        <v>996</v>
      </c>
      <c r="C39" s="71"/>
      <c r="D39" s="92" t="s">
        <v>997</v>
      </c>
      <c r="E39" s="92" t="s">
        <v>998</v>
      </c>
      <c r="F39" s="92" t="s">
        <v>999</v>
      </c>
      <c r="G39" s="92" t="s">
        <v>1000</v>
      </c>
      <c r="H39" s="92" t="s">
        <v>1001</v>
      </c>
      <c r="I39" s="92" t="s">
        <v>1002</v>
      </c>
      <c r="J39" s="92" t="s">
        <v>1003</v>
      </c>
      <c r="K39" s="93" t="s">
        <v>843</v>
      </c>
      <c r="L39" s="94"/>
      <c r="M39" s="92" t="s">
        <v>1004</v>
      </c>
      <c r="N39" s="92" t="s">
        <v>1005</v>
      </c>
      <c r="O39" s="92" t="s">
        <v>1006</v>
      </c>
      <c r="P39" s="92" t="s">
        <v>1007</v>
      </c>
      <c r="Q39" s="92" t="s">
        <v>1008</v>
      </c>
      <c r="R39" s="92" t="s">
        <v>1009</v>
      </c>
      <c r="S39" s="95" t="s">
        <v>1010</v>
      </c>
      <c r="T39" s="92" t="s">
        <v>1011</v>
      </c>
      <c r="U39" s="92" t="s">
        <v>1012</v>
      </c>
      <c r="V39" s="92" t="s">
        <v>1013</v>
      </c>
      <c r="W39" s="92" t="s">
        <v>1014</v>
      </c>
      <c r="X39" s="92" t="s">
        <v>1015</v>
      </c>
      <c r="Y39" s="92" t="s">
        <v>1016</v>
      </c>
      <c r="Z39" s="92" t="s">
        <v>1017</v>
      </c>
      <c r="AA39" s="92" t="s">
        <v>1018</v>
      </c>
      <c r="AB39" s="92" t="s">
        <v>1019</v>
      </c>
      <c r="AC39" s="92" t="s">
        <v>1014</v>
      </c>
      <c r="AD39" s="92" t="s">
        <v>1020</v>
      </c>
      <c r="AE39" s="94"/>
      <c r="AF39" s="92" t="s">
        <v>1021</v>
      </c>
      <c r="AG39" s="92" t="s">
        <v>1022</v>
      </c>
      <c r="AH39" s="92" t="s">
        <v>1023</v>
      </c>
      <c r="AI39" s="95" t="s">
        <v>1024</v>
      </c>
      <c r="AJ39" s="92" t="s">
        <v>1025</v>
      </c>
      <c r="AK39" s="92" t="s">
        <v>1026</v>
      </c>
      <c r="AL39" s="92" t="s">
        <v>1027</v>
      </c>
      <c r="AM39" s="92" t="s">
        <v>921</v>
      </c>
      <c r="AN39" s="92" t="s">
        <v>1028</v>
      </c>
      <c r="AO39" s="92" t="s">
        <v>1029</v>
      </c>
      <c r="AP39" s="96" t="s">
        <v>919</v>
      </c>
      <c r="AQ39" s="92" t="s">
        <v>1030</v>
      </c>
      <c r="AR39" s="92" t="s">
        <v>1031</v>
      </c>
      <c r="AS39" s="92" t="s">
        <v>1032</v>
      </c>
      <c r="AT39" s="92" t="s">
        <v>1033</v>
      </c>
      <c r="AU39" s="92" t="s">
        <v>1034</v>
      </c>
      <c r="AV39" s="71" t="s">
        <v>1035</v>
      </c>
      <c r="AW39" s="92" t="s">
        <v>1036</v>
      </c>
      <c r="AX39" s="92" t="s">
        <v>1037</v>
      </c>
      <c r="AY39" s="95" t="s">
        <v>1038</v>
      </c>
      <c r="AZ39" s="92" t="s">
        <v>1031</v>
      </c>
      <c r="BA39" s="71" t="s">
        <v>1039</v>
      </c>
      <c r="BB39" s="92" t="s">
        <v>1028</v>
      </c>
      <c r="BC39" s="92" t="s">
        <v>1040</v>
      </c>
      <c r="BD39" s="71" t="s">
        <v>1041</v>
      </c>
      <c r="BE39" s="71" t="s">
        <v>1042</v>
      </c>
      <c r="BF39" s="71" t="s">
        <v>1043</v>
      </c>
      <c r="BG39" s="71" t="s">
        <v>1044</v>
      </c>
      <c r="BH39" s="71" t="s">
        <v>1045</v>
      </c>
      <c r="BI39" s="94"/>
      <c r="BJ39" s="71" t="s">
        <v>1046</v>
      </c>
      <c r="BK39" s="71" t="s">
        <v>1047</v>
      </c>
      <c r="BL39" s="71" t="s">
        <v>1048</v>
      </c>
      <c r="BM39" s="71" t="s">
        <v>1049</v>
      </c>
      <c r="BN39" s="92" t="s">
        <v>1050</v>
      </c>
      <c r="BO39" s="97"/>
    </row>
    <row r="40" ht="15.75" customHeight="1">
      <c r="A40" s="88"/>
      <c r="B40" s="78"/>
      <c r="C40" s="14"/>
      <c r="D40" s="14"/>
      <c r="E40" s="14"/>
      <c r="F40" s="14"/>
      <c r="G40" s="14"/>
      <c r="H40" s="14"/>
      <c r="I40" s="14"/>
      <c r="J40" s="14"/>
      <c r="K40" s="14"/>
      <c r="L40" s="79"/>
      <c r="M40" s="14"/>
      <c r="N40" s="14"/>
      <c r="O40" s="14"/>
      <c r="P40" s="14"/>
      <c r="Q40" s="14"/>
      <c r="R40" s="14"/>
      <c r="S40" s="78"/>
      <c r="T40" s="14"/>
      <c r="U40" s="14"/>
      <c r="V40" s="14"/>
      <c r="W40" s="14"/>
      <c r="X40" s="14"/>
      <c r="Y40" s="14"/>
      <c r="Z40" s="14"/>
      <c r="AA40" s="14"/>
      <c r="AB40" s="14"/>
      <c r="AC40" s="14"/>
      <c r="AD40" s="14"/>
      <c r="AE40" s="79"/>
      <c r="AF40" s="14"/>
      <c r="AG40" s="14"/>
      <c r="AH40" s="14"/>
      <c r="AI40" s="78"/>
      <c r="AJ40" s="14"/>
      <c r="AK40" s="14"/>
      <c r="AL40" s="14"/>
      <c r="AM40" s="14"/>
      <c r="AN40" s="14"/>
      <c r="AO40" s="14"/>
      <c r="AP40" s="14"/>
      <c r="AQ40" s="14"/>
      <c r="AR40" s="14"/>
      <c r="AS40" s="14"/>
      <c r="AT40" s="14"/>
      <c r="AU40" s="14"/>
      <c r="AV40" s="14"/>
      <c r="AW40" s="14"/>
      <c r="AX40" s="14"/>
      <c r="AY40" s="78"/>
      <c r="AZ40" s="14"/>
      <c r="BA40" s="14"/>
      <c r="BB40" s="14"/>
      <c r="BC40" s="14"/>
      <c r="BD40" s="14"/>
      <c r="BE40" s="14"/>
      <c r="BF40" s="14"/>
      <c r="BG40" s="14"/>
      <c r="BH40" s="14"/>
      <c r="BI40" s="79"/>
      <c r="BJ40" s="14"/>
      <c r="BK40" s="14"/>
      <c r="BL40" s="14"/>
      <c r="BM40" s="14"/>
      <c r="BN40" s="14"/>
      <c r="BO40" s="81"/>
    </row>
    <row r="41" ht="15.75" customHeight="1">
      <c r="A41" s="67"/>
      <c r="B41" s="68"/>
      <c r="C41" s="10"/>
      <c r="D41" s="10"/>
      <c r="E41" s="10"/>
      <c r="F41" s="10"/>
      <c r="G41" s="10"/>
      <c r="H41" s="10"/>
      <c r="I41" s="10"/>
      <c r="J41" s="10"/>
      <c r="K41" s="10"/>
      <c r="L41" s="69"/>
      <c r="M41" s="10"/>
      <c r="N41" s="10"/>
      <c r="O41" s="10"/>
      <c r="P41" s="10"/>
      <c r="Q41" s="10"/>
      <c r="R41" s="10"/>
      <c r="S41" s="68"/>
      <c r="T41" s="10"/>
      <c r="U41" s="10"/>
      <c r="V41" s="10"/>
      <c r="W41" s="10"/>
      <c r="X41" s="10"/>
      <c r="Y41" s="10"/>
      <c r="Z41" s="10"/>
      <c r="AA41" s="10"/>
      <c r="AB41" s="10"/>
      <c r="AC41" s="10"/>
      <c r="AD41" s="10"/>
      <c r="AE41" s="69"/>
      <c r="AF41" s="10"/>
      <c r="AG41" s="10"/>
      <c r="AH41" s="10"/>
      <c r="AI41" s="68"/>
      <c r="AJ41" s="10"/>
      <c r="AK41" s="10"/>
      <c r="AL41" s="10"/>
      <c r="AM41" s="10"/>
      <c r="AN41" s="10"/>
      <c r="AO41" s="10"/>
      <c r="AP41" s="10"/>
      <c r="AQ41" s="10"/>
      <c r="AR41" s="10"/>
      <c r="AS41" s="10"/>
      <c r="AT41" s="10"/>
      <c r="AU41" s="10"/>
      <c r="AV41" s="10"/>
      <c r="AW41" s="10"/>
      <c r="AX41" s="10"/>
      <c r="AY41" s="68"/>
      <c r="AZ41" s="10"/>
      <c r="BA41" s="10"/>
      <c r="BB41" s="10"/>
      <c r="BC41" s="10"/>
      <c r="BD41" s="10"/>
      <c r="BE41" s="10"/>
      <c r="BF41" s="10"/>
      <c r="BG41" s="10"/>
      <c r="BH41" s="10"/>
      <c r="BI41" s="69"/>
      <c r="BJ41" s="10"/>
      <c r="BK41" s="10"/>
      <c r="BL41" s="10"/>
      <c r="BM41" s="10"/>
      <c r="BN41" s="10"/>
      <c r="BO41" s="72"/>
    </row>
    <row r="42" ht="15.75" customHeight="1">
      <c r="A42" s="67"/>
      <c r="B42" s="68"/>
      <c r="C42" s="10"/>
      <c r="D42" s="10"/>
      <c r="E42" s="10"/>
      <c r="F42" s="10"/>
      <c r="G42" s="10"/>
      <c r="H42" s="10"/>
      <c r="I42" s="10"/>
      <c r="J42" s="10"/>
      <c r="K42" s="10"/>
      <c r="L42" s="69"/>
      <c r="M42" s="10"/>
      <c r="N42" s="10"/>
      <c r="O42" s="10"/>
      <c r="P42" s="10"/>
      <c r="Q42" s="10"/>
      <c r="R42" s="10"/>
      <c r="S42" s="68"/>
      <c r="T42" s="10"/>
      <c r="U42" s="10"/>
      <c r="V42" s="10"/>
      <c r="W42" s="10"/>
      <c r="X42" s="10"/>
      <c r="Y42" s="10"/>
      <c r="Z42" s="10"/>
      <c r="AA42" s="10"/>
      <c r="AB42" s="10"/>
      <c r="AC42" s="10"/>
      <c r="AD42" s="10"/>
      <c r="AE42" s="69"/>
      <c r="AF42" s="10"/>
      <c r="AG42" s="10"/>
      <c r="AH42" s="10"/>
      <c r="AI42" s="68"/>
      <c r="AJ42" s="10"/>
      <c r="AK42" s="10"/>
      <c r="AL42" s="10"/>
      <c r="AM42" s="10"/>
      <c r="AN42" s="10"/>
      <c r="AO42" s="10"/>
      <c r="AP42" s="10"/>
      <c r="AQ42" s="10"/>
      <c r="AR42" s="10"/>
      <c r="AS42" s="10"/>
      <c r="AT42" s="10"/>
      <c r="AU42" s="10"/>
      <c r="AV42" s="10"/>
      <c r="AW42" s="10"/>
      <c r="AX42" s="10"/>
      <c r="AY42" s="68"/>
      <c r="AZ42" s="10"/>
      <c r="BA42" s="10"/>
      <c r="BB42" s="10"/>
      <c r="BC42" s="10"/>
      <c r="BD42" s="10"/>
      <c r="BE42" s="10"/>
      <c r="BF42" s="10"/>
      <c r="BG42" s="10"/>
      <c r="BH42" s="10"/>
      <c r="BI42" s="69"/>
      <c r="BJ42" s="10"/>
      <c r="BK42" s="10"/>
      <c r="BL42" s="10"/>
      <c r="BM42" s="10"/>
      <c r="BN42" s="10"/>
      <c r="BO42" s="72"/>
    </row>
    <row r="43" ht="15.75" customHeight="1">
      <c r="A43" s="67"/>
      <c r="B43" s="68"/>
      <c r="C43" s="10"/>
      <c r="D43" s="10"/>
      <c r="E43" s="10"/>
      <c r="F43" s="10"/>
      <c r="G43" s="10"/>
      <c r="H43" s="10"/>
      <c r="I43" s="10"/>
      <c r="J43" s="10"/>
      <c r="K43" s="10"/>
      <c r="L43" s="69"/>
      <c r="M43" s="10"/>
      <c r="N43" s="10"/>
      <c r="O43" s="10"/>
      <c r="P43" s="10"/>
      <c r="Q43" s="10"/>
      <c r="R43" s="10"/>
      <c r="S43" s="68"/>
      <c r="T43" s="10"/>
      <c r="U43" s="10"/>
      <c r="V43" s="10"/>
      <c r="W43" s="10"/>
      <c r="X43" s="10"/>
      <c r="Y43" s="10"/>
      <c r="Z43" s="10"/>
      <c r="AA43" s="10"/>
      <c r="AB43" s="10"/>
      <c r="AC43" s="10"/>
      <c r="AD43" s="10"/>
      <c r="AE43" s="69"/>
      <c r="AF43" s="10"/>
      <c r="AG43" s="10"/>
      <c r="AH43" s="10"/>
      <c r="AI43" s="68"/>
      <c r="AJ43" s="10"/>
      <c r="AK43" s="10"/>
      <c r="AL43" s="10"/>
      <c r="AM43" s="10"/>
      <c r="AN43" s="10"/>
      <c r="AO43" s="10"/>
      <c r="AP43" s="10"/>
      <c r="AQ43" s="10"/>
      <c r="AR43" s="10"/>
      <c r="AS43" s="10"/>
      <c r="AT43" s="10"/>
      <c r="AU43" s="10"/>
      <c r="AV43" s="10"/>
      <c r="AW43" s="10"/>
      <c r="AX43" s="10"/>
      <c r="AY43" s="68"/>
      <c r="AZ43" s="10"/>
      <c r="BA43" s="10"/>
      <c r="BB43" s="10"/>
      <c r="BC43" s="10"/>
      <c r="BD43" s="10"/>
      <c r="BE43" s="10"/>
      <c r="BF43" s="10"/>
      <c r="BG43" s="10"/>
      <c r="BH43" s="10"/>
      <c r="BI43" s="69"/>
      <c r="BJ43" s="10"/>
      <c r="BK43" s="10"/>
      <c r="BL43" s="10"/>
      <c r="BM43" s="10"/>
      <c r="BN43" s="10"/>
      <c r="BO43" s="72"/>
    </row>
    <row r="44" ht="15.75" customHeight="1">
      <c r="A44" s="82"/>
      <c r="B44" s="68"/>
      <c r="C44" s="10"/>
      <c r="D44" s="10"/>
      <c r="E44" s="10"/>
      <c r="F44" s="10"/>
      <c r="G44" s="10"/>
      <c r="H44" s="10"/>
      <c r="I44" s="10"/>
      <c r="J44" s="10"/>
      <c r="K44" s="10"/>
      <c r="L44" s="69"/>
      <c r="M44" s="10"/>
      <c r="N44" s="10"/>
      <c r="O44" s="10"/>
      <c r="P44" s="10"/>
      <c r="Q44" s="10"/>
      <c r="R44" s="10"/>
      <c r="S44" s="68"/>
      <c r="T44" s="10"/>
      <c r="U44" s="10"/>
      <c r="V44" s="10"/>
      <c r="W44" s="10"/>
      <c r="X44" s="10"/>
      <c r="Y44" s="10"/>
      <c r="Z44" s="10"/>
      <c r="AA44" s="10"/>
      <c r="AB44" s="10"/>
      <c r="AC44" s="10"/>
      <c r="AD44" s="10"/>
      <c r="AE44" s="69"/>
      <c r="AF44" s="10"/>
      <c r="AG44" s="10"/>
      <c r="AH44" s="10"/>
      <c r="AI44" s="68"/>
      <c r="AJ44" s="10"/>
      <c r="AK44" s="10"/>
      <c r="AL44" s="10"/>
      <c r="AM44" s="10"/>
      <c r="AN44" s="10"/>
      <c r="AO44" s="10"/>
      <c r="AP44" s="10"/>
      <c r="AQ44" s="10"/>
      <c r="AR44" s="10"/>
      <c r="AS44" s="10"/>
      <c r="AT44" s="10"/>
      <c r="AU44" s="10"/>
      <c r="AV44" s="10"/>
      <c r="AW44" s="10"/>
      <c r="AX44" s="10"/>
      <c r="AY44" s="68"/>
      <c r="AZ44" s="10"/>
      <c r="BA44" s="10"/>
      <c r="BB44" s="10"/>
      <c r="BC44" s="10"/>
      <c r="BD44" s="10"/>
      <c r="BE44" s="10"/>
      <c r="BF44" s="10"/>
      <c r="BG44" s="10"/>
      <c r="BH44" s="10"/>
      <c r="BI44" s="69"/>
      <c r="BJ44" s="10"/>
      <c r="BK44" s="10"/>
      <c r="BL44" s="10"/>
      <c r="BM44" s="10"/>
      <c r="BN44" s="10"/>
      <c r="BO44" s="72"/>
    </row>
    <row r="45" ht="15.75" customHeight="1">
      <c r="A45" s="67"/>
      <c r="B45" s="68"/>
      <c r="C45" s="10"/>
      <c r="D45" s="10"/>
      <c r="E45" s="10"/>
      <c r="F45" s="10"/>
      <c r="G45" s="10"/>
      <c r="H45" s="10"/>
      <c r="I45" s="10"/>
      <c r="J45" s="10"/>
      <c r="K45" s="10"/>
      <c r="L45" s="69"/>
      <c r="M45" s="10"/>
      <c r="N45" s="10"/>
      <c r="O45" s="10"/>
      <c r="P45" s="10"/>
      <c r="Q45" s="10"/>
      <c r="R45" s="10"/>
      <c r="S45" s="68"/>
      <c r="T45" s="10"/>
      <c r="U45" s="10"/>
      <c r="V45" s="10"/>
      <c r="W45" s="10"/>
      <c r="X45" s="10"/>
      <c r="Y45" s="10"/>
      <c r="Z45" s="10"/>
      <c r="AA45" s="10"/>
      <c r="AB45" s="10"/>
      <c r="AC45" s="10"/>
      <c r="AD45" s="10"/>
      <c r="AE45" s="69"/>
      <c r="AF45" s="10"/>
      <c r="AG45" s="10"/>
      <c r="AH45" s="10"/>
      <c r="AI45" s="68"/>
      <c r="AJ45" s="10"/>
      <c r="AK45" s="10"/>
      <c r="AL45" s="10"/>
      <c r="AM45" s="10"/>
      <c r="AN45" s="10"/>
      <c r="AO45" s="10"/>
      <c r="AP45" s="10"/>
      <c r="AQ45" s="10"/>
      <c r="AR45" s="10"/>
      <c r="AS45" s="10"/>
      <c r="AT45" s="10"/>
      <c r="AU45" s="10"/>
      <c r="AV45" s="10"/>
      <c r="AW45" s="10"/>
      <c r="AX45" s="10"/>
      <c r="AY45" s="68"/>
      <c r="AZ45" s="10"/>
      <c r="BA45" s="10"/>
      <c r="BB45" s="10"/>
      <c r="BC45" s="10"/>
      <c r="BD45" s="10"/>
      <c r="BE45" s="10"/>
      <c r="BF45" s="10"/>
      <c r="BG45" s="10"/>
      <c r="BH45" s="10"/>
      <c r="BI45" s="69"/>
      <c r="BJ45" s="10"/>
      <c r="BK45" s="10"/>
      <c r="BL45" s="10"/>
      <c r="BM45" s="10"/>
      <c r="BN45" s="10"/>
      <c r="BO45" s="72"/>
    </row>
    <row r="46" ht="15.75" customHeight="1">
      <c r="A46" s="67"/>
      <c r="B46" s="68"/>
      <c r="C46" s="10"/>
      <c r="D46" s="10"/>
      <c r="E46" s="10"/>
      <c r="F46" s="10"/>
      <c r="G46" s="10"/>
      <c r="H46" s="10"/>
      <c r="I46" s="10"/>
      <c r="J46" s="10"/>
      <c r="K46" s="10"/>
      <c r="L46" s="69"/>
      <c r="M46" s="10"/>
      <c r="N46" s="10"/>
      <c r="O46" s="10"/>
      <c r="P46" s="10"/>
      <c r="Q46" s="10"/>
      <c r="R46" s="10"/>
      <c r="S46" s="68"/>
      <c r="T46" s="10"/>
      <c r="U46" s="10"/>
      <c r="V46" s="10"/>
      <c r="W46" s="10"/>
      <c r="X46" s="10"/>
      <c r="Y46" s="10"/>
      <c r="Z46" s="10"/>
      <c r="AA46" s="10"/>
      <c r="AB46" s="10"/>
      <c r="AC46" s="10"/>
      <c r="AD46" s="10"/>
      <c r="AE46" s="69"/>
      <c r="AF46" s="10"/>
      <c r="AG46" s="10"/>
      <c r="AH46" s="10"/>
      <c r="AI46" s="68"/>
      <c r="AJ46" s="10"/>
      <c r="AK46" s="10"/>
      <c r="AL46" s="10"/>
      <c r="AM46" s="10"/>
      <c r="AN46" s="10"/>
      <c r="AO46" s="10"/>
      <c r="AP46" s="10"/>
      <c r="AQ46" s="10"/>
      <c r="AR46" s="10"/>
      <c r="AS46" s="10"/>
      <c r="AT46" s="10"/>
      <c r="AU46" s="10"/>
      <c r="AV46" s="10"/>
      <c r="AW46" s="10"/>
      <c r="AX46" s="10"/>
      <c r="AY46" s="68"/>
      <c r="AZ46" s="10"/>
      <c r="BA46" s="10"/>
      <c r="BB46" s="10"/>
      <c r="BC46" s="10"/>
      <c r="BD46" s="10"/>
      <c r="BE46" s="10"/>
      <c r="BF46" s="10"/>
      <c r="BG46" s="10"/>
      <c r="BH46" s="10"/>
      <c r="BI46" s="69"/>
      <c r="BJ46" s="10"/>
      <c r="BK46" s="10"/>
      <c r="BL46" s="10"/>
      <c r="BM46" s="10"/>
      <c r="BN46" s="10"/>
      <c r="BO46" s="72"/>
    </row>
    <row r="47" ht="15.75" customHeight="1">
      <c r="A47" s="67"/>
      <c r="B47" s="68"/>
      <c r="C47" s="10"/>
      <c r="D47" s="10"/>
      <c r="E47" s="10"/>
      <c r="F47" s="10"/>
      <c r="G47" s="10"/>
      <c r="H47" s="10"/>
      <c r="I47" s="10"/>
      <c r="J47" s="10"/>
      <c r="K47" s="10"/>
      <c r="L47" s="69"/>
      <c r="M47" s="10"/>
      <c r="N47" s="10"/>
      <c r="O47" s="10"/>
      <c r="P47" s="10"/>
      <c r="Q47" s="10"/>
      <c r="R47" s="10"/>
      <c r="S47" s="68"/>
      <c r="T47" s="10"/>
      <c r="U47" s="10"/>
      <c r="V47" s="10"/>
      <c r="W47" s="10"/>
      <c r="X47" s="10"/>
      <c r="Y47" s="10"/>
      <c r="Z47" s="10"/>
      <c r="AA47" s="10"/>
      <c r="AB47" s="10"/>
      <c r="AC47" s="10"/>
      <c r="AD47" s="10"/>
      <c r="AE47" s="69"/>
      <c r="AF47" s="10"/>
      <c r="AG47" s="10"/>
      <c r="AH47" s="10"/>
      <c r="AI47" s="68"/>
      <c r="AJ47" s="10"/>
      <c r="AK47" s="10"/>
      <c r="AL47" s="10"/>
      <c r="AM47" s="10"/>
      <c r="AN47" s="10"/>
      <c r="AO47" s="10"/>
      <c r="AP47" s="10"/>
      <c r="AQ47" s="10"/>
      <c r="AR47" s="10"/>
      <c r="AS47" s="10"/>
      <c r="AT47" s="10"/>
      <c r="AU47" s="10"/>
      <c r="AV47" s="10"/>
      <c r="AW47" s="10"/>
      <c r="AX47" s="10"/>
      <c r="AY47" s="68"/>
      <c r="AZ47" s="10"/>
      <c r="BA47" s="10"/>
      <c r="BB47" s="10"/>
      <c r="BC47" s="10"/>
      <c r="BD47" s="10"/>
      <c r="BE47" s="10"/>
      <c r="BF47" s="10"/>
      <c r="BG47" s="10"/>
      <c r="BH47" s="10"/>
      <c r="BI47" s="69"/>
      <c r="BJ47" s="10"/>
      <c r="BK47" s="10"/>
      <c r="BL47" s="10"/>
      <c r="BM47" s="10"/>
      <c r="BN47" s="10"/>
      <c r="BO47" s="72"/>
    </row>
    <row r="48" ht="15.75" customHeight="1">
      <c r="A48" s="67"/>
      <c r="B48" s="68"/>
      <c r="C48" s="10"/>
      <c r="D48" s="10"/>
      <c r="E48" s="10"/>
      <c r="F48" s="10"/>
      <c r="G48" s="10"/>
      <c r="H48" s="10"/>
      <c r="I48" s="10"/>
      <c r="J48" s="10"/>
      <c r="K48" s="10"/>
      <c r="L48" s="69"/>
      <c r="M48" s="10"/>
      <c r="N48" s="10"/>
      <c r="O48" s="10"/>
      <c r="P48" s="10"/>
      <c r="Q48" s="10"/>
      <c r="R48" s="10"/>
      <c r="S48" s="68"/>
      <c r="T48" s="10"/>
      <c r="U48" s="10"/>
      <c r="V48" s="10"/>
      <c r="W48" s="10"/>
      <c r="X48" s="10"/>
      <c r="Y48" s="10"/>
      <c r="Z48" s="10"/>
      <c r="AA48" s="10"/>
      <c r="AB48" s="10"/>
      <c r="AC48" s="10"/>
      <c r="AD48" s="10"/>
      <c r="AE48" s="69"/>
      <c r="AF48" s="10"/>
      <c r="AG48" s="10"/>
      <c r="AH48" s="10"/>
      <c r="AI48" s="68"/>
      <c r="AJ48" s="10"/>
      <c r="AK48" s="10"/>
      <c r="AL48" s="10"/>
      <c r="AM48" s="10"/>
      <c r="AN48" s="10"/>
      <c r="AO48" s="10"/>
      <c r="AP48" s="10"/>
      <c r="AQ48" s="10"/>
      <c r="AR48" s="10"/>
      <c r="AS48" s="10"/>
      <c r="AT48" s="10"/>
      <c r="AU48" s="10"/>
      <c r="AV48" s="10"/>
      <c r="AW48" s="10"/>
      <c r="AX48" s="10"/>
      <c r="AY48" s="68"/>
      <c r="AZ48" s="10"/>
      <c r="BA48" s="10"/>
      <c r="BB48" s="10"/>
      <c r="BC48" s="10"/>
      <c r="BD48" s="10"/>
      <c r="BE48" s="10"/>
      <c r="BF48" s="10"/>
      <c r="BG48" s="10"/>
      <c r="BH48" s="10"/>
      <c r="BI48" s="69"/>
      <c r="BJ48" s="10"/>
      <c r="BK48" s="10"/>
      <c r="BL48" s="10"/>
      <c r="BM48" s="10"/>
      <c r="BN48" s="10"/>
      <c r="BO48" s="72"/>
    </row>
    <row r="49" ht="15.75" customHeight="1">
      <c r="A49" s="67"/>
      <c r="B49" s="68"/>
      <c r="C49" s="10"/>
      <c r="D49" s="10"/>
      <c r="E49" s="10"/>
      <c r="F49" s="10"/>
      <c r="G49" s="10"/>
      <c r="H49" s="10"/>
      <c r="I49" s="10"/>
      <c r="J49" s="10"/>
      <c r="K49" s="10"/>
      <c r="L49" s="69"/>
      <c r="M49" s="10"/>
      <c r="N49" s="10"/>
      <c r="O49" s="10"/>
      <c r="P49" s="10"/>
      <c r="Q49" s="10"/>
      <c r="R49" s="10"/>
      <c r="S49" s="68"/>
      <c r="T49" s="10"/>
      <c r="U49" s="10"/>
      <c r="V49" s="10"/>
      <c r="W49" s="10"/>
      <c r="X49" s="10"/>
      <c r="Y49" s="10"/>
      <c r="Z49" s="10"/>
      <c r="AA49" s="10"/>
      <c r="AB49" s="10"/>
      <c r="AC49" s="10"/>
      <c r="AD49" s="10"/>
      <c r="AE49" s="69"/>
      <c r="AF49" s="10"/>
      <c r="AG49" s="10"/>
      <c r="AH49" s="10"/>
      <c r="AI49" s="68"/>
      <c r="AJ49" s="10"/>
      <c r="AK49" s="10"/>
      <c r="AL49" s="10"/>
      <c r="AM49" s="10"/>
      <c r="AN49" s="10"/>
      <c r="AO49" s="10"/>
      <c r="AP49" s="10"/>
      <c r="AQ49" s="10"/>
      <c r="AR49" s="10"/>
      <c r="AS49" s="10"/>
      <c r="AT49" s="10"/>
      <c r="AU49" s="10"/>
      <c r="AV49" s="10"/>
      <c r="AW49" s="10"/>
      <c r="AX49" s="10"/>
      <c r="AY49" s="68"/>
      <c r="AZ49" s="10"/>
      <c r="BA49" s="10"/>
      <c r="BB49" s="10"/>
      <c r="BC49" s="10"/>
      <c r="BD49" s="10"/>
      <c r="BE49" s="10"/>
      <c r="BF49" s="10"/>
      <c r="BG49" s="10"/>
      <c r="BH49" s="10"/>
      <c r="BI49" s="69"/>
      <c r="BJ49" s="10"/>
      <c r="BK49" s="10"/>
      <c r="BL49" s="10"/>
      <c r="BM49" s="10"/>
      <c r="BN49" s="10"/>
      <c r="BO49" s="72"/>
    </row>
    <row r="50" ht="15.75" customHeight="1">
      <c r="A50" s="67"/>
      <c r="B50" s="68"/>
      <c r="C50" s="10"/>
      <c r="D50" s="10"/>
      <c r="E50" s="10"/>
      <c r="F50" s="10"/>
      <c r="G50" s="10"/>
      <c r="H50" s="10"/>
      <c r="I50" s="10"/>
      <c r="J50" s="10"/>
      <c r="K50" s="10"/>
      <c r="L50" s="69"/>
      <c r="M50" s="10"/>
      <c r="N50" s="10"/>
      <c r="O50" s="10"/>
      <c r="P50" s="10"/>
      <c r="Q50" s="10"/>
      <c r="R50" s="10"/>
      <c r="S50" s="68"/>
      <c r="T50" s="10"/>
      <c r="U50" s="10"/>
      <c r="V50" s="10"/>
      <c r="W50" s="10"/>
      <c r="X50" s="10"/>
      <c r="Y50" s="10"/>
      <c r="Z50" s="10"/>
      <c r="AA50" s="10"/>
      <c r="AB50" s="10"/>
      <c r="AC50" s="10"/>
      <c r="AD50" s="10"/>
      <c r="AE50" s="69"/>
      <c r="AF50" s="10"/>
      <c r="AG50" s="10"/>
      <c r="AH50" s="10"/>
      <c r="AI50" s="68"/>
      <c r="AJ50" s="10"/>
      <c r="AK50" s="10"/>
      <c r="AL50" s="10"/>
      <c r="AM50" s="10"/>
      <c r="AN50" s="10"/>
      <c r="AO50" s="10"/>
      <c r="AP50" s="10"/>
      <c r="AQ50" s="10"/>
      <c r="AR50" s="10"/>
      <c r="AS50" s="10"/>
      <c r="AT50" s="10"/>
      <c r="AU50" s="10"/>
      <c r="AV50" s="10"/>
      <c r="AW50" s="10"/>
      <c r="AX50" s="10"/>
      <c r="AY50" s="68"/>
      <c r="AZ50" s="10"/>
      <c r="BA50" s="10"/>
      <c r="BB50" s="10"/>
      <c r="BC50" s="10"/>
      <c r="BD50" s="10"/>
      <c r="BE50" s="10"/>
      <c r="BF50" s="10"/>
      <c r="BG50" s="10"/>
      <c r="BH50" s="10"/>
      <c r="BI50" s="69"/>
      <c r="BJ50" s="10"/>
      <c r="BK50" s="10"/>
      <c r="BL50" s="10"/>
      <c r="BM50" s="10"/>
      <c r="BN50" s="10"/>
      <c r="BO50" s="72"/>
    </row>
    <row r="51" ht="15.75" customHeight="1">
      <c r="A51" s="67"/>
      <c r="B51" s="68"/>
      <c r="C51" s="10"/>
      <c r="D51" s="10"/>
      <c r="E51" s="10"/>
      <c r="F51" s="10"/>
      <c r="G51" s="10"/>
      <c r="H51" s="10"/>
      <c r="I51" s="10"/>
      <c r="J51" s="10"/>
      <c r="K51" s="10"/>
      <c r="L51" s="69"/>
      <c r="M51" s="10"/>
      <c r="N51" s="10"/>
      <c r="O51" s="10"/>
      <c r="P51" s="10"/>
      <c r="Q51" s="10"/>
      <c r="R51" s="10"/>
      <c r="S51" s="68"/>
      <c r="T51" s="10"/>
      <c r="U51" s="10"/>
      <c r="V51" s="10"/>
      <c r="W51" s="10"/>
      <c r="X51" s="10"/>
      <c r="Y51" s="10"/>
      <c r="Z51" s="10"/>
      <c r="AA51" s="10"/>
      <c r="AB51" s="10"/>
      <c r="AC51" s="10"/>
      <c r="AD51" s="10"/>
      <c r="AE51" s="69"/>
      <c r="AF51" s="10"/>
      <c r="AG51" s="10"/>
      <c r="AH51" s="10"/>
      <c r="AI51" s="68"/>
      <c r="AJ51" s="10"/>
      <c r="AK51" s="10"/>
      <c r="AL51" s="10"/>
      <c r="AM51" s="10"/>
      <c r="AN51" s="10"/>
      <c r="AO51" s="10"/>
      <c r="AP51" s="10"/>
      <c r="AQ51" s="10"/>
      <c r="AR51" s="10"/>
      <c r="AS51" s="10"/>
      <c r="AT51" s="10"/>
      <c r="AU51" s="10"/>
      <c r="AV51" s="10"/>
      <c r="AW51" s="10"/>
      <c r="AX51" s="10"/>
      <c r="AY51" s="68"/>
      <c r="AZ51" s="10"/>
      <c r="BA51" s="10"/>
      <c r="BB51" s="10"/>
      <c r="BC51" s="10"/>
      <c r="BD51" s="10"/>
      <c r="BE51" s="10"/>
      <c r="BF51" s="10"/>
      <c r="BG51" s="10"/>
      <c r="BH51" s="10"/>
      <c r="BI51" s="69"/>
      <c r="BJ51" s="10"/>
      <c r="BK51" s="10"/>
      <c r="BL51" s="10"/>
      <c r="BM51" s="10"/>
      <c r="BN51" s="10"/>
      <c r="BO51" s="72"/>
    </row>
    <row r="52" ht="15.75" customHeight="1">
      <c r="A52" s="98"/>
      <c r="B52" s="68"/>
      <c r="C52" s="10"/>
      <c r="D52" s="10"/>
      <c r="E52" s="10"/>
      <c r="F52" s="10"/>
      <c r="G52" s="10"/>
      <c r="H52" s="10"/>
      <c r="I52" s="10"/>
      <c r="J52" s="10"/>
      <c r="K52" s="10"/>
      <c r="L52" s="69"/>
      <c r="M52" s="10"/>
      <c r="N52" s="10"/>
      <c r="O52" s="10"/>
      <c r="P52" s="10"/>
      <c r="Q52" s="10"/>
      <c r="R52" s="10"/>
      <c r="S52" s="68"/>
      <c r="T52" s="10"/>
      <c r="U52" s="10"/>
      <c r="V52" s="10"/>
      <c r="W52" s="10"/>
      <c r="X52" s="10"/>
      <c r="Y52" s="10"/>
      <c r="Z52" s="10"/>
      <c r="AA52" s="10"/>
      <c r="AB52" s="10"/>
      <c r="AC52" s="10"/>
      <c r="AD52" s="10"/>
      <c r="AE52" s="69"/>
      <c r="AF52" s="10"/>
      <c r="AG52" s="10"/>
      <c r="AH52" s="10"/>
      <c r="AI52" s="68"/>
      <c r="AJ52" s="10"/>
      <c r="AK52" s="10"/>
      <c r="AL52" s="10"/>
      <c r="AM52" s="10"/>
      <c r="AN52" s="10"/>
      <c r="AO52" s="10"/>
      <c r="AP52" s="10"/>
      <c r="AQ52" s="10"/>
      <c r="AR52" s="10"/>
      <c r="AS52" s="10"/>
      <c r="AT52" s="10"/>
      <c r="AU52" s="10"/>
      <c r="AV52" s="10"/>
      <c r="AW52" s="10"/>
      <c r="AX52" s="10"/>
      <c r="AY52" s="68"/>
      <c r="AZ52" s="10"/>
      <c r="BA52" s="10"/>
      <c r="BB52" s="10"/>
      <c r="BC52" s="10"/>
      <c r="BD52" s="10"/>
      <c r="BE52" s="10"/>
      <c r="BF52" s="10"/>
      <c r="BG52" s="10"/>
      <c r="BH52" s="10"/>
      <c r="BI52" s="69"/>
      <c r="BJ52" s="10"/>
      <c r="BK52" s="10"/>
      <c r="BL52" s="10"/>
      <c r="BM52" s="10"/>
      <c r="BN52" s="10"/>
      <c r="BO52" s="72"/>
    </row>
    <row r="53" ht="15.75" customHeight="1">
      <c r="A53" s="98"/>
      <c r="B53" s="68"/>
      <c r="C53" s="10"/>
      <c r="D53" s="10"/>
      <c r="E53" s="10"/>
      <c r="F53" s="10"/>
      <c r="G53" s="10"/>
      <c r="H53" s="10"/>
      <c r="I53" s="10"/>
      <c r="J53" s="10"/>
      <c r="K53" s="10"/>
      <c r="L53" s="69"/>
      <c r="M53" s="10"/>
      <c r="N53" s="10"/>
      <c r="O53" s="10"/>
      <c r="P53" s="10"/>
      <c r="Q53" s="10"/>
      <c r="R53" s="10"/>
      <c r="S53" s="68"/>
      <c r="T53" s="10"/>
      <c r="U53" s="10"/>
      <c r="V53" s="10"/>
      <c r="W53" s="10"/>
      <c r="X53" s="10"/>
      <c r="Y53" s="10"/>
      <c r="Z53" s="10"/>
      <c r="AA53" s="10"/>
      <c r="AB53" s="10"/>
      <c r="AC53" s="10"/>
      <c r="AD53" s="10"/>
      <c r="AE53" s="69"/>
      <c r="AF53" s="10"/>
      <c r="AG53" s="10"/>
      <c r="AH53" s="10"/>
      <c r="AI53" s="68"/>
      <c r="AJ53" s="10"/>
      <c r="AK53" s="10"/>
      <c r="AL53" s="10"/>
      <c r="AM53" s="10"/>
      <c r="AN53" s="10"/>
      <c r="AO53" s="10"/>
      <c r="AP53" s="10"/>
      <c r="AQ53" s="10"/>
      <c r="AR53" s="10"/>
      <c r="AS53" s="10"/>
      <c r="AT53" s="10"/>
      <c r="AU53" s="10"/>
      <c r="AV53" s="10"/>
      <c r="AW53" s="10"/>
      <c r="AX53" s="10"/>
      <c r="AY53" s="68"/>
      <c r="AZ53" s="10"/>
      <c r="BA53" s="10"/>
      <c r="BB53" s="10"/>
      <c r="BC53" s="10"/>
      <c r="BD53" s="10"/>
      <c r="BE53" s="10"/>
      <c r="BF53" s="10"/>
      <c r="BG53" s="10"/>
      <c r="BH53" s="10"/>
      <c r="BI53" s="69"/>
      <c r="BJ53" s="10"/>
      <c r="BK53" s="10"/>
      <c r="BL53" s="10"/>
      <c r="BM53" s="10"/>
      <c r="BN53" s="10"/>
      <c r="BO53" s="72"/>
    </row>
    <row r="54" ht="15.75" customHeight="1">
      <c r="A54" s="98"/>
      <c r="B54" s="68"/>
      <c r="C54" s="10"/>
      <c r="D54" s="10"/>
      <c r="E54" s="10"/>
      <c r="F54" s="10"/>
      <c r="G54" s="10"/>
      <c r="H54" s="10"/>
      <c r="I54" s="10"/>
      <c r="J54" s="10"/>
      <c r="K54" s="10"/>
      <c r="L54" s="69"/>
      <c r="M54" s="10"/>
      <c r="N54" s="10"/>
      <c r="O54" s="10"/>
      <c r="P54" s="10"/>
      <c r="Q54" s="10"/>
      <c r="R54" s="10"/>
      <c r="S54" s="68"/>
      <c r="T54" s="10"/>
      <c r="U54" s="10"/>
      <c r="V54" s="10"/>
      <c r="W54" s="10"/>
      <c r="X54" s="10"/>
      <c r="Y54" s="10"/>
      <c r="Z54" s="10"/>
      <c r="AA54" s="10"/>
      <c r="AB54" s="10"/>
      <c r="AC54" s="10"/>
      <c r="AD54" s="10"/>
      <c r="AE54" s="69"/>
      <c r="AF54" s="10"/>
      <c r="AG54" s="10"/>
      <c r="AH54" s="10"/>
      <c r="AI54" s="68"/>
      <c r="AJ54" s="10"/>
      <c r="AK54" s="10"/>
      <c r="AL54" s="10"/>
      <c r="AM54" s="10"/>
      <c r="AN54" s="10"/>
      <c r="AO54" s="10"/>
      <c r="AP54" s="10"/>
      <c r="AQ54" s="10"/>
      <c r="AR54" s="10"/>
      <c r="AS54" s="10"/>
      <c r="AT54" s="10"/>
      <c r="AU54" s="10"/>
      <c r="AV54" s="10"/>
      <c r="AW54" s="10"/>
      <c r="AX54" s="10"/>
      <c r="AY54" s="68"/>
      <c r="AZ54" s="10"/>
      <c r="BA54" s="10"/>
      <c r="BB54" s="10"/>
      <c r="BC54" s="10"/>
      <c r="BD54" s="10"/>
      <c r="BE54" s="10"/>
      <c r="BF54" s="10"/>
      <c r="BG54" s="10"/>
      <c r="BH54" s="10"/>
      <c r="BI54" s="69"/>
      <c r="BJ54" s="10"/>
      <c r="BK54" s="10"/>
      <c r="BL54" s="10"/>
      <c r="BM54" s="10"/>
      <c r="BN54" s="10"/>
      <c r="BO54" s="72"/>
    </row>
    <row r="55" ht="15.75" customHeight="1">
      <c r="A55" s="98"/>
      <c r="B55" s="68"/>
      <c r="C55" s="10"/>
      <c r="D55" s="10"/>
      <c r="E55" s="10"/>
      <c r="F55" s="10"/>
      <c r="G55" s="10"/>
      <c r="H55" s="10"/>
      <c r="I55" s="10"/>
      <c r="J55" s="10"/>
      <c r="K55" s="10"/>
      <c r="L55" s="69"/>
      <c r="M55" s="10"/>
      <c r="N55" s="10"/>
      <c r="O55" s="10"/>
      <c r="P55" s="10"/>
      <c r="Q55" s="10"/>
      <c r="R55" s="10"/>
      <c r="S55" s="68"/>
      <c r="T55" s="10"/>
      <c r="U55" s="10"/>
      <c r="V55" s="10"/>
      <c r="W55" s="10"/>
      <c r="X55" s="10"/>
      <c r="Y55" s="10"/>
      <c r="Z55" s="10"/>
      <c r="AA55" s="10"/>
      <c r="AB55" s="10"/>
      <c r="AC55" s="10"/>
      <c r="AD55" s="10"/>
      <c r="AE55" s="69"/>
      <c r="AF55" s="10"/>
      <c r="AG55" s="10"/>
      <c r="AH55" s="10"/>
      <c r="AI55" s="68"/>
      <c r="AJ55" s="10"/>
      <c r="AK55" s="10"/>
      <c r="AL55" s="10"/>
      <c r="AM55" s="10"/>
      <c r="AN55" s="10"/>
      <c r="AO55" s="10"/>
      <c r="AP55" s="10"/>
      <c r="AQ55" s="10"/>
      <c r="AR55" s="10"/>
      <c r="AS55" s="10"/>
      <c r="AT55" s="10"/>
      <c r="AU55" s="10"/>
      <c r="AV55" s="10"/>
      <c r="AW55" s="10"/>
      <c r="AX55" s="10"/>
      <c r="AY55" s="68"/>
      <c r="AZ55" s="10"/>
      <c r="BA55" s="10"/>
      <c r="BB55" s="10"/>
      <c r="BC55" s="10"/>
      <c r="BD55" s="10"/>
      <c r="BE55" s="10"/>
      <c r="BF55" s="10"/>
      <c r="BG55" s="10"/>
      <c r="BH55" s="10"/>
      <c r="BI55" s="69"/>
      <c r="BJ55" s="10"/>
      <c r="BK55" s="10"/>
      <c r="BL55" s="10"/>
      <c r="BM55" s="10"/>
      <c r="BN55" s="10"/>
      <c r="BO55" s="72"/>
    </row>
    <row r="56" ht="15.75" customHeight="1">
      <c r="A56" s="98"/>
      <c r="B56" s="68"/>
      <c r="C56" s="10"/>
      <c r="D56" s="10"/>
      <c r="E56" s="10"/>
      <c r="F56" s="10"/>
      <c r="G56" s="10"/>
      <c r="H56" s="10"/>
      <c r="I56" s="10"/>
      <c r="J56" s="10"/>
      <c r="K56" s="10"/>
      <c r="L56" s="69"/>
      <c r="M56" s="10"/>
      <c r="N56" s="10"/>
      <c r="O56" s="10"/>
      <c r="P56" s="10"/>
      <c r="Q56" s="10"/>
      <c r="R56" s="10"/>
      <c r="S56" s="68"/>
      <c r="T56" s="10"/>
      <c r="U56" s="10"/>
      <c r="V56" s="10"/>
      <c r="W56" s="10"/>
      <c r="X56" s="10"/>
      <c r="Y56" s="10"/>
      <c r="Z56" s="10"/>
      <c r="AA56" s="10"/>
      <c r="AB56" s="10"/>
      <c r="AC56" s="10"/>
      <c r="AD56" s="10"/>
      <c r="AE56" s="69"/>
      <c r="AF56" s="10"/>
      <c r="AG56" s="10"/>
      <c r="AH56" s="10"/>
      <c r="AI56" s="68"/>
      <c r="AJ56" s="10"/>
      <c r="AK56" s="10"/>
      <c r="AL56" s="10"/>
      <c r="AM56" s="10"/>
      <c r="AN56" s="10"/>
      <c r="AO56" s="10"/>
      <c r="AP56" s="10"/>
      <c r="AQ56" s="10"/>
      <c r="AR56" s="10"/>
      <c r="AS56" s="10"/>
      <c r="AT56" s="10"/>
      <c r="AU56" s="10"/>
      <c r="AV56" s="10"/>
      <c r="AW56" s="10"/>
      <c r="AX56" s="10"/>
      <c r="AY56" s="68"/>
      <c r="AZ56" s="10"/>
      <c r="BA56" s="10"/>
      <c r="BB56" s="10"/>
      <c r="BC56" s="10"/>
      <c r="BD56" s="10"/>
      <c r="BE56" s="10"/>
      <c r="BF56" s="10"/>
      <c r="BG56" s="10"/>
      <c r="BH56" s="10"/>
      <c r="BI56" s="69"/>
      <c r="BJ56" s="10"/>
      <c r="BK56" s="10"/>
      <c r="BL56" s="10"/>
      <c r="BM56" s="10"/>
      <c r="BN56" s="10"/>
      <c r="BO56" s="72"/>
    </row>
    <row r="57" ht="15.75" customHeight="1">
      <c r="A57" s="98"/>
      <c r="B57" s="68"/>
      <c r="C57" s="10"/>
      <c r="D57" s="10"/>
      <c r="E57" s="10"/>
      <c r="F57" s="10"/>
      <c r="G57" s="10"/>
      <c r="H57" s="10"/>
      <c r="I57" s="10"/>
      <c r="J57" s="10"/>
      <c r="K57" s="10"/>
      <c r="L57" s="69"/>
      <c r="M57" s="10"/>
      <c r="N57" s="10"/>
      <c r="O57" s="10"/>
      <c r="P57" s="10"/>
      <c r="Q57" s="10"/>
      <c r="R57" s="10"/>
      <c r="S57" s="68"/>
      <c r="T57" s="10"/>
      <c r="U57" s="10"/>
      <c r="V57" s="10"/>
      <c r="W57" s="10"/>
      <c r="X57" s="10"/>
      <c r="Y57" s="10"/>
      <c r="Z57" s="10"/>
      <c r="AA57" s="10"/>
      <c r="AB57" s="10"/>
      <c r="AC57" s="10"/>
      <c r="AD57" s="10"/>
      <c r="AE57" s="69"/>
      <c r="AF57" s="10"/>
      <c r="AG57" s="10"/>
      <c r="AH57" s="10"/>
      <c r="AI57" s="68"/>
      <c r="AJ57" s="10"/>
      <c r="AK57" s="10"/>
      <c r="AL57" s="10"/>
      <c r="AM57" s="10"/>
      <c r="AN57" s="10"/>
      <c r="AO57" s="10"/>
      <c r="AP57" s="10"/>
      <c r="AQ57" s="10"/>
      <c r="AR57" s="10"/>
      <c r="AS57" s="10"/>
      <c r="AT57" s="10"/>
      <c r="AU57" s="10"/>
      <c r="AV57" s="10"/>
      <c r="AW57" s="10"/>
      <c r="AX57" s="10"/>
      <c r="AY57" s="68"/>
      <c r="AZ57" s="10"/>
      <c r="BA57" s="10"/>
      <c r="BB57" s="10"/>
      <c r="BC57" s="10"/>
      <c r="BD57" s="10"/>
      <c r="BE57" s="10"/>
      <c r="BF57" s="10"/>
      <c r="BG57" s="10"/>
      <c r="BH57" s="10"/>
      <c r="BI57" s="69"/>
      <c r="BJ57" s="10"/>
      <c r="BK57" s="10"/>
      <c r="BL57" s="10"/>
      <c r="BM57" s="10"/>
      <c r="BN57" s="10"/>
      <c r="BO57" s="72"/>
    </row>
    <row r="58" ht="15.75" customHeight="1">
      <c r="A58" s="98"/>
      <c r="B58" s="68"/>
      <c r="C58" s="10"/>
      <c r="D58" s="10"/>
      <c r="E58" s="10"/>
      <c r="F58" s="10"/>
      <c r="G58" s="10"/>
      <c r="H58" s="10"/>
      <c r="I58" s="10"/>
      <c r="J58" s="10"/>
      <c r="K58" s="10"/>
      <c r="L58" s="69"/>
      <c r="M58" s="10"/>
      <c r="N58" s="10"/>
      <c r="O58" s="10"/>
      <c r="P58" s="10"/>
      <c r="Q58" s="10"/>
      <c r="R58" s="10"/>
      <c r="S58" s="68"/>
      <c r="T58" s="10"/>
      <c r="U58" s="10"/>
      <c r="V58" s="10"/>
      <c r="W58" s="10"/>
      <c r="X58" s="10"/>
      <c r="Y58" s="10"/>
      <c r="Z58" s="10"/>
      <c r="AA58" s="10"/>
      <c r="AB58" s="10"/>
      <c r="AC58" s="10"/>
      <c r="AD58" s="10"/>
      <c r="AE58" s="69"/>
      <c r="AF58" s="10"/>
      <c r="AG58" s="10"/>
      <c r="AH58" s="10"/>
      <c r="AI58" s="68"/>
      <c r="AJ58" s="10"/>
      <c r="AK58" s="10"/>
      <c r="AL58" s="10"/>
      <c r="AM58" s="10"/>
      <c r="AN58" s="10"/>
      <c r="AO58" s="10"/>
      <c r="AP58" s="10"/>
      <c r="AQ58" s="10"/>
      <c r="AR58" s="10"/>
      <c r="AS58" s="10"/>
      <c r="AT58" s="10"/>
      <c r="AU58" s="10"/>
      <c r="AV58" s="10"/>
      <c r="AW58" s="10"/>
      <c r="AX58" s="10"/>
      <c r="AY58" s="68"/>
      <c r="AZ58" s="10"/>
      <c r="BA58" s="10"/>
      <c r="BB58" s="10"/>
      <c r="BC58" s="10"/>
      <c r="BD58" s="10"/>
      <c r="BE58" s="10"/>
      <c r="BF58" s="10"/>
      <c r="BG58" s="10"/>
      <c r="BH58" s="10"/>
      <c r="BI58" s="69"/>
      <c r="BJ58" s="10"/>
      <c r="BK58" s="10"/>
      <c r="BL58" s="10"/>
      <c r="BM58" s="10"/>
      <c r="BN58" s="10"/>
      <c r="BO58" s="72"/>
    </row>
    <row r="59" ht="15.75" customHeight="1">
      <c r="A59" s="98"/>
      <c r="B59" s="68"/>
      <c r="C59" s="10"/>
      <c r="D59" s="10"/>
      <c r="E59" s="10"/>
      <c r="F59" s="10"/>
      <c r="G59" s="10"/>
      <c r="H59" s="10"/>
      <c r="I59" s="10"/>
      <c r="J59" s="10"/>
      <c r="K59" s="10"/>
      <c r="L59" s="69"/>
      <c r="M59" s="10"/>
      <c r="N59" s="10"/>
      <c r="O59" s="10"/>
      <c r="P59" s="10"/>
      <c r="Q59" s="10"/>
      <c r="R59" s="10"/>
      <c r="S59" s="68"/>
      <c r="T59" s="10"/>
      <c r="U59" s="10"/>
      <c r="V59" s="10"/>
      <c r="W59" s="10"/>
      <c r="X59" s="10"/>
      <c r="Y59" s="10"/>
      <c r="Z59" s="10"/>
      <c r="AA59" s="10"/>
      <c r="AB59" s="10"/>
      <c r="AC59" s="10"/>
      <c r="AD59" s="10"/>
      <c r="AE59" s="69"/>
      <c r="AF59" s="10"/>
      <c r="AG59" s="10"/>
      <c r="AH59" s="10"/>
      <c r="AI59" s="68"/>
      <c r="AJ59" s="10"/>
      <c r="AK59" s="10"/>
      <c r="AL59" s="10"/>
      <c r="AM59" s="10"/>
      <c r="AN59" s="10"/>
      <c r="AO59" s="10"/>
      <c r="AP59" s="10"/>
      <c r="AQ59" s="10"/>
      <c r="AR59" s="10"/>
      <c r="AS59" s="10"/>
      <c r="AT59" s="10"/>
      <c r="AU59" s="10"/>
      <c r="AV59" s="10"/>
      <c r="AW59" s="10"/>
      <c r="AX59" s="10"/>
      <c r="AY59" s="68"/>
      <c r="AZ59" s="10"/>
      <c r="BA59" s="10"/>
      <c r="BB59" s="10"/>
      <c r="BC59" s="10"/>
      <c r="BD59" s="10"/>
      <c r="BE59" s="10"/>
      <c r="BF59" s="10"/>
      <c r="BG59" s="10"/>
      <c r="BH59" s="10"/>
      <c r="BI59" s="69"/>
      <c r="BJ59" s="10"/>
      <c r="BK59" s="10"/>
      <c r="BL59" s="10"/>
      <c r="BM59" s="10"/>
      <c r="BN59" s="10"/>
      <c r="BO59" s="72"/>
    </row>
    <row r="60" ht="15.75" customHeight="1">
      <c r="A60" s="98"/>
      <c r="B60" s="68"/>
      <c r="C60" s="10"/>
      <c r="D60" s="10"/>
      <c r="E60" s="10"/>
      <c r="F60" s="10"/>
      <c r="G60" s="10"/>
      <c r="H60" s="10"/>
      <c r="I60" s="10"/>
      <c r="J60" s="10"/>
      <c r="K60" s="10"/>
      <c r="L60" s="69"/>
      <c r="M60" s="10"/>
      <c r="N60" s="10"/>
      <c r="O60" s="10"/>
      <c r="P60" s="10"/>
      <c r="Q60" s="10"/>
      <c r="R60" s="10"/>
      <c r="S60" s="68"/>
      <c r="T60" s="10"/>
      <c r="U60" s="10"/>
      <c r="V60" s="10"/>
      <c r="W60" s="10"/>
      <c r="X60" s="10"/>
      <c r="Y60" s="10"/>
      <c r="Z60" s="10"/>
      <c r="AA60" s="10"/>
      <c r="AB60" s="10"/>
      <c r="AC60" s="10"/>
      <c r="AD60" s="10"/>
      <c r="AE60" s="69"/>
      <c r="AF60" s="10"/>
      <c r="AG60" s="10"/>
      <c r="AH60" s="10"/>
      <c r="AI60" s="68"/>
      <c r="AJ60" s="10"/>
      <c r="AK60" s="10"/>
      <c r="AL60" s="10"/>
      <c r="AM60" s="10"/>
      <c r="AN60" s="10"/>
      <c r="AO60" s="10"/>
      <c r="AP60" s="10"/>
      <c r="AQ60" s="10"/>
      <c r="AR60" s="10"/>
      <c r="AS60" s="10"/>
      <c r="AT60" s="10"/>
      <c r="AU60" s="10"/>
      <c r="AV60" s="10"/>
      <c r="AW60" s="10"/>
      <c r="AX60" s="10"/>
      <c r="AY60" s="68"/>
      <c r="AZ60" s="10"/>
      <c r="BA60" s="10"/>
      <c r="BB60" s="10"/>
      <c r="BC60" s="10"/>
      <c r="BD60" s="10"/>
      <c r="BE60" s="10"/>
      <c r="BF60" s="10"/>
      <c r="BG60" s="10"/>
      <c r="BH60" s="10"/>
      <c r="BI60" s="69"/>
      <c r="BJ60" s="10"/>
      <c r="BK60" s="10"/>
      <c r="BL60" s="10"/>
      <c r="BM60" s="10"/>
      <c r="BN60" s="10"/>
      <c r="BO60" s="72"/>
    </row>
    <row r="61" ht="15.75" customHeight="1">
      <c r="A61" s="98"/>
      <c r="B61" s="68"/>
      <c r="C61" s="10"/>
      <c r="D61" s="10"/>
      <c r="E61" s="10"/>
      <c r="F61" s="10"/>
      <c r="G61" s="10"/>
      <c r="H61" s="10"/>
      <c r="I61" s="10"/>
      <c r="J61" s="10"/>
      <c r="K61" s="10"/>
      <c r="L61" s="69"/>
      <c r="M61" s="10"/>
      <c r="N61" s="10"/>
      <c r="O61" s="10"/>
      <c r="P61" s="10"/>
      <c r="Q61" s="10"/>
      <c r="R61" s="10"/>
      <c r="S61" s="68"/>
      <c r="T61" s="10"/>
      <c r="U61" s="10"/>
      <c r="V61" s="10"/>
      <c r="W61" s="10"/>
      <c r="X61" s="10"/>
      <c r="Y61" s="10"/>
      <c r="Z61" s="10"/>
      <c r="AA61" s="10"/>
      <c r="AB61" s="10"/>
      <c r="AC61" s="10"/>
      <c r="AD61" s="10"/>
      <c r="AE61" s="69"/>
      <c r="AF61" s="10"/>
      <c r="AG61" s="10"/>
      <c r="AH61" s="10"/>
      <c r="AI61" s="68"/>
      <c r="AJ61" s="10"/>
      <c r="AK61" s="10"/>
      <c r="AL61" s="10"/>
      <c r="AM61" s="10"/>
      <c r="AN61" s="10"/>
      <c r="AO61" s="10"/>
      <c r="AP61" s="10"/>
      <c r="AQ61" s="10"/>
      <c r="AR61" s="10"/>
      <c r="AS61" s="10"/>
      <c r="AT61" s="10"/>
      <c r="AU61" s="10"/>
      <c r="AV61" s="10"/>
      <c r="AW61" s="10"/>
      <c r="AX61" s="10"/>
      <c r="AY61" s="68"/>
      <c r="AZ61" s="10"/>
      <c r="BA61" s="10"/>
      <c r="BB61" s="10"/>
      <c r="BC61" s="10"/>
      <c r="BD61" s="10"/>
      <c r="BE61" s="10"/>
      <c r="BF61" s="10"/>
      <c r="BG61" s="10"/>
      <c r="BH61" s="10"/>
      <c r="BI61" s="69"/>
      <c r="BJ61" s="10"/>
      <c r="BK61" s="10"/>
      <c r="BL61" s="10"/>
      <c r="BM61" s="10"/>
      <c r="BN61" s="10"/>
      <c r="BO61" s="72"/>
    </row>
    <row r="62" ht="15.75" customHeight="1">
      <c r="A62" s="98"/>
      <c r="B62" s="68"/>
      <c r="C62" s="10"/>
      <c r="D62" s="10"/>
      <c r="E62" s="10"/>
      <c r="F62" s="10"/>
      <c r="G62" s="10"/>
      <c r="H62" s="10"/>
      <c r="I62" s="10"/>
      <c r="J62" s="10"/>
      <c r="K62" s="10"/>
      <c r="L62" s="69"/>
      <c r="M62" s="10"/>
      <c r="N62" s="10"/>
      <c r="O62" s="10"/>
      <c r="P62" s="10"/>
      <c r="Q62" s="10"/>
      <c r="R62" s="10"/>
      <c r="S62" s="68"/>
      <c r="T62" s="10"/>
      <c r="U62" s="10"/>
      <c r="V62" s="10"/>
      <c r="W62" s="10"/>
      <c r="X62" s="10"/>
      <c r="Y62" s="10"/>
      <c r="Z62" s="10"/>
      <c r="AA62" s="10"/>
      <c r="AB62" s="10"/>
      <c r="AC62" s="10"/>
      <c r="AD62" s="10"/>
      <c r="AE62" s="69"/>
      <c r="AF62" s="10"/>
      <c r="AG62" s="10"/>
      <c r="AH62" s="10"/>
      <c r="AI62" s="68"/>
      <c r="AJ62" s="10"/>
      <c r="AK62" s="10"/>
      <c r="AL62" s="10"/>
      <c r="AM62" s="10"/>
      <c r="AN62" s="10"/>
      <c r="AO62" s="10"/>
      <c r="AP62" s="10"/>
      <c r="AQ62" s="10"/>
      <c r="AR62" s="10"/>
      <c r="AS62" s="10"/>
      <c r="AT62" s="10"/>
      <c r="AU62" s="10"/>
      <c r="AV62" s="10"/>
      <c r="AW62" s="10"/>
      <c r="AX62" s="10"/>
      <c r="AY62" s="68"/>
      <c r="AZ62" s="10"/>
      <c r="BA62" s="10"/>
      <c r="BB62" s="10"/>
      <c r="BC62" s="10"/>
      <c r="BD62" s="10"/>
      <c r="BE62" s="10"/>
      <c r="BF62" s="10"/>
      <c r="BG62" s="10"/>
      <c r="BH62" s="10"/>
      <c r="BI62" s="69"/>
      <c r="BJ62" s="10"/>
      <c r="BK62" s="10"/>
      <c r="BL62" s="10"/>
      <c r="BM62" s="10"/>
      <c r="BN62" s="10"/>
      <c r="BO62" s="72"/>
    </row>
    <row r="63" ht="15.75" customHeight="1">
      <c r="A63" s="98"/>
      <c r="B63" s="68"/>
      <c r="C63" s="10"/>
      <c r="D63" s="10"/>
      <c r="E63" s="10"/>
      <c r="F63" s="10"/>
      <c r="G63" s="10"/>
      <c r="H63" s="10"/>
      <c r="I63" s="10"/>
      <c r="J63" s="10"/>
      <c r="K63" s="10"/>
      <c r="L63" s="69"/>
      <c r="M63" s="10"/>
      <c r="N63" s="10"/>
      <c r="O63" s="10"/>
      <c r="P63" s="10"/>
      <c r="Q63" s="10"/>
      <c r="R63" s="10"/>
      <c r="S63" s="68"/>
      <c r="T63" s="10"/>
      <c r="U63" s="10"/>
      <c r="V63" s="10"/>
      <c r="W63" s="10"/>
      <c r="X63" s="10"/>
      <c r="Y63" s="10"/>
      <c r="Z63" s="10"/>
      <c r="AA63" s="10"/>
      <c r="AB63" s="10"/>
      <c r="AC63" s="10"/>
      <c r="AD63" s="10"/>
      <c r="AE63" s="69"/>
      <c r="AF63" s="10"/>
      <c r="AG63" s="10"/>
      <c r="AH63" s="10"/>
      <c r="AI63" s="68"/>
      <c r="AJ63" s="10"/>
      <c r="AK63" s="10"/>
      <c r="AL63" s="10"/>
      <c r="AM63" s="10"/>
      <c r="AN63" s="10"/>
      <c r="AO63" s="10"/>
      <c r="AP63" s="10"/>
      <c r="AQ63" s="10"/>
      <c r="AR63" s="10"/>
      <c r="AS63" s="10"/>
      <c r="AT63" s="10"/>
      <c r="AU63" s="10"/>
      <c r="AV63" s="10"/>
      <c r="AW63" s="10"/>
      <c r="AX63" s="10"/>
      <c r="AY63" s="68"/>
      <c r="AZ63" s="10"/>
      <c r="BA63" s="10"/>
      <c r="BB63" s="10"/>
      <c r="BC63" s="10"/>
      <c r="BD63" s="10"/>
      <c r="BE63" s="10"/>
      <c r="BF63" s="10"/>
      <c r="BG63" s="10"/>
      <c r="BH63" s="10"/>
      <c r="BI63" s="69"/>
      <c r="BJ63" s="10"/>
      <c r="BK63" s="10"/>
      <c r="BL63" s="10"/>
      <c r="BM63" s="10"/>
      <c r="BN63" s="10"/>
      <c r="BO63" s="72"/>
    </row>
    <row r="64" ht="15.75" customHeight="1">
      <c r="A64" s="98"/>
      <c r="B64" s="68"/>
      <c r="C64" s="10"/>
      <c r="D64" s="10"/>
      <c r="E64" s="10"/>
      <c r="F64" s="10"/>
      <c r="G64" s="10"/>
      <c r="H64" s="10"/>
      <c r="I64" s="10"/>
      <c r="J64" s="10"/>
      <c r="K64" s="10"/>
      <c r="L64" s="69"/>
      <c r="M64" s="10"/>
      <c r="N64" s="10"/>
      <c r="O64" s="10"/>
      <c r="P64" s="10"/>
      <c r="Q64" s="10"/>
      <c r="R64" s="10"/>
      <c r="S64" s="68"/>
      <c r="T64" s="10"/>
      <c r="U64" s="10"/>
      <c r="V64" s="10"/>
      <c r="W64" s="10"/>
      <c r="X64" s="10"/>
      <c r="Y64" s="10"/>
      <c r="Z64" s="10"/>
      <c r="AA64" s="10"/>
      <c r="AB64" s="10"/>
      <c r="AC64" s="10"/>
      <c r="AD64" s="10"/>
      <c r="AE64" s="69"/>
      <c r="AF64" s="10"/>
      <c r="AG64" s="10"/>
      <c r="AH64" s="10"/>
      <c r="AI64" s="68"/>
      <c r="AJ64" s="10"/>
      <c r="AK64" s="10"/>
      <c r="AL64" s="10"/>
      <c r="AM64" s="10"/>
      <c r="AN64" s="10"/>
      <c r="AO64" s="10"/>
      <c r="AP64" s="10"/>
      <c r="AQ64" s="10"/>
      <c r="AR64" s="10"/>
      <c r="AS64" s="10"/>
      <c r="AT64" s="10"/>
      <c r="AU64" s="10"/>
      <c r="AV64" s="10"/>
      <c r="AW64" s="10"/>
      <c r="AX64" s="10"/>
      <c r="AY64" s="68"/>
      <c r="AZ64" s="10"/>
      <c r="BA64" s="10"/>
      <c r="BB64" s="10"/>
      <c r="BC64" s="10"/>
      <c r="BD64" s="10"/>
      <c r="BE64" s="10"/>
      <c r="BF64" s="10"/>
      <c r="BG64" s="10"/>
      <c r="BH64" s="10"/>
      <c r="BI64" s="69"/>
      <c r="BJ64" s="10"/>
      <c r="BK64" s="10"/>
      <c r="BL64" s="10"/>
      <c r="BM64" s="10"/>
      <c r="BN64" s="10"/>
      <c r="BO64" s="72"/>
    </row>
    <row r="65" ht="15.75" customHeight="1">
      <c r="A65" s="98"/>
      <c r="B65" s="68"/>
      <c r="C65" s="10"/>
      <c r="D65" s="10"/>
      <c r="E65" s="10"/>
      <c r="F65" s="10"/>
      <c r="G65" s="10"/>
      <c r="H65" s="10"/>
      <c r="I65" s="10"/>
      <c r="J65" s="10"/>
      <c r="K65" s="10"/>
      <c r="L65" s="69"/>
      <c r="M65" s="10"/>
      <c r="N65" s="10"/>
      <c r="O65" s="10"/>
      <c r="P65" s="10"/>
      <c r="Q65" s="10"/>
      <c r="R65" s="10"/>
      <c r="S65" s="68"/>
      <c r="T65" s="10"/>
      <c r="U65" s="10"/>
      <c r="V65" s="10"/>
      <c r="W65" s="10"/>
      <c r="X65" s="10"/>
      <c r="Y65" s="10"/>
      <c r="Z65" s="10"/>
      <c r="AA65" s="10"/>
      <c r="AB65" s="10"/>
      <c r="AC65" s="10"/>
      <c r="AD65" s="10"/>
      <c r="AE65" s="69"/>
      <c r="AF65" s="10"/>
      <c r="AG65" s="10"/>
      <c r="AH65" s="10"/>
      <c r="AI65" s="68"/>
      <c r="AJ65" s="10"/>
      <c r="AK65" s="10"/>
      <c r="AL65" s="10"/>
      <c r="AM65" s="10"/>
      <c r="AN65" s="10"/>
      <c r="AO65" s="10"/>
      <c r="AP65" s="10"/>
      <c r="AQ65" s="10"/>
      <c r="AR65" s="10"/>
      <c r="AS65" s="10"/>
      <c r="AT65" s="10"/>
      <c r="AU65" s="10"/>
      <c r="AV65" s="10"/>
      <c r="AW65" s="10"/>
      <c r="AX65" s="10"/>
      <c r="AY65" s="68"/>
      <c r="AZ65" s="10"/>
      <c r="BA65" s="10"/>
      <c r="BB65" s="10"/>
      <c r="BC65" s="10"/>
      <c r="BD65" s="10"/>
      <c r="BE65" s="10"/>
      <c r="BF65" s="10"/>
      <c r="BG65" s="10"/>
      <c r="BH65" s="10"/>
      <c r="BI65" s="69"/>
      <c r="BJ65" s="10"/>
      <c r="BK65" s="10"/>
      <c r="BL65" s="10"/>
      <c r="BM65" s="10"/>
      <c r="BN65" s="10"/>
      <c r="BO65" s="72"/>
    </row>
    <row r="66" ht="15.75" customHeight="1">
      <c r="A66" s="98"/>
      <c r="B66" s="68"/>
      <c r="C66" s="10"/>
      <c r="D66" s="10"/>
      <c r="E66" s="10"/>
      <c r="F66" s="10"/>
      <c r="G66" s="10"/>
      <c r="H66" s="10"/>
      <c r="I66" s="10"/>
      <c r="J66" s="10"/>
      <c r="K66" s="10"/>
      <c r="L66" s="69"/>
      <c r="M66" s="10"/>
      <c r="N66" s="10"/>
      <c r="O66" s="10"/>
      <c r="P66" s="10"/>
      <c r="Q66" s="10"/>
      <c r="R66" s="10"/>
      <c r="S66" s="68"/>
      <c r="T66" s="10"/>
      <c r="U66" s="10"/>
      <c r="V66" s="10"/>
      <c r="W66" s="10"/>
      <c r="X66" s="10"/>
      <c r="Y66" s="10"/>
      <c r="Z66" s="10"/>
      <c r="AA66" s="10"/>
      <c r="AB66" s="10"/>
      <c r="AC66" s="10"/>
      <c r="AD66" s="10"/>
      <c r="AE66" s="69"/>
      <c r="AF66" s="10"/>
      <c r="AG66" s="10"/>
      <c r="AH66" s="10"/>
      <c r="AI66" s="68"/>
      <c r="AJ66" s="10"/>
      <c r="AK66" s="10"/>
      <c r="AL66" s="10"/>
      <c r="AM66" s="10"/>
      <c r="AN66" s="10"/>
      <c r="AO66" s="10"/>
      <c r="AP66" s="10"/>
      <c r="AQ66" s="10"/>
      <c r="AR66" s="10"/>
      <c r="AS66" s="10"/>
      <c r="AT66" s="10"/>
      <c r="AU66" s="10"/>
      <c r="AV66" s="10"/>
      <c r="AW66" s="10"/>
      <c r="AX66" s="10"/>
      <c r="AY66" s="68"/>
      <c r="AZ66" s="10"/>
      <c r="BA66" s="10"/>
      <c r="BB66" s="10"/>
      <c r="BC66" s="10"/>
      <c r="BD66" s="10"/>
      <c r="BE66" s="10"/>
      <c r="BF66" s="10"/>
      <c r="BG66" s="10"/>
      <c r="BH66" s="10"/>
      <c r="BI66" s="69"/>
      <c r="BJ66" s="10"/>
      <c r="BK66" s="10"/>
      <c r="BL66" s="10"/>
      <c r="BM66" s="10"/>
      <c r="BN66" s="10"/>
      <c r="BO66" s="72"/>
    </row>
    <row r="67" ht="15.75" customHeight="1">
      <c r="A67" s="98"/>
      <c r="B67" s="68"/>
      <c r="C67" s="10"/>
      <c r="D67" s="10"/>
      <c r="E67" s="10"/>
      <c r="F67" s="10"/>
      <c r="G67" s="10"/>
      <c r="H67" s="10"/>
      <c r="I67" s="10"/>
      <c r="J67" s="10"/>
      <c r="K67" s="10"/>
      <c r="L67" s="69"/>
      <c r="M67" s="10"/>
      <c r="N67" s="10"/>
      <c r="O67" s="10"/>
      <c r="P67" s="10"/>
      <c r="Q67" s="10"/>
      <c r="R67" s="10"/>
      <c r="S67" s="68"/>
      <c r="T67" s="10"/>
      <c r="U67" s="10"/>
      <c r="V67" s="10"/>
      <c r="W67" s="10"/>
      <c r="X67" s="10"/>
      <c r="Y67" s="10"/>
      <c r="Z67" s="10"/>
      <c r="AA67" s="10"/>
      <c r="AB67" s="10"/>
      <c r="AC67" s="10"/>
      <c r="AD67" s="10"/>
      <c r="AE67" s="69"/>
      <c r="AF67" s="10"/>
      <c r="AG67" s="10"/>
      <c r="AH67" s="10"/>
      <c r="AI67" s="68"/>
      <c r="AJ67" s="10"/>
      <c r="AK67" s="10"/>
      <c r="AL67" s="10"/>
      <c r="AM67" s="10"/>
      <c r="AN67" s="10"/>
      <c r="AO67" s="10"/>
      <c r="AP67" s="10"/>
      <c r="AQ67" s="10"/>
      <c r="AR67" s="10"/>
      <c r="AS67" s="10"/>
      <c r="AT67" s="10"/>
      <c r="AU67" s="10"/>
      <c r="AV67" s="10"/>
      <c r="AW67" s="10"/>
      <c r="AX67" s="10"/>
      <c r="AY67" s="68"/>
      <c r="AZ67" s="10"/>
      <c r="BA67" s="10"/>
      <c r="BB67" s="10"/>
      <c r="BC67" s="10"/>
      <c r="BD67" s="10"/>
      <c r="BE67" s="10"/>
      <c r="BF67" s="10"/>
      <c r="BG67" s="10"/>
      <c r="BH67" s="10"/>
      <c r="BI67" s="69"/>
      <c r="BJ67" s="10"/>
      <c r="BK67" s="10"/>
      <c r="BL67" s="10"/>
      <c r="BM67" s="10"/>
      <c r="BN67" s="10"/>
      <c r="BO67" s="72"/>
    </row>
    <row r="68" ht="15.75" customHeight="1">
      <c r="A68" s="98"/>
      <c r="B68" s="68"/>
      <c r="C68" s="10"/>
      <c r="D68" s="10"/>
      <c r="E68" s="10"/>
      <c r="F68" s="10"/>
      <c r="G68" s="10"/>
      <c r="H68" s="10"/>
      <c r="I68" s="10"/>
      <c r="J68" s="10"/>
      <c r="K68" s="10"/>
      <c r="L68" s="69"/>
      <c r="M68" s="10"/>
      <c r="N68" s="10"/>
      <c r="O68" s="10"/>
      <c r="P68" s="10"/>
      <c r="Q68" s="10"/>
      <c r="R68" s="10"/>
      <c r="S68" s="68"/>
      <c r="T68" s="10"/>
      <c r="U68" s="10"/>
      <c r="V68" s="10"/>
      <c r="W68" s="10"/>
      <c r="X68" s="10"/>
      <c r="Y68" s="10"/>
      <c r="Z68" s="10"/>
      <c r="AA68" s="10"/>
      <c r="AB68" s="10"/>
      <c r="AC68" s="10"/>
      <c r="AD68" s="10"/>
      <c r="AE68" s="69"/>
      <c r="AF68" s="10"/>
      <c r="AG68" s="10"/>
      <c r="AH68" s="10"/>
      <c r="AI68" s="68"/>
      <c r="AJ68" s="10"/>
      <c r="AK68" s="10"/>
      <c r="AL68" s="10"/>
      <c r="AM68" s="10"/>
      <c r="AN68" s="10"/>
      <c r="AO68" s="10"/>
      <c r="AP68" s="10"/>
      <c r="AQ68" s="10"/>
      <c r="AR68" s="10"/>
      <c r="AS68" s="10"/>
      <c r="AT68" s="10"/>
      <c r="AU68" s="10"/>
      <c r="AV68" s="10"/>
      <c r="AW68" s="10"/>
      <c r="AX68" s="10"/>
      <c r="AY68" s="68"/>
      <c r="AZ68" s="10"/>
      <c r="BA68" s="10"/>
      <c r="BB68" s="10"/>
      <c r="BC68" s="10"/>
      <c r="BD68" s="10"/>
      <c r="BE68" s="10"/>
      <c r="BF68" s="10"/>
      <c r="BG68" s="10"/>
      <c r="BH68" s="10"/>
      <c r="BI68" s="69"/>
      <c r="BJ68" s="10"/>
      <c r="BK68" s="10"/>
      <c r="BL68" s="10"/>
      <c r="BM68" s="10"/>
      <c r="BN68" s="10"/>
      <c r="BO68" s="72"/>
    </row>
    <row r="69" ht="15.75" customHeight="1">
      <c r="A69" s="98"/>
      <c r="B69" s="68"/>
      <c r="C69" s="10"/>
      <c r="D69" s="10"/>
      <c r="E69" s="10"/>
      <c r="F69" s="10"/>
      <c r="G69" s="10"/>
      <c r="H69" s="10"/>
      <c r="I69" s="10"/>
      <c r="J69" s="10"/>
      <c r="K69" s="10"/>
      <c r="L69" s="69"/>
      <c r="M69" s="10"/>
      <c r="N69" s="10"/>
      <c r="O69" s="10"/>
      <c r="P69" s="10"/>
      <c r="Q69" s="10"/>
      <c r="R69" s="10"/>
      <c r="S69" s="68"/>
      <c r="T69" s="10"/>
      <c r="U69" s="10"/>
      <c r="V69" s="10"/>
      <c r="W69" s="10"/>
      <c r="X69" s="10"/>
      <c r="Y69" s="10"/>
      <c r="Z69" s="10"/>
      <c r="AA69" s="10"/>
      <c r="AB69" s="10"/>
      <c r="AC69" s="10"/>
      <c r="AD69" s="10"/>
      <c r="AE69" s="69"/>
      <c r="AF69" s="10"/>
      <c r="AG69" s="10"/>
      <c r="AH69" s="10"/>
      <c r="AI69" s="68"/>
      <c r="AJ69" s="10"/>
      <c r="AK69" s="10"/>
      <c r="AL69" s="10"/>
      <c r="AM69" s="10"/>
      <c r="AN69" s="10"/>
      <c r="AO69" s="10"/>
      <c r="AP69" s="10"/>
      <c r="AQ69" s="10"/>
      <c r="AR69" s="10"/>
      <c r="AS69" s="10"/>
      <c r="AT69" s="10"/>
      <c r="AU69" s="10"/>
      <c r="AV69" s="10"/>
      <c r="AW69" s="10"/>
      <c r="AX69" s="10"/>
      <c r="AY69" s="68"/>
      <c r="AZ69" s="10"/>
      <c r="BA69" s="10"/>
      <c r="BB69" s="10"/>
      <c r="BC69" s="10"/>
      <c r="BD69" s="10"/>
      <c r="BE69" s="10"/>
      <c r="BF69" s="10"/>
      <c r="BG69" s="10"/>
      <c r="BH69" s="10"/>
      <c r="BI69" s="69"/>
      <c r="BJ69" s="10"/>
      <c r="BK69" s="10"/>
      <c r="BL69" s="10"/>
      <c r="BM69" s="10"/>
      <c r="BN69" s="10"/>
      <c r="BO69" s="72"/>
    </row>
    <row r="70" ht="15.75" customHeight="1">
      <c r="A70" s="98"/>
      <c r="B70" s="68"/>
      <c r="C70" s="10"/>
      <c r="D70" s="10"/>
      <c r="E70" s="10"/>
      <c r="F70" s="10"/>
      <c r="G70" s="10"/>
      <c r="H70" s="10"/>
      <c r="I70" s="10"/>
      <c r="J70" s="10"/>
      <c r="K70" s="10"/>
      <c r="L70" s="69"/>
      <c r="M70" s="10"/>
      <c r="N70" s="10"/>
      <c r="O70" s="10"/>
      <c r="P70" s="10"/>
      <c r="Q70" s="10"/>
      <c r="R70" s="10"/>
      <c r="S70" s="68"/>
      <c r="T70" s="10"/>
      <c r="U70" s="10"/>
      <c r="V70" s="10"/>
      <c r="W70" s="10"/>
      <c r="X70" s="10"/>
      <c r="Y70" s="10"/>
      <c r="Z70" s="10"/>
      <c r="AA70" s="10"/>
      <c r="AB70" s="10"/>
      <c r="AC70" s="10"/>
      <c r="AD70" s="10"/>
      <c r="AE70" s="69"/>
      <c r="AF70" s="10"/>
      <c r="AG70" s="10"/>
      <c r="AH70" s="10"/>
      <c r="AI70" s="68"/>
      <c r="AJ70" s="10"/>
      <c r="AK70" s="10"/>
      <c r="AL70" s="10"/>
      <c r="AM70" s="10"/>
      <c r="AN70" s="10"/>
      <c r="AO70" s="10"/>
      <c r="AP70" s="10"/>
      <c r="AQ70" s="10"/>
      <c r="AR70" s="10"/>
      <c r="AS70" s="10"/>
      <c r="AT70" s="10"/>
      <c r="AU70" s="10"/>
      <c r="AV70" s="10"/>
      <c r="AW70" s="10"/>
      <c r="AX70" s="10"/>
      <c r="AY70" s="68"/>
      <c r="AZ70" s="10"/>
      <c r="BA70" s="10"/>
      <c r="BB70" s="10"/>
      <c r="BC70" s="10"/>
      <c r="BD70" s="10"/>
      <c r="BE70" s="10"/>
      <c r="BF70" s="10"/>
      <c r="BG70" s="10"/>
      <c r="BH70" s="10"/>
      <c r="BI70" s="69"/>
      <c r="BJ70" s="10"/>
      <c r="BK70" s="10"/>
      <c r="BL70" s="10"/>
      <c r="BM70" s="10"/>
      <c r="BN70" s="10"/>
      <c r="BO70" s="72"/>
    </row>
    <row r="71" ht="15.75" customHeight="1">
      <c r="A71" s="98"/>
      <c r="B71" s="68"/>
      <c r="C71" s="10"/>
      <c r="D71" s="10"/>
      <c r="E71" s="10"/>
      <c r="F71" s="10"/>
      <c r="G71" s="10"/>
      <c r="H71" s="10"/>
      <c r="I71" s="10"/>
      <c r="J71" s="10"/>
      <c r="K71" s="10"/>
      <c r="L71" s="69"/>
      <c r="M71" s="10"/>
      <c r="N71" s="10"/>
      <c r="O71" s="10"/>
      <c r="P71" s="10"/>
      <c r="Q71" s="10"/>
      <c r="R71" s="10"/>
      <c r="S71" s="68"/>
      <c r="T71" s="10"/>
      <c r="U71" s="10"/>
      <c r="V71" s="10"/>
      <c r="W71" s="10"/>
      <c r="X71" s="10"/>
      <c r="Y71" s="10"/>
      <c r="Z71" s="10"/>
      <c r="AA71" s="10"/>
      <c r="AB71" s="10"/>
      <c r="AC71" s="10"/>
      <c r="AD71" s="10"/>
      <c r="AE71" s="69"/>
      <c r="AF71" s="10"/>
      <c r="AG71" s="10"/>
      <c r="AH71" s="10"/>
      <c r="AI71" s="68"/>
      <c r="AJ71" s="10"/>
      <c r="AK71" s="10"/>
      <c r="AL71" s="10"/>
      <c r="AM71" s="10"/>
      <c r="AN71" s="10"/>
      <c r="AO71" s="10"/>
      <c r="AP71" s="10"/>
      <c r="AQ71" s="10"/>
      <c r="AR71" s="10"/>
      <c r="AS71" s="10"/>
      <c r="AT71" s="10"/>
      <c r="AU71" s="10"/>
      <c r="AV71" s="10"/>
      <c r="AW71" s="10"/>
      <c r="AX71" s="10"/>
      <c r="AY71" s="68"/>
      <c r="AZ71" s="10"/>
      <c r="BA71" s="10"/>
      <c r="BB71" s="10"/>
      <c r="BC71" s="10"/>
      <c r="BD71" s="10"/>
      <c r="BE71" s="10"/>
      <c r="BF71" s="10"/>
      <c r="BG71" s="10"/>
      <c r="BH71" s="10"/>
      <c r="BI71" s="69"/>
      <c r="BJ71" s="10"/>
      <c r="BK71" s="10"/>
      <c r="BL71" s="10"/>
      <c r="BM71" s="10"/>
      <c r="BN71" s="10"/>
      <c r="BO71" s="72"/>
    </row>
    <row r="72" ht="15.75" customHeight="1">
      <c r="A72" s="98"/>
      <c r="B72" s="68"/>
      <c r="C72" s="10"/>
      <c r="D72" s="10"/>
      <c r="E72" s="10"/>
      <c r="F72" s="10"/>
      <c r="G72" s="10"/>
      <c r="H72" s="10"/>
      <c r="I72" s="10"/>
      <c r="J72" s="10"/>
      <c r="K72" s="10"/>
      <c r="L72" s="69"/>
      <c r="M72" s="10"/>
      <c r="N72" s="10"/>
      <c r="O72" s="10"/>
      <c r="P72" s="10"/>
      <c r="Q72" s="10"/>
      <c r="R72" s="10"/>
      <c r="S72" s="68"/>
      <c r="T72" s="10"/>
      <c r="U72" s="10"/>
      <c r="V72" s="10"/>
      <c r="W72" s="10"/>
      <c r="X72" s="10"/>
      <c r="Y72" s="10"/>
      <c r="Z72" s="10"/>
      <c r="AA72" s="10"/>
      <c r="AB72" s="10"/>
      <c r="AC72" s="10"/>
      <c r="AD72" s="10"/>
      <c r="AE72" s="69"/>
      <c r="AF72" s="10"/>
      <c r="AG72" s="10"/>
      <c r="AH72" s="10"/>
      <c r="AI72" s="68"/>
      <c r="AJ72" s="10"/>
      <c r="AK72" s="10"/>
      <c r="AL72" s="10"/>
      <c r="AM72" s="10"/>
      <c r="AN72" s="10"/>
      <c r="AO72" s="10"/>
      <c r="AP72" s="10"/>
      <c r="AQ72" s="10"/>
      <c r="AR72" s="10"/>
      <c r="AS72" s="10"/>
      <c r="AT72" s="10"/>
      <c r="AU72" s="10"/>
      <c r="AV72" s="10"/>
      <c r="AW72" s="10"/>
      <c r="AX72" s="10"/>
      <c r="AY72" s="68"/>
      <c r="AZ72" s="10"/>
      <c r="BA72" s="10"/>
      <c r="BB72" s="10"/>
      <c r="BC72" s="10"/>
      <c r="BD72" s="10"/>
      <c r="BE72" s="10"/>
      <c r="BF72" s="10"/>
      <c r="BG72" s="10"/>
      <c r="BH72" s="10"/>
      <c r="BI72" s="69"/>
      <c r="BJ72" s="10"/>
      <c r="BK72" s="10"/>
      <c r="BL72" s="10"/>
      <c r="BM72" s="10"/>
      <c r="BN72" s="10"/>
      <c r="BO72" s="72"/>
    </row>
    <row r="73" ht="15.75" customHeight="1">
      <c r="A73" s="98"/>
      <c r="B73" s="68"/>
      <c r="C73" s="10"/>
      <c r="D73" s="10"/>
      <c r="E73" s="10"/>
      <c r="F73" s="10"/>
      <c r="G73" s="10"/>
      <c r="H73" s="10"/>
      <c r="I73" s="10"/>
      <c r="J73" s="10"/>
      <c r="K73" s="10"/>
      <c r="L73" s="69"/>
      <c r="M73" s="10"/>
      <c r="N73" s="10"/>
      <c r="O73" s="10"/>
      <c r="P73" s="10"/>
      <c r="Q73" s="10"/>
      <c r="R73" s="10"/>
      <c r="S73" s="68"/>
      <c r="T73" s="10"/>
      <c r="U73" s="10"/>
      <c r="V73" s="10"/>
      <c r="W73" s="10"/>
      <c r="X73" s="10"/>
      <c r="Y73" s="10"/>
      <c r="Z73" s="10"/>
      <c r="AA73" s="10"/>
      <c r="AB73" s="10"/>
      <c r="AC73" s="10"/>
      <c r="AD73" s="10"/>
      <c r="AE73" s="69"/>
      <c r="AF73" s="10"/>
      <c r="AG73" s="10"/>
      <c r="AH73" s="10"/>
      <c r="AI73" s="68"/>
      <c r="AJ73" s="10"/>
      <c r="AK73" s="10"/>
      <c r="AL73" s="10"/>
      <c r="AM73" s="10"/>
      <c r="AN73" s="10"/>
      <c r="AO73" s="10"/>
      <c r="AP73" s="10"/>
      <c r="AQ73" s="10"/>
      <c r="AR73" s="10"/>
      <c r="AS73" s="10"/>
      <c r="AT73" s="10"/>
      <c r="AU73" s="10"/>
      <c r="AV73" s="10"/>
      <c r="AW73" s="10"/>
      <c r="AX73" s="10"/>
      <c r="AY73" s="68"/>
      <c r="AZ73" s="10"/>
      <c r="BA73" s="10"/>
      <c r="BB73" s="10"/>
      <c r="BC73" s="10"/>
      <c r="BD73" s="10"/>
      <c r="BE73" s="10"/>
      <c r="BF73" s="10"/>
      <c r="BG73" s="10"/>
      <c r="BH73" s="10"/>
      <c r="BI73" s="69"/>
      <c r="BJ73" s="10"/>
      <c r="BK73" s="10"/>
      <c r="BL73" s="10"/>
      <c r="BM73" s="10"/>
      <c r="BN73" s="10"/>
      <c r="BO73" s="72"/>
    </row>
    <row r="74" ht="15.75" customHeight="1">
      <c r="A74" s="98"/>
      <c r="B74" s="68"/>
      <c r="C74" s="10"/>
      <c r="D74" s="10"/>
      <c r="E74" s="10"/>
      <c r="F74" s="10"/>
      <c r="G74" s="10"/>
      <c r="H74" s="10"/>
      <c r="I74" s="10"/>
      <c r="J74" s="10"/>
      <c r="K74" s="10"/>
      <c r="L74" s="69"/>
      <c r="M74" s="10"/>
      <c r="N74" s="10"/>
      <c r="O74" s="10"/>
      <c r="P74" s="10"/>
      <c r="Q74" s="10"/>
      <c r="R74" s="10"/>
      <c r="S74" s="68"/>
      <c r="T74" s="10"/>
      <c r="U74" s="10"/>
      <c r="V74" s="10"/>
      <c r="W74" s="10"/>
      <c r="X74" s="10"/>
      <c r="Y74" s="10"/>
      <c r="Z74" s="10"/>
      <c r="AA74" s="10"/>
      <c r="AB74" s="10"/>
      <c r="AC74" s="10"/>
      <c r="AD74" s="10"/>
      <c r="AE74" s="69"/>
      <c r="AF74" s="10"/>
      <c r="AG74" s="10"/>
      <c r="AH74" s="10"/>
      <c r="AI74" s="68"/>
      <c r="AJ74" s="10"/>
      <c r="AK74" s="10"/>
      <c r="AL74" s="10"/>
      <c r="AM74" s="10"/>
      <c r="AN74" s="10"/>
      <c r="AO74" s="10"/>
      <c r="AP74" s="10"/>
      <c r="AQ74" s="10"/>
      <c r="AR74" s="10"/>
      <c r="AS74" s="10"/>
      <c r="AT74" s="10"/>
      <c r="AU74" s="10"/>
      <c r="AV74" s="10"/>
      <c r="AW74" s="10"/>
      <c r="AX74" s="10"/>
      <c r="AY74" s="68"/>
      <c r="AZ74" s="10"/>
      <c r="BA74" s="10"/>
      <c r="BB74" s="10"/>
      <c r="BC74" s="10"/>
      <c r="BD74" s="10"/>
      <c r="BE74" s="10"/>
      <c r="BF74" s="10"/>
      <c r="BG74" s="10"/>
      <c r="BH74" s="10"/>
      <c r="BI74" s="69"/>
      <c r="BJ74" s="10"/>
      <c r="BK74" s="10"/>
      <c r="BL74" s="10"/>
      <c r="BM74" s="10"/>
      <c r="BN74" s="10"/>
      <c r="BO74" s="72"/>
    </row>
    <row r="75" ht="15.75" customHeight="1">
      <c r="A75" s="98"/>
      <c r="B75" s="68"/>
      <c r="C75" s="10"/>
      <c r="D75" s="10"/>
      <c r="E75" s="10"/>
      <c r="F75" s="10"/>
      <c r="G75" s="10"/>
      <c r="H75" s="10"/>
      <c r="I75" s="10"/>
      <c r="J75" s="10"/>
      <c r="K75" s="10"/>
      <c r="L75" s="69"/>
      <c r="M75" s="10"/>
      <c r="N75" s="10"/>
      <c r="O75" s="10"/>
      <c r="P75" s="10"/>
      <c r="Q75" s="10"/>
      <c r="R75" s="10"/>
      <c r="S75" s="68"/>
      <c r="T75" s="10"/>
      <c r="U75" s="10"/>
      <c r="V75" s="10"/>
      <c r="W75" s="10"/>
      <c r="X75" s="10"/>
      <c r="Y75" s="10"/>
      <c r="Z75" s="10"/>
      <c r="AA75" s="10"/>
      <c r="AB75" s="10"/>
      <c r="AC75" s="10"/>
      <c r="AD75" s="10"/>
      <c r="AE75" s="69"/>
      <c r="AF75" s="10"/>
      <c r="AG75" s="10"/>
      <c r="AH75" s="10"/>
      <c r="AI75" s="68"/>
      <c r="AJ75" s="10"/>
      <c r="AK75" s="10"/>
      <c r="AL75" s="10"/>
      <c r="AM75" s="10"/>
      <c r="AN75" s="10"/>
      <c r="AO75" s="10"/>
      <c r="AP75" s="10"/>
      <c r="AQ75" s="10"/>
      <c r="AR75" s="10"/>
      <c r="AS75" s="10"/>
      <c r="AT75" s="10"/>
      <c r="AU75" s="10"/>
      <c r="AV75" s="10"/>
      <c r="AW75" s="10"/>
      <c r="AX75" s="10"/>
      <c r="AY75" s="68"/>
      <c r="AZ75" s="10"/>
      <c r="BA75" s="10"/>
      <c r="BB75" s="10"/>
      <c r="BC75" s="10"/>
      <c r="BD75" s="10"/>
      <c r="BE75" s="10"/>
      <c r="BF75" s="10"/>
      <c r="BG75" s="10"/>
      <c r="BH75" s="10"/>
      <c r="BI75" s="69"/>
      <c r="BJ75" s="10"/>
      <c r="BK75" s="10"/>
      <c r="BL75" s="10"/>
      <c r="BM75" s="10"/>
      <c r="BN75" s="10"/>
      <c r="BO75" s="72"/>
    </row>
    <row r="76" ht="15.75" customHeight="1">
      <c r="A76" s="98"/>
      <c r="B76" s="68"/>
      <c r="C76" s="10"/>
      <c r="D76" s="10"/>
      <c r="E76" s="10"/>
      <c r="F76" s="10"/>
      <c r="G76" s="10"/>
      <c r="H76" s="10"/>
      <c r="I76" s="10"/>
      <c r="J76" s="10"/>
      <c r="K76" s="10"/>
      <c r="L76" s="69"/>
      <c r="M76" s="10"/>
      <c r="N76" s="10"/>
      <c r="O76" s="10"/>
      <c r="P76" s="10"/>
      <c r="Q76" s="10"/>
      <c r="R76" s="10"/>
      <c r="S76" s="68"/>
      <c r="T76" s="10"/>
      <c r="U76" s="10"/>
      <c r="V76" s="10"/>
      <c r="W76" s="10"/>
      <c r="X76" s="10"/>
      <c r="Y76" s="10"/>
      <c r="Z76" s="10"/>
      <c r="AA76" s="10"/>
      <c r="AB76" s="10"/>
      <c r="AC76" s="10"/>
      <c r="AD76" s="10"/>
      <c r="AE76" s="69"/>
      <c r="AF76" s="10"/>
      <c r="AG76" s="10"/>
      <c r="AH76" s="10"/>
      <c r="AI76" s="68"/>
      <c r="AJ76" s="10"/>
      <c r="AK76" s="10"/>
      <c r="AL76" s="10"/>
      <c r="AM76" s="10"/>
      <c r="AN76" s="10"/>
      <c r="AO76" s="10"/>
      <c r="AP76" s="10"/>
      <c r="AQ76" s="10"/>
      <c r="AR76" s="10"/>
      <c r="AS76" s="10"/>
      <c r="AT76" s="10"/>
      <c r="AU76" s="10"/>
      <c r="AV76" s="10"/>
      <c r="AW76" s="10"/>
      <c r="AX76" s="10"/>
      <c r="AY76" s="68"/>
      <c r="AZ76" s="10"/>
      <c r="BA76" s="10"/>
      <c r="BB76" s="10"/>
      <c r="BC76" s="10"/>
      <c r="BD76" s="10"/>
      <c r="BE76" s="10"/>
      <c r="BF76" s="10"/>
      <c r="BG76" s="10"/>
      <c r="BH76" s="10"/>
      <c r="BI76" s="69"/>
      <c r="BJ76" s="10"/>
      <c r="BK76" s="10"/>
      <c r="BL76" s="10"/>
      <c r="BM76" s="10"/>
      <c r="BN76" s="10"/>
      <c r="BO76" s="72"/>
    </row>
    <row r="77" ht="15.75" customHeight="1">
      <c r="A77" s="98"/>
      <c r="B77" s="68"/>
      <c r="C77" s="10"/>
      <c r="D77" s="10"/>
      <c r="E77" s="10"/>
      <c r="F77" s="10"/>
      <c r="G77" s="10"/>
      <c r="H77" s="10"/>
      <c r="I77" s="10"/>
      <c r="J77" s="10"/>
      <c r="K77" s="10"/>
      <c r="L77" s="69"/>
      <c r="M77" s="10"/>
      <c r="N77" s="10"/>
      <c r="O77" s="10"/>
      <c r="P77" s="10"/>
      <c r="Q77" s="10"/>
      <c r="R77" s="10"/>
      <c r="S77" s="68"/>
      <c r="T77" s="10"/>
      <c r="U77" s="10"/>
      <c r="V77" s="10"/>
      <c r="W77" s="10"/>
      <c r="X77" s="10"/>
      <c r="Y77" s="10"/>
      <c r="Z77" s="10"/>
      <c r="AA77" s="10"/>
      <c r="AB77" s="10"/>
      <c r="AC77" s="10"/>
      <c r="AD77" s="10"/>
      <c r="AE77" s="69"/>
      <c r="AF77" s="10"/>
      <c r="AG77" s="10"/>
      <c r="AH77" s="10"/>
      <c r="AI77" s="68"/>
      <c r="AJ77" s="10"/>
      <c r="AK77" s="10"/>
      <c r="AL77" s="10"/>
      <c r="AM77" s="10"/>
      <c r="AN77" s="10"/>
      <c r="AO77" s="10"/>
      <c r="AP77" s="10"/>
      <c r="AQ77" s="10"/>
      <c r="AR77" s="10"/>
      <c r="AS77" s="10"/>
      <c r="AT77" s="10"/>
      <c r="AU77" s="10"/>
      <c r="AV77" s="10"/>
      <c r="AW77" s="10"/>
      <c r="AX77" s="10"/>
      <c r="AY77" s="68"/>
      <c r="AZ77" s="10"/>
      <c r="BA77" s="10"/>
      <c r="BB77" s="10"/>
      <c r="BC77" s="10"/>
      <c r="BD77" s="10"/>
      <c r="BE77" s="10"/>
      <c r="BF77" s="10"/>
      <c r="BG77" s="10"/>
      <c r="BH77" s="10"/>
      <c r="BI77" s="69"/>
      <c r="BJ77" s="10"/>
      <c r="BK77" s="10"/>
      <c r="BL77" s="10"/>
      <c r="BM77" s="10"/>
      <c r="BN77" s="10"/>
      <c r="BO77" s="72"/>
    </row>
    <row r="78" ht="15.75" customHeight="1">
      <c r="A78" s="98"/>
      <c r="B78" s="68"/>
      <c r="C78" s="10"/>
      <c r="D78" s="10"/>
      <c r="E78" s="10"/>
      <c r="F78" s="10"/>
      <c r="G78" s="10"/>
      <c r="H78" s="10"/>
      <c r="I78" s="10"/>
      <c r="J78" s="10"/>
      <c r="K78" s="10"/>
      <c r="L78" s="69"/>
      <c r="M78" s="10"/>
      <c r="N78" s="10"/>
      <c r="O78" s="10"/>
      <c r="P78" s="10"/>
      <c r="Q78" s="10"/>
      <c r="R78" s="10"/>
      <c r="S78" s="68"/>
      <c r="T78" s="10"/>
      <c r="U78" s="10"/>
      <c r="V78" s="10"/>
      <c r="W78" s="10"/>
      <c r="X78" s="10"/>
      <c r="Y78" s="10"/>
      <c r="Z78" s="10"/>
      <c r="AA78" s="10"/>
      <c r="AB78" s="10"/>
      <c r="AC78" s="10"/>
      <c r="AD78" s="10"/>
      <c r="AE78" s="69"/>
      <c r="AF78" s="10"/>
      <c r="AG78" s="10"/>
      <c r="AH78" s="10"/>
      <c r="AI78" s="68"/>
      <c r="AJ78" s="10"/>
      <c r="AK78" s="10"/>
      <c r="AL78" s="10"/>
      <c r="AM78" s="10"/>
      <c r="AN78" s="10"/>
      <c r="AO78" s="10"/>
      <c r="AP78" s="10"/>
      <c r="AQ78" s="10"/>
      <c r="AR78" s="10"/>
      <c r="AS78" s="10"/>
      <c r="AT78" s="10"/>
      <c r="AU78" s="10"/>
      <c r="AV78" s="10"/>
      <c r="AW78" s="10"/>
      <c r="AX78" s="10"/>
      <c r="AY78" s="68"/>
      <c r="AZ78" s="10"/>
      <c r="BA78" s="10"/>
      <c r="BB78" s="10"/>
      <c r="BC78" s="10"/>
      <c r="BD78" s="10"/>
      <c r="BE78" s="10"/>
      <c r="BF78" s="10"/>
      <c r="BG78" s="10"/>
      <c r="BH78" s="10"/>
      <c r="BI78" s="69"/>
      <c r="BJ78" s="10"/>
      <c r="BK78" s="10"/>
      <c r="BL78" s="10"/>
      <c r="BM78" s="10"/>
      <c r="BN78" s="10"/>
      <c r="BO78" s="72"/>
    </row>
    <row r="79" ht="15.75" customHeight="1">
      <c r="A79" s="98"/>
      <c r="B79" s="68"/>
      <c r="C79" s="10"/>
      <c r="D79" s="10"/>
      <c r="E79" s="10"/>
      <c r="F79" s="10"/>
      <c r="G79" s="10"/>
      <c r="H79" s="10"/>
      <c r="I79" s="10"/>
      <c r="J79" s="10"/>
      <c r="K79" s="10"/>
      <c r="L79" s="69"/>
      <c r="M79" s="10"/>
      <c r="N79" s="10"/>
      <c r="O79" s="10"/>
      <c r="P79" s="10"/>
      <c r="Q79" s="10"/>
      <c r="R79" s="10"/>
      <c r="S79" s="68"/>
      <c r="T79" s="10"/>
      <c r="U79" s="10"/>
      <c r="V79" s="10"/>
      <c r="W79" s="10"/>
      <c r="X79" s="10"/>
      <c r="Y79" s="10"/>
      <c r="Z79" s="10"/>
      <c r="AA79" s="10"/>
      <c r="AB79" s="10"/>
      <c r="AC79" s="10"/>
      <c r="AD79" s="10"/>
      <c r="AE79" s="69"/>
      <c r="AF79" s="10"/>
      <c r="AG79" s="10"/>
      <c r="AH79" s="10"/>
      <c r="AI79" s="68"/>
      <c r="AJ79" s="10"/>
      <c r="AK79" s="10"/>
      <c r="AL79" s="10"/>
      <c r="AM79" s="10"/>
      <c r="AN79" s="10"/>
      <c r="AO79" s="10"/>
      <c r="AP79" s="10"/>
      <c r="AQ79" s="10"/>
      <c r="AR79" s="10"/>
      <c r="AS79" s="10"/>
      <c r="AT79" s="10"/>
      <c r="AU79" s="10"/>
      <c r="AV79" s="10"/>
      <c r="AW79" s="10"/>
      <c r="AX79" s="10"/>
      <c r="AY79" s="68"/>
      <c r="AZ79" s="10"/>
      <c r="BA79" s="10"/>
      <c r="BB79" s="10"/>
      <c r="BC79" s="10"/>
      <c r="BD79" s="10"/>
      <c r="BE79" s="10"/>
      <c r="BF79" s="10"/>
      <c r="BG79" s="10"/>
      <c r="BH79" s="10"/>
      <c r="BI79" s="69"/>
      <c r="BJ79" s="10"/>
      <c r="BK79" s="10"/>
      <c r="BL79" s="10"/>
      <c r="BM79" s="10"/>
      <c r="BN79" s="10"/>
      <c r="BO79" s="72"/>
    </row>
    <row r="80" ht="15.75" customHeight="1">
      <c r="A80" s="98"/>
      <c r="B80" s="68"/>
      <c r="C80" s="10"/>
      <c r="D80" s="10"/>
      <c r="E80" s="10"/>
      <c r="F80" s="10"/>
      <c r="G80" s="10"/>
      <c r="H80" s="10"/>
      <c r="I80" s="10"/>
      <c r="J80" s="10"/>
      <c r="K80" s="10"/>
      <c r="L80" s="69"/>
      <c r="M80" s="10"/>
      <c r="N80" s="10"/>
      <c r="O80" s="10"/>
      <c r="P80" s="10"/>
      <c r="Q80" s="10"/>
      <c r="R80" s="10"/>
      <c r="S80" s="68"/>
      <c r="T80" s="10"/>
      <c r="U80" s="10"/>
      <c r="V80" s="10"/>
      <c r="W80" s="10"/>
      <c r="X80" s="10"/>
      <c r="Y80" s="10"/>
      <c r="Z80" s="10"/>
      <c r="AA80" s="10"/>
      <c r="AB80" s="10"/>
      <c r="AC80" s="10"/>
      <c r="AD80" s="10"/>
      <c r="AE80" s="69"/>
      <c r="AF80" s="10"/>
      <c r="AG80" s="10"/>
      <c r="AH80" s="10"/>
      <c r="AI80" s="68"/>
      <c r="AJ80" s="10"/>
      <c r="AK80" s="10"/>
      <c r="AL80" s="10"/>
      <c r="AM80" s="10"/>
      <c r="AN80" s="10"/>
      <c r="AO80" s="10"/>
      <c r="AP80" s="10"/>
      <c r="AQ80" s="10"/>
      <c r="AR80" s="10"/>
      <c r="AS80" s="10"/>
      <c r="AT80" s="10"/>
      <c r="AU80" s="10"/>
      <c r="AV80" s="10"/>
      <c r="AW80" s="10"/>
      <c r="AX80" s="10"/>
      <c r="AY80" s="68"/>
      <c r="AZ80" s="10"/>
      <c r="BA80" s="10"/>
      <c r="BB80" s="10"/>
      <c r="BC80" s="10"/>
      <c r="BD80" s="10"/>
      <c r="BE80" s="10"/>
      <c r="BF80" s="10"/>
      <c r="BG80" s="10"/>
      <c r="BH80" s="10"/>
      <c r="BI80" s="69"/>
      <c r="BJ80" s="10"/>
      <c r="BK80" s="10"/>
      <c r="BL80" s="10"/>
      <c r="BM80" s="10"/>
      <c r="BN80" s="10"/>
      <c r="BO80" s="72"/>
    </row>
    <row r="81" ht="15.75" customHeight="1">
      <c r="A81" s="98"/>
      <c r="B81" s="68"/>
      <c r="C81" s="10"/>
      <c r="D81" s="10"/>
      <c r="E81" s="10"/>
      <c r="F81" s="10"/>
      <c r="G81" s="10"/>
      <c r="H81" s="10"/>
      <c r="I81" s="10"/>
      <c r="J81" s="10"/>
      <c r="K81" s="10"/>
      <c r="L81" s="69"/>
      <c r="M81" s="10"/>
      <c r="N81" s="10"/>
      <c r="O81" s="10"/>
      <c r="P81" s="10"/>
      <c r="Q81" s="10"/>
      <c r="R81" s="10"/>
      <c r="S81" s="68"/>
      <c r="T81" s="10"/>
      <c r="U81" s="10"/>
      <c r="V81" s="10"/>
      <c r="W81" s="10"/>
      <c r="X81" s="10"/>
      <c r="Y81" s="10"/>
      <c r="Z81" s="10"/>
      <c r="AA81" s="10"/>
      <c r="AB81" s="10"/>
      <c r="AC81" s="10"/>
      <c r="AD81" s="10"/>
      <c r="AE81" s="69"/>
      <c r="AF81" s="10"/>
      <c r="AG81" s="10"/>
      <c r="AH81" s="10"/>
      <c r="AI81" s="68"/>
      <c r="AJ81" s="10"/>
      <c r="AK81" s="10"/>
      <c r="AL81" s="10"/>
      <c r="AM81" s="10"/>
      <c r="AN81" s="10"/>
      <c r="AO81" s="10"/>
      <c r="AP81" s="10"/>
      <c r="AQ81" s="10"/>
      <c r="AR81" s="10"/>
      <c r="AS81" s="10"/>
      <c r="AT81" s="10"/>
      <c r="AU81" s="10"/>
      <c r="AV81" s="10"/>
      <c r="AW81" s="10"/>
      <c r="AX81" s="10"/>
      <c r="AY81" s="68"/>
      <c r="AZ81" s="10"/>
      <c r="BA81" s="10"/>
      <c r="BB81" s="10"/>
      <c r="BC81" s="10"/>
      <c r="BD81" s="10"/>
      <c r="BE81" s="10"/>
      <c r="BF81" s="10"/>
      <c r="BG81" s="10"/>
      <c r="BH81" s="10"/>
      <c r="BI81" s="69"/>
      <c r="BJ81" s="10"/>
      <c r="BK81" s="10"/>
      <c r="BL81" s="10"/>
      <c r="BM81" s="10"/>
      <c r="BN81" s="10"/>
      <c r="BO81" s="72"/>
    </row>
    <row r="82" ht="15.75" customHeight="1">
      <c r="A82" s="98"/>
      <c r="B82" s="68"/>
      <c r="C82" s="10"/>
      <c r="D82" s="10"/>
      <c r="E82" s="10"/>
      <c r="F82" s="10"/>
      <c r="G82" s="10"/>
      <c r="H82" s="10"/>
      <c r="I82" s="10"/>
      <c r="J82" s="10"/>
      <c r="K82" s="10"/>
      <c r="L82" s="69"/>
      <c r="M82" s="10"/>
      <c r="N82" s="10"/>
      <c r="O82" s="10"/>
      <c r="P82" s="10"/>
      <c r="Q82" s="10"/>
      <c r="R82" s="10"/>
      <c r="S82" s="68"/>
      <c r="T82" s="10"/>
      <c r="U82" s="10"/>
      <c r="V82" s="10"/>
      <c r="W82" s="10"/>
      <c r="X82" s="10"/>
      <c r="Y82" s="10"/>
      <c r="Z82" s="10"/>
      <c r="AA82" s="10"/>
      <c r="AB82" s="10"/>
      <c r="AC82" s="10"/>
      <c r="AD82" s="10"/>
      <c r="AE82" s="69"/>
      <c r="AF82" s="10"/>
      <c r="AG82" s="10"/>
      <c r="AH82" s="10"/>
      <c r="AI82" s="68"/>
      <c r="AJ82" s="10"/>
      <c r="AK82" s="10"/>
      <c r="AL82" s="10"/>
      <c r="AM82" s="10"/>
      <c r="AN82" s="10"/>
      <c r="AO82" s="10"/>
      <c r="AP82" s="10"/>
      <c r="AQ82" s="10"/>
      <c r="AR82" s="10"/>
      <c r="AS82" s="10"/>
      <c r="AT82" s="10"/>
      <c r="AU82" s="10"/>
      <c r="AV82" s="10"/>
      <c r="AW82" s="10"/>
      <c r="AX82" s="10"/>
      <c r="AY82" s="68"/>
      <c r="AZ82" s="10"/>
      <c r="BA82" s="10"/>
      <c r="BB82" s="10"/>
      <c r="BC82" s="10"/>
      <c r="BD82" s="10"/>
      <c r="BE82" s="10"/>
      <c r="BF82" s="10"/>
      <c r="BG82" s="10"/>
      <c r="BH82" s="10"/>
      <c r="BI82" s="69"/>
      <c r="BJ82" s="10"/>
      <c r="BK82" s="10"/>
      <c r="BL82" s="10"/>
      <c r="BM82" s="10"/>
      <c r="BN82" s="10"/>
      <c r="BO82" s="72"/>
    </row>
    <row r="83" ht="15.75" customHeight="1">
      <c r="A83" s="98"/>
      <c r="B83" s="68"/>
      <c r="C83" s="10"/>
      <c r="D83" s="10"/>
      <c r="E83" s="10"/>
      <c r="F83" s="10"/>
      <c r="G83" s="10"/>
      <c r="H83" s="10"/>
      <c r="I83" s="10"/>
      <c r="J83" s="10"/>
      <c r="K83" s="10"/>
      <c r="L83" s="69"/>
      <c r="M83" s="10"/>
      <c r="N83" s="10"/>
      <c r="O83" s="10"/>
      <c r="P83" s="10"/>
      <c r="Q83" s="10"/>
      <c r="R83" s="10"/>
      <c r="S83" s="68"/>
      <c r="T83" s="10"/>
      <c r="U83" s="10"/>
      <c r="V83" s="10"/>
      <c r="W83" s="10"/>
      <c r="X83" s="10"/>
      <c r="Y83" s="10"/>
      <c r="Z83" s="10"/>
      <c r="AA83" s="10"/>
      <c r="AB83" s="10"/>
      <c r="AC83" s="10"/>
      <c r="AD83" s="10"/>
      <c r="AE83" s="69"/>
      <c r="AF83" s="10"/>
      <c r="AG83" s="10"/>
      <c r="AH83" s="10"/>
      <c r="AI83" s="68"/>
      <c r="AJ83" s="10"/>
      <c r="AK83" s="10"/>
      <c r="AL83" s="10"/>
      <c r="AM83" s="10"/>
      <c r="AN83" s="10"/>
      <c r="AO83" s="10"/>
      <c r="AP83" s="10"/>
      <c r="AQ83" s="10"/>
      <c r="AR83" s="10"/>
      <c r="AS83" s="10"/>
      <c r="AT83" s="10"/>
      <c r="AU83" s="10"/>
      <c r="AV83" s="10"/>
      <c r="AW83" s="10"/>
      <c r="AX83" s="10"/>
      <c r="AY83" s="68"/>
      <c r="AZ83" s="10"/>
      <c r="BA83" s="10"/>
      <c r="BB83" s="10"/>
      <c r="BC83" s="10"/>
      <c r="BD83" s="10"/>
      <c r="BE83" s="10"/>
      <c r="BF83" s="10"/>
      <c r="BG83" s="10"/>
      <c r="BH83" s="10"/>
      <c r="BI83" s="69"/>
      <c r="BJ83" s="10"/>
      <c r="BK83" s="10"/>
      <c r="BL83" s="10"/>
      <c r="BM83" s="10"/>
      <c r="BN83" s="10"/>
      <c r="BO83" s="72"/>
    </row>
    <row r="84" ht="15.75" customHeight="1">
      <c r="A84" s="98"/>
      <c r="B84" s="68"/>
      <c r="C84" s="10"/>
      <c r="D84" s="10"/>
      <c r="E84" s="10"/>
      <c r="F84" s="10"/>
      <c r="G84" s="10"/>
      <c r="H84" s="10"/>
      <c r="I84" s="10"/>
      <c r="J84" s="10"/>
      <c r="K84" s="10"/>
      <c r="L84" s="69"/>
      <c r="M84" s="10"/>
      <c r="N84" s="10"/>
      <c r="O84" s="10"/>
      <c r="P84" s="10"/>
      <c r="Q84" s="10"/>
      <c r="R84" s="10"/>
      <c r="S84" s="68"/>
      <c r="T84" s="10"/>
      <c r="U84" s="10"/>
      <c r="V84" s="10"/>
      <c r="W84" s="10"/>
      <c r="X84" s="10"/>
      <c r="Y84" s="10"/>
      <c r="Z84" s="10"/>
      <c r="AA84" s="10"/>
      <c r="AB84" s="10"/>
      <c r="AC84" s="10"/>
      <c r="AD84" s="10"/>
      <c r="AE84" s="69"/>
      <c r="AF84" s="10"/>
      <c r="AG84" s="10"/>
      <c r="AH84" s="10"/>
      <c r="AI84" s="68"/>
      <c r="AJ84" s="10"/>
      <c r="AK84" s="10"/>
      <c r="AL84" s="10"/>
      <c r="AM84" s="10"/>
      <c r="AN84" s="10"/>
      <c r="AO84" s="10"/>
      <c r="AP84" s="10"/>
      <c r="AQ84" s="10"/>
      <c r="AR84" s="10"/>
      <c r="AS84" s="10"/>
      <c r="AT84" s="10"/>
      <c r="AU84" s="10"/>
      <c r="AV84" s="10"/>
      <c r="AW84" s="10"/>
      <c r="AX84" s="10"/>
      <c r="AY84" s="68"/>
      <c r="AZ84" s="10"/>
      <c r="BA84" s="10"/>
      <c r="BB84" s="10"/>
      <c r="BC84" s="10"/>
      <c r="BD84" s="10"/>
      <c r="BE84" s="10"/>
      <c r="BF84" s="10"/>
      <c r="BG84" s="10"/>
      <c r="BH84" s="10"/>
      <c r="BI84" s="69"/>
      <c r="BJ84" s="10"/>
      <c r="BK84" s="10"/>
      <c r="BL84" s="10"/>
      <c r="BM84" s="10"/>
      <c r="BN84" s="10"/>
      <c r="BO84" s="72"/>
    </row>
    <row r="85" ht="15.75" customHeight="1">
      <c r="A85" s="98"/>
      <c r="B85" s="68"/>
      <c r="C85" s="10"/>
      <c r="D85" s="10"/>
      <c r="E85" s="10"/>
      <c r="F85" s="10"/>
      <c r="G85" s="10"/>
      <c r="H85" s="10"/>
      <c r="I85" s="10"/>
      <c r="J85" s="10"/>
      <c r="K85" s="10"/>
      <c r="L85" s="69"/>
      <c r="M85" s="10"/>
      <c r="N85" s="10"/>
      <c r="O85" s="10"/>
      <c r="P85" s="10"/>
      <c r="Q85" s="10"/>
      <c r="R85" s="10"/>
      <c r="S85" s="68"/>
      <c r="T85" s="10"/>
      <c r="U85" s="10"/>
      <c r="V85" s="10"/>
      <c r="W85" s="10"/>
      <c r="X85" s="10"/>
      <c r="Y85" s="10"/>
      <c r="Z85" s="10"/>
      <c r="AA85" s="10"/>
      <c r="AB85" s="10"/>
      <c r="AC85" s="10"/>
      <c r="AD85" s="10"/>
      <c r="AE85" s="69"/>
      <c r="AF85" s="10"/>
      <c r="AG85" s="10"/>
      <c r="AH85" s="10"/>
      <c r="AI85" s="68"/>
      <c r="AJ85" s="10"/>
      <c r="AK85" s="10"/>
      <c r="AL85" s="10"/>
      <c r="AM85" s="10"/>
      <c r="AN85" s="10"/>
      <c r="AO85" s="10"/>
      <c r="AP85" s="10"/>
      <c r="AQ85" s="10"/>
      <c r="AR85" s="10"/>
      <c r="AS85" s="10"/>
      <c r="AT85" s="10"/>
      <c r="AU85" s="10"/>
      <c r="AV85" s="10"/>
      <c r="AW85" s="10"/>
      <c r="AX85" s="10"/>
      <c r="AY85" s="68"/>
      <c r="AZ85" s="10"/>
      <c r="BA85" s="10"/>
      <c r="BB85" s="10"/>
      <c r="BC85" s="10"/>
      <c r="BD85" s="10"/>
      <c r="BE85" s="10"/>
      <c r="BF85" s="10"/>
      <c r="BG85" s="10"/>
      <c r="BH85" s="10"/>
      <c r="BI85" s="69"/>
      <c r="BJ85" s="10"/>
      <c r="BK85" s="10"/>
      <c r="BL85" s="10"/>
      <c r="BM85" s="10"/>
      <c r="BN85" s="10"/>
      <c r="BO85" s="72"/>
    </row>
    <row r="86" ht="15.75" customHeight="1">
      <c r="A86" s="98"/>
      <c r="B86" s="68"/>
      <c r="C86" s="10"/>
      <c r="D86" s="10"/>
      <c r="E86" s="10"/>
      <c r="F86" s="10"/>
      <c r="G86" s="10"/>
      <c r="H86" s="10"/>
      <c r="I86" s="10"/>
      <c r="J86" s="10"/>
      <c r="K86" s="10"/>
      <c r="L86" s="69"/>
      <c r="M86" s="10"/>
      <c r="N86" s="10"/>
      <c r="O86" s="10"/>
      <c r="P86" s="10"/>
      <c r="Q86" s="10"/>
      <c r="R86" s="10"/>
      <c r="S86" s="68"/>
      <c r="T86" s="10"/>
      <c r="U86" s="10"/>
      <c r="V86" s="10"/>
      <c r="W86" s="10"/>
      <c r="X86" s="10"/>
      <c r="Y86" s="10"/>
      <c r="Z86" s="10"/>
      <c r="AA86" s="10"/>
      <c r="AB86" s="10"/>
      <c r="AC86" s="10"/>
      <c r="AD86" s="10"/>
      <c r="AE86" s="69"/>
      <c r="AF86" s="10"/>
      <c r="AG86" s="10"/>
      <c r="AH86" s="10"/>
      <c r="AI86" s="68"/>
      <c r="AJ86" s="10"/>
      <c r="AK86" s="10"/>
      <c r="AL86" s="10"/>
      <c r="AM86" s="10"/>
      <c r="AN86" s="10"/>
      <c r="AO86" s="10"/>
      <c r="AP86" s="10"/>
      <c r="AQ86" s="10"/>
      <c r="AR86" s="10"/>
      <c r="AS86" s="10"/>
      <c r="AT86" s="10"/>
      <c r="AU86" s="10"/>
      <c r="AV86" s="10"/>
      <c r="AW86" s="10"/>
      <c r="AX86" s="10"/>
      <c r="AY86" s="68"/>
      <c r="AZ86" s="10"/>
      <c r="BA86" s="10"/>
      <c r="BB86" s="10"/>
      <c r="BC86" s="10"/>
      <c r="BD86" s="10"/>
      <c r="BE86" s="10"/>
      <c r="BF86" s="10"/>
      <c r="BG86" s="10"/>
      <c r="BH86" s="10"/>
      <c r="BI86" s="69"/>
      <c r="BJ86" s="10"/>
      <c r="BK86" s="10"/>
      <c r="BL86" s="10"/>
      <c r="BM86" s="10"/>
      <c r="BN86" s="10"/>
      <c r="BO86" s="72"/>
    </row>
    <row r="87" ht="15.75" customHeight="1">
      <c r="A87" s="98"/>
      <c r="B87" s="68"/>
      <c r="C87" s="10"/>
      <c r="D87" s="10"/>
      <c r="E87" s="10"/>
      <c r="F87" s="10"/>
      <c r="G87" s="10"/>
      <c r="H87" s="10"/>
      <c r="I87" s="10"/>
      <c r="J87" s="10"/>
      <c r="K87" s="10"/>
      <c r="L87" s="69"/>
      <c r="M87" s="10"/>
      <c r="N87" s="10"/>
      <c r="O87" s="10"/>
      <c r="P87" s="10"/>
      <c r="Q87" s="10"/>
      <c r="R87" s="10"/>
      <c r="S87" s="68"/>
      <c r="T87" s="10"/>
      <c r="U87" s="10"/>
      <c r="V87" s="10"/>
      <c r="W87" s="10"/>
      <c r="X87" s="10"/>
      <c r="Y87" s="10"/>
      <c r="Z87" s="10"/>
      <c r="AA87" s="10"/>
      <c r="AB87" s="10"/>
      <c r="AC87" s="10"/>
      <c r="AD87" s="10"/>
      <c r="AE87" s="69"/>
      <c r="AF87" s="10"/>
      <c r="AG87" s="10"/>
      <c r="AH87" s="10"/>
      <c r="AI87" s="68"/>
      <c r="AJ87" s="10"/>
      <c r="AK87" s="10"/>
      <c r="AL87" s="10"/>
      <c r="AM87" s="10"/>
      <c r="AN87" s="10"/>
      <c r="AO87" s="10"/>
      <c r="AP87" s="10"/>
      <c r="AQ87" s="10"/>
      <c r="AR87" s="10"/>
      <c r="AS87" s="10"/>
      <c r="AT87" s="10"/>
      <c r="AU87" s="10"/>
      <c r="AV87" s="10"/>
      <c r="AW87" s="10"/>
      <c r="AX87" s="10"/>
      <c r="AY87" s="68"/>
      <c r="AZ87" s="10"/>
      <c r="BA87" s="10"/>
      <c r="BB87" s="10"/>
      <c r="BC87" s="10"/>
      <c r="BD87" s="10"/>
      <c r="BE87" s="10"/>
      <c r="BF87" s="10"/>
      <c r="BG87" s="10"/>
      <c r="BH87" s="10"/>
      <c r="BI87" s="69"/>
      <c r="BJ87" s="10"/>
      <c r="BK87" s="10"/>
      <c r="BL87" s="10"/>
      <c r="BM87" s="10"/>
      <c r="BN87" s="10"/>
      <c r="BO87" s="72"/>
    </row>
    <row r="88" ht="15.75" customHeight="1">
      <c r="A88" s="98"/>
      <c r="B88" s="68"/>
      <c r="C88" s="10"/>
      <c r="D88" s="10"/>
      <c r="E88" s="10"/>
      <c r="F88" s="10"/>
      <c r="G88" s="10"/>
      <c r="H88" s="10"/>
      <c r="I88" s="10"/>
      <c r="J88" s="10"/>
      <c r="K88" s="10"/>
      <c r="L88" s="69"/>
      <c r="M88" s="10"/>
      <c r="N88" s="10"/>
      <c r="O88" s="10"/>
      <c r="P88" s="10"/>
      <c r="Q88" s="10"/>
      <c r="R88" s="10"/>
      <c r="S88" s="68"/>
      <c r="T88" s="10"/>
      <c r="U88" s="10"/>
      <c r="V88" s="10"/>
      <c r="W88" s="10"/>
      <c r="X88" s="10"/>
      <c r="Y88" s="10"/>
      <c r="Z88" s="10"/>
      <c r="AA88" s="10"/>
      <c r="AB88" s="10"/>
      <c r="AC88" s="10"/>
      <c r="AD88" s="10"/>
      <c r="AE88" s="69"/>
      <c r="AF88" s="10"/>
      <c r="AG88" s="10"/>
      <c r="AH88" s="10"/>
      <c r="AI88" s="68"/>
      <c r="AJ88" s="10"/>
      <c r="AK88" s="10"/>
      <c r="AL88" s="10"/>
      <c r="AM88" s="10"/>
      <c r="AN88" s="10"/>
      <c r="AO88" s="10"/>
      <c r="AP88" s="10"/>
      <c r="AQ88" s="10"/>
      <c r="AR88" s="10"/>
      <c r="AS88" s="10"/>
      <c r="AT88" s="10"/>
      <c r="AU88" s="10"/>
      <c r="AV88" s="10"/>
      <c r="AW88" s="10"/>
      <c r="AX88" s="10"/>
      <c r="AY88" s="68"/>
      <c r="AZ88" s="10"/>
      <c r="BA88" s="10"/>
      <c r="BB88" s="10"/>
      <c r="BC88" s="10"/>
      <c r="BD88" s="10"/>
      <c r="BE88" s="10"/>
      <c r="BF88" s="10"/>
      <c r="BG88" s="10"/>
      <c r="BH88" s="10"/>
      <c r="BI88" s="69"/>
      <c r="BJ88" s="10"/>
      <c r="BK88" s="10"/>
      <c r="BL88" s="10"/>
      <c r="BM88" s="10"/>
      <c r="BN88" s="10"/>
      <c r="BO88" s="72"/>
    </row>
    <row r="89" ht="15.75" customHeight="1">
      <c r="A89" s="98"/>
      <c r="B89" s="68"/>
      <c r="C89" s="10"/>
      <c r="D89" s="10"/>
      <c r="E89" s="10"/>
      <c r="F89" s="10"/>
      <c r="G89" s="10"/>
      <c r="H89" s="10"/>
      <c r="I89" s="10"/>
      <c r="J89" s="10"/>
      <c r="K89" s="10"/>
      <c r="L89" s="69"/>
      <c r="M89" s="10"/>
      <c r="N89" s="10"/>
      <c r="O89" s="10"/>
      <c r="P89" s="10"/>
      <c r="Q89" s="10"/>
      <c r="R89" s="10"/>
      <c r="S89" s="68"/>
      <c r="T89" s="10"/>
      <c r="U89" s="10"/>
      <c r="V89" s="10"/>
      <c r="W89" s="10"/>
      <c r="X89" s="10"/>
      <c r="Y89" s="10"/>
      <c r="Z89" s="10"/>
      <c r="AA89" s="10"/>
      <c r="AB89" s="10"/>
      <c r="AC89" s="10"/>
      <c r="AD89" s="10"/>
      <c r="AE89" s="69"/>
      <c r="AF89" s="10"/>
      <c r="AG89" s="10"/>
      <c r="AH89" s="10"/>
      <c r="AI89" s="68"/>
      <c r="AJ89" s="10"/>
      <c r="AK89" s="10"/>
      <c r="AL89" s="10"/>
      <c r="AM89" s="10"/>
      <c r="AN89" s="10"/>
      <c r="AO89" s="10"/>
      <c r="AP89" s="10"/>
      <c r="AQ89" s="10"/>
      <c r="AR89" s="10"/>
      <c r="AS89" s="10"/>
      <c r="AT89" s="10"/>
      <c r="AU89" s="10"/>
      <c r="AV89" s="10"/>
      <c r="AW89" s="10"/>
      <c r="AX89" s="10"/>
      <c r="AY89" s="68"/>
      <c r="AZ89" s="10"/>
      <c r="BA89" s="10"/>
      <c r="BB89" s="10"/>
      <c r="BC89" s="10"/>
      <c r="BD89" s="10"/>
      <c r="BE89" s="10"/>
      <c r="BF89" s="10"/>
      <c r="BG89" s="10"/>
      <c r="BH89" s="10"/>
      <c r="BI89" s="69"/>
      <c r="BJ89" s="10"/>
      <c r="BK89" s="10"/>
      <c r="BL89" s="10"/>
      <c r="BM89" s="10"/>
      <c r="BN89" s="10"/>
      <c r="BO89" s="72"/>
    </row>
    <row r="90" ht="15.75" customHeight="1">
      <c r="A90" s="98"/>
      <c r="B90" s="68"/>
      <c r="C90" s="10"/>
      <c r="D90" s="10"/>
      <c r="E90" s="10"/>
      <c r="F90" s="10"/>
      <c r="G90" s="10"/>
      <c r="H90" s="10"/>
      <c r="I90" s="10"/>
      <c r="J90" s="10"/>
      <c r="K90" s="10"/>
      <c r="L90" s="69"/>
      <c r="M90" s="10"/>
      <c r="N90" s="10"/>
      <c r="O90" s="10"/>
      <c r="P90" s="10"/>
      <c r="Q90" s="10"/>
      <c r="R90" s="10"/>
      <c r="S90" s="68"/>
      <c r="T90" s="10"/>
      <c r="U90" s="10"/>
      <c r="V90" s="10"/>
      <c r="W90" s="10"/>
      <c r="X90" s="10"/>
      <c r="Y90" s="10"/>
      <c r="Z90" s="10"/>
      <c r="AA90" s="10"/>
      <c r="AB90" s="10"/>
      <c r="AC90" s="10"/>
      <c r="AD90" s="10"/>
      <c r="AE90" s="69"/>
      <c r="AF90" s="10"/>
      <c r="AG90" s="10"/>
      <c r="AH90" s="10"/>
      <c r="AI90" s="68"/>
      <c r="AJ90" s="10"/>
      <c r="AK90" s="10"/>
      <c r="AL90" s="10"/>
      <c r="AM90" s="10"/>
      <c r="AN90" s="10"/>
      <c r="AO90" s="10"/>
      <c r="AP90" s="10"/>
      <c r="AQ90" s="10"/>
      <c r="AR90" s="10"/>
      <c r="AS90" s="10"/>
      <c r="AT90" s="10"/>
      <c r="AU90" s="10"/>
      <c r="AV90" s="10"/>
      <c r="AW90" s="10"/>
      <c r="AX90" s="10"/>
      <c r="AY90" s="68"/>
      <c r="AZ90" s="10"/>
      <c r="BA90" s="10"/>
      <c r="BB90" s="10"/>
      <c r="BC90" s="10"/>
      <c r="BD90" s="10"/>
      <c r="BE90" s="10"/>
      <c r="BF90" s="10"/>
      <c r="BG90" s="10"/>
      <c r="BH90" s="10"/>
      <c r="BI90" s="69"/>
      <c r="BJ90" s="10"/>
      <c r="BK90" s="10"/>
      <c r="BL90" s="10"/>
      <c r="BM90" s="10"/>
      <c r="BN90" s="10"/>
      <c r="BO90" s="72"/>
    </row>
    <row r="91" ht="15.75" customHeight="1">
      <c r="A91" s="98"/>
      <c r="B91" s="68"/>
      <c r="C91" s="10"/>
      <c r="D91" s="10"/>
      <c r="E91" s="10"/>
      <c r="F91" s="10"/>
      <c r="G91" s="10"/>
      <c r="H91" s="10"/>
      <c r="I91" s="10"/>
      <c r="J91" s="10"/>
      <c r="K91" s="10"/>
      <c r="L91" s="69"/>
      <c r="M91" s="10"/>
      <c r="N91" s="10"/>
      <c r="O91" s="10"/>
      <c r="P91" s="10"/>
      <c r="Q91" s="10"/>
      <c r="R91" s="10"/>
      <c r="S91" s="68"/>
      <c r="T91" s="10"/>
      <c r="U91" s="10"/>
      <c r="V91" s="10"/>
      <c r="W91" s="10"/>
      <c r="X91" s="10"/>
      <c r="Y91" s="10"/>
      <c r="Z91" s="10"/>
      <c r="AA91" s="10"/>
      <c r="AB91" s="10"/>
      <c r="AC91" s="10"/>
      <c r="AD91" s="10"/>
      <c r="AE91" s="69"/>
      <c r="AF91" s="10"/>
      <c r="AG91" s="10"/>
      <c r="AH91" s="10"/>
      <c r="AI91" s="68"/>
      <c r="AJ91" s="10"/>
      <c r="AK91" s="10"/>
      <c r="AL91" s="10"/>
      <c r="AM91" s="10"/>
      <c r="AN91" s="10"/>
      <c r="AO91" s="10"/>
      <c r="AP91" s="10"/>
      <c r="AQ91" s="10"/>
      <c r="AR91" s="10"/>
      <c r="AS91" s="10"/>
      <c r="AT91" s="10"/>
      <c r="AU91" s="10"/>
      <c r="AV91" s="10"/>
      <c r="AW91" s="10"/>
      <c r="AX91" s="10"/>
      <c r="AY91" s="68"/>
      <c r="AZ91" s="10"/>
      <c r="BA91" s="10"/>
      <c r="BB91" s="10"/>
      <c r="BC91" s="10"/>
      <c r="BD91" s="10"/>
      <c r="BE91" s="10"/>
      <c r="BF91" s="10"/>
      <c r="BG91" s="10"/>
      <c r="BH91" s="10"/>
      <c r="BI91" s="69"/>
      <c r="BJ91" s="10"/>
      <c r="BK91" s="10"/>
      <c r="BL91" s="10"/>
      <c r="BM91" s="10"/>
      <c r="BN91" s="10"/>
      <c r="BO91" s="72"/>
    </row>
    <row r="92" ht="15.75" customHeight="1">
      <c r="A92" s="98"/>
      <c r="B92" s="68"/>
      <c r="C92" s="10"/>
      <c r="D92" s="10"/>
      <c r="E92" s="10"/>
      <c r="F92" s="10"/>
      <c r="G92" s="10"/>
      <c r="H92" s="10"/>
      <c r="I92" s="10"/>
      <c r="J92" s="10"/>
      <c r="K92" s="10"/>
      <c r="L92" s="69"/>
      <c r="M92" s="10"/>
      <c r="N92" s="10"/>
      <c r="O92" s="10"/>
      <c r="P92" s="10"/>
      <c r="Q92" s="10"/>
      <c r="R92" s="10"/>
      <c r="S92" s="68"/>
      <c r="T92" s="10"/>
      <c r="U92" s="10"/>
      <c r="V92" s="10"/>
      <c r="W92" s="10"/>
      <c r="X92" s="10"/>
      <c r="Y92" s="10"/>
      <c r="Z92" s="10"/>
      <c r="AA92" s="10"/>
      <c r="AB92" s="10"/>
      <c r="AC92" s="10"/>
      <c r="AD92" s="10"/>
      <c r="AE92" s="69"/>
      <c r="AF92" s="10"/>
      <c r="AG92" s="10"/>
      <c r="AH92" s="10"/>
      <c r="AI92" s="68"/>
      <c r="AJ92" s="10"/>
      <c r="AK92" s="10"/>
      <c r="AL92" s="10"/>
      <c r="AM92" s="10"/>
      <c r="AN92" s="10"/>
      <c r="AO92" s="10"/>
      <c r="AP92" s="10"/>
      <c r="AQ92" s="10"/>
      <c r="AR92" s="10"/>
      <c r="AS92" s="10"/>
      <c r="AT92" s="10"/>
      <c r="AU92" s="10"/>
      <c r="AV92" s="10"/>
      <c r="AW92" s="10"/>
      <c r="AX92" s="10"/>
      <c r="AY92" s="68"/>
      <c r="AZ92" s="10"/>
      <c r="BA92" s="10"/>
      <c r="BB92" s="10"/>
      <c r="BC92" s="10"/>
      <c r="BD92" s="10"/>
      <c r="BE92" s="10"/>
      <c r="BF92" s="10"/>
      <c r="BG92" s="10"/>
      <c r="BH92" s="10"/>
      <c r="BI92" s="69"/>
      <c r="BJ92" s="10"/>
      <c r="BK92" s="10"/>
      <c r="BL92" s="10"/>
      <c r="BM92" s="10"/>
      <c r="BN92" s="10"/>
      <c r="BO92" s="72"/>
    </row>
    <row r="93" ht="15.75" customHeight="1">
      <c r="A93" s="98"/>
      <c r="B93" s="68"/>
      <c r="C93" s="10"/>
      <c r="D93" s="10"/>
      <c r="E93" s="10"/>
      <c r="F93" s="10"/>
      <c r="G93" s="10"/>
      <c r="H93" s="10"/>
      <c r="I93" s="10"/>
      <c r="J93" s="10"/>
      <c r="K93" s="10"/>
      <c r="L93" s="69"/>
      <c r="M93" s="10"/>
      <c r="N93" s="10"/>
      <c r="O93" s="10"/>
      <c r="P93" s="10"/>
      <c r="Q93" s="10"/>
      <c r="R93" s="10"/>
      <c r="S93" s="68"/>
      <c r="T93" s="10"/>
      <c r="U93" s="10"/>
      <c r="V93" s="10"/>
      <c r="W93" s="10"/>
      <c r="X93" s="10"/>
      <c r="Y93" s="10"/>
      <c r="Z93" s="10"/>
      <c r="AA93" s="10"/>
      <c r="AB93" s="10"/>
      <c r="AC93" s="10"/>
      <c r="AD93" s="10"/>
      <c r="AE93" s="69"/>
      <c r="AF93" s="10"/>
      <c r="AG93" s="10"/>
      <c r="AH93" s="10"/>
      <c r="AI93" s="68"/>
      <c r="AJ93" s="10"/>
      <c r="AK93" s="10"/>
      <c r="AL93" s="10"/>
      <c r="AM93" s="10"/>
      <c r="AN93" s="10"/>
      <c r="AO93" s="10"/>
      <c r="AP93" s="10"/>
      <c r="AQ93" s="10"/>
      <c r="AR93" s="10"/>
      <c r="AS93" s="10"/>
      <c r="AT93" s="10"/>
      <c r="AU93" s="10"/>
      <c r="AV93" s="10"/>
      <c r="AW93" s="10"/>
      <c r="AX93" s="10"/>
      <c r="AY93" s="68"/>
      <c r="AZ93" s="10"/>
      <c r="BA93" s="10"/>
      <c r="BB93" s="10"/>
      <c r="BC93" s="10"/>
      <c r="BD93" s="10"/>
      <c r="BE93" s="10"/>
      <c r="BF93" s="10"/>
      <c r="BG93" s="10"/>
      <c r="BH93" s="10"/>
      <c r="BI93" s="69"/>
      <c r="BJ93" s="10"/>
      <c r="BK93" s="10"/>
      <c r="BL93" s="10"/>
      <c r="BM93" s="10"/>
      <c r="BN93" s="10"/>
      <c r="BO93" s="72"/>
    </row>
    <row r="94" ht="15.75" customHeight="1">
      <c r="A94" s="98"/>
      <c r="B94" s="68"/>
      <c r="C94" s="10"/>
      <c r="D94" s="10"/>
      <c r="E94" s="10"/>
      <c r="F94" s="10"/>
      <c r="G94" s="10"/>
      <c r="H94" s="10"/>
      <c r="I94" s="10"/>
      <c r="J94" s="10"/>
      <c r="K94" s="10"/>
      <c r="L94" s="69"/>
      <c r="M94" s="10"/>
      <c r="N94" s="10"/>
      <c r="O94" s="10"/>
      <c r="P94" s="10"/>
      <c r="Q94" s="10"/>
      <c r="R94" s="10"/>
      <c r="S94" s="68"/>
      <c r="T94" s="10"/>
      <c r="U94" s="10"/>
      <c r="V94" s="10"/>
      <c r="W94" s="10"/>
      <c r="X94" s="10"/>
      <c r="Y94" s="10"/>
      <c r="Z94" s="10"/>
      <c r="AA94" s="10"/>
      <c r="AB94" s="10"/>
      <c r="AC94" s="10"/>
      <c r="AD94" s="10"/>
      <c r="AE94" s="69"/>
      <c r="AF94" s="10"/>
      <c r="AG94" s="10"/>
      <c r="AH94" s="10"/>
      <c r="AI94" s="68"/>
      <c r="AJ94" s="10"/>
      <c r="AK94" s="10"/>
      <c r="AL94" s="10"/>
      <c r="AM94" s="10"/>
      <c r="AN94" s="10"/>
      <c r="AO94" s="10"/>
      <c r="AP94" s="10"/>
      <c r="AQ94" s="10"/>
      <c r="AR94" s="10"/>
      <c r="AS94" s="10"/>
      <c r="AT94" s="10"/>
      <c r="AU94" s="10"/>
      <c r="AV94" s="10"/>
      <c r="AW94" s="10"/>
      <c r="AX94" s="10"/>
      <c r="AY94" s="68"/>
      <c r="AZ94" s="10"/>
      <c r="BA94" s="10"/>
      <c r="BB94" s="10"/>
      <c r="BC94" s="10"/>
      <c r="BD94" s="10"/>
      <c r="BE94" s="10"/>
      <c r="BF94" s="10"/>
      <c r="BG94" s="10"/>
      <c r="BH94" s="10"/>
      <c r="BI94" s="69"/>
      <c r="BJ94" s="10"/>
      <c r="BK94" s="10"/>
      <c r="BL94" s="10"/>
      <c r="BM94" s="10"/>
      <c r="BN94" s="10"/>
      <c r="BO94" s="72"/>
    </row>
    <row r="95" ht="15.75" customHeight="1">
      <c r="A95" s="98"/>
      <c r="B95" s="68"/>
      <c r="C95" s="10"/>
      <c r="D95" s="10"/>
      <c r="E95" s="10"/>
      <c r="F95" s="10"/>
      <c r="G95" s="10"/>
      <c r="H95" s="10"/>
      <c r="I95" s="10"/>
      <c r="J95" s="10"/>
      <c r="K95" s="10"/>
      <c r="L95" s="69"/>
      <c r="M95" s="10"/>
      <c r="N95" s="10"/>
      <c r="O95" s="10"/>
      <c r="P95" s="10"/>
      <c r="Q95" s="10"/>
      <c r="R95" s="10"/>
      <c r="S95" s="68"/>
      <c r="T95" s="10"/>
      <c r="U95" s="10"/>
      <c r="V95" s="10"/>
      <c r="W95" s="10"/>
      <c r="X95" s="10"/>
      <c r="Y95" s="10"/>
      <c r="Z95" s="10"/>
      <c r="AA95" s="10"/>
      <c r="AB95" s="10"/>
      <c r="AC95" s="10"/>
      <c r="AD95" s="10"/>
      <c r="AE95" s="69"/>
      <c r="AF95" s="10"/>
      <c r="AG95" s="10"/>
      <c r="AH95" s="10"/>
      <c r="AI95" s="68"/>
      <c r="AJ95" s="10"/>
      <c r="AK95" s="10"/>
      <c r="AL95" s="10"/>
      <c r="AM95" s="10"/>
      <c r="AN95" s="10"/>
      <c r="AO95" s="10"/>
      <c r="AP95" s="10"/>
      <c r="AQ95" s="10"/>
      <c r="AR95" s="10"/>
      <c r="AS95" s="10"/>
      <c r="AT95" s="10"/>
      <c r="AU95" s="10"/>
      <c r="AV95" s="10"/>
      <c r="AW95" s="10"/>
      <c r="AX95" s="10"/>
      <c r="AY95" s="68"/>
      <c r="AZ95" s="10"/>
      <c r="BA95" s="10"/>
      <c r="BB95" s="10"/>
      <c r="BC95" s="10"/>
      <c r="BD95" s="10"/>
      <c r="BE95" s="10"/>
      <c r="BF95" s="10"/>
      <c r="BG95" s="10"/>
      <c r="BH95" s="10"/>
      <c r="BI95" s="69"/>
      <c r="BJ95" s="10"/>
      <c r="BK95" s="10"/>
      <c r="BL95" s="10"/>
      <c r="BM95" s="10"/>
      <c r="BN95" s="10"/>
      <c r="BO95" s="72"/>
    </row>
    <row r="96" ht="15.75" customHeight="1">
      <c r="A96" s="98"/>
      <c r="B96" s="68"/>
      <c r="C96" s="10"/>
      <c r="D96" s="10"/>
      <c r="E96" s="10"/>
      <c r="F96" s="10"/>
      <c r="G96" s="10"/>
      <c r="H96" s="10"/>
      <c r="I96" s="10"/>
      <c r="J96" s="10"/>
      <c r="K96" s="10"/>
      <c r="L96" s="69"/>
      <c r="M96" s="10"/>
      <c r="N96" s="10"/>
      <c r="O96" s="10"/>
      <c r="P96" s="10"/>
      <c r="Q96" s="10"/>
      <c r="R96" s="10"/>
      <c r="S96" s="68"/>
      <c r="T96" s="10"/>
      <c r="U96" s="10"/>
      <c r="V96" s="10"/>
      <c r="W96" s="10"/>
      <c r="X96" s="10"/>
      <c r="Y96" s="10"/>
      <c r="Z96" s="10"/>
      <c r="AA96" s="10"/>
      <c r="AB96" s="10"/>
      <c r="AC96" s="10"/>
      <c r="AD96" s="10"/>
      <c r="AE96" s="69"/>
      <c r="AF96" s="10"/>
      <c r="AG96" s="10"/>
      <c r="AH96" s="10"/>
      <c r="AI96" s="68"/>
      <c r="AJ96" s="10"/>
      <c r="AK96" s="10"/>
      <c r="AL96" s="10"/>
      <c r="AM96" s="10"/>
      <c r="AN96" s="10"/>
      <c r="AO96" s="10"/>
      <c r="AP96" s="10"/>
      <c r="AQ96" s="10"/>
      <c r="AR96" s="10"/>
      <c r="AS96" s="10"/>
      <c r="AT96" s="10"/>
      <c r="AU96" s="10"/>
      <c r="AV96" s="10"/>
      <c r="AW96" s="10"/>
      <c r="AX96" s="10"/>
      <c r="AY96" s="68"/>
      <c r="AZ96" s="10"/>
      <c r="BA96" s="10"/>
      <c r="BB96" s="10"/>
      <c r="BC96" s="10"/>
      <c r="BD96" s="10"/>
      <c r="BE96" s="10"/>
      <c r="BF96" s="10"/>
      <c r="BG96" s="10"/>
      <c r="BH96" s="10"/>
      <c r="BI96" s="69"/>
      <c r="BJ96" s="10"/>
      <c r="BK96" s="10"/>
      <c r="BL96" s="10"/>
      <c r="BM96" s="10"/>
      <c r="BN96" s="10"/>
      <c r="BO96" s="72"/>
    </row>
    <row r="97" ht="15.75" customHeight="1">
      <c r="A97" s="98"/>
      <c r="B97" s="68"/>
      <c r="C97" s="10"/>
      <c r="D97" s="10"/>
      <c r="E97" s="10"/>
      <c r="F97" s="10"/>
      <c r="G97" s="10"/>
      <c r="H97" s="10"/>
      <c r="I97" s="10"/>
      <c r="J97" s="10"/>
      <c r="K97" s="10"/>
      <c r="L97" s="69"/>
      <c r="M97" s="10"/>
      <c r="N97" s="10"/>
      <c r="O97" s="10"/>
      <c r="P97" s="10"/>
      <c r="Q97" s="10"/>
      <c r="R97" s="10"/>
      <c r="S97" s="68"/>
      <c r="T97" s="10"/>
      <c r="U97" s="10"/>
      <c r="V97" s="10"/>
      <c r="W97" s="10"/>
      <c r="X97" s="10"/>
      <c r="Y97" s="10"/>
      <c r="Z97" s="10"/>
      <c r="AA97" s="10"/>
      <c r="AB97" s="10"/>
      <c r="AC97" s="10"/>
      <c r="AD97" s="10"/>
      <c r="AE97" s="69"/>
      <c r="AF97" s="10"/>
      <c r="AG97" s="10"/>
      <c r="AH97" s="10"/>
      <c r="AI97" s="68"/>
      <c r="AJ97" s="10"/>
      <c r="AK97" s="10"/>
      <c r="AL97" s="10"/>
      <c r="AM97" s="10"/>
      <c r="AN97" s="10"/>
      <c r="AO97" s="10"/>
      <c r="AP97" s="10"/>
      <c r="AQ97" s="10"/>
      <c r="AR97" s="10"/>
      <c r="AS97" s="10"/>
      <c r="AT97" s="10"/>
      <c r="AU97" s="10"/>
      <c r="AV97" s="10"/>
      <c r="AW97" s="10"/>
      <c r="AX97" s="10"/>
      <c r="AY97" s="68"/>
      <c r="AZ97" s="10"/>
      <c r="BA97" s="10"/>
      <c r="BB97" s="10"/>
      <c r="BC97" s="10"/>
      <c r="BD97" s="10"/>
      <c r="BE97" s="10"/>
      <c r="BF97" s="10"/>
      <c r="BG97" s="10"/>
      <c r="BH97" s="10"/>
      <c r="BI97" s="69"/>
      <c r="BJ97" s="10"/>
      <c r="BK97" s="10"/>
      <c r="BL97" s="10"/>
      <c r="BM97" s="10"/>
      <c r="BN97" s="10"/>
      <c r="BO97" s="72"/>
    </row>
    <row r="98" ht="15.75" customHeight="1">
      <c r="A98" s="98"/>
      <c r="B98" s="68"/>
      <c r="C98" s="10"/>
      <c r="D98" s="10"/>
      <c r="E98" s="10"/>
      <c r="F98" s="10"/>
      <c r="G98" s="10"/>
      <c r="H98" s="10"/>
      <c r="I98" s="10"/>
      <c r="J98" s="10"/>
      <c r="K98" s="10"/>
      <c r="L98" s="69"/>
      <c r="M98" s="10"/>
      <c r="N98" s="10"/>
      <c r="O98" s="10"/>
      <c r="P98" s="10"/>
      <c r="Q98" s="10"/>
      <c r="R98" s="10"/>
      <c r="S98" s="68"/>
      <c r="T98" s="10"/>
      <c r="U98" s="10"/>
      <c r="V98" s="10"/>
      <c r="W98" s="10"/>
      <c r="X98" s="10"/>
      <c r="Y98" s="10"/>
      <c r="Z98" s="10"/>
      <c r="AA98" s="10"/>
      <c r="AB98" s="10"/>
      <c r="AC98" s="10"/>
      <c r="AD98" s="10"/>
      <c r="AE98" s="69"/>
      <c r="AF98" s="10"/>
      <c r="AG98" s="10"/>
      <c r="AH98" s="10"/>
      <c r="AI98" s="68"/>
      <c r="AJ98" s="10"/>
      <c r="AK98" s="10"/>
      <c r="AL98" s="10"/>
      <c r="AM98" s="10"/>
      <c r="AN98" s="10"/>
      <c r="AO98" s="10"/>
      <c r="AP98" s="10"/>
      <c r="AQ98" s="10"/>
      <c r="AR98" s="10"/>
      <c r="AS98" s="10"/>
      <c r="AT98" s="10"/>
      <c r="AU98" s="10"/>
      <c r="AV98" s="10"/>
      <c r="AW98" s="10"/>
      <c r="AX98" s="10"/>
      <c r="AY98" s="68"/>
      <c r="AZ98" s="10"/>
      <c r="BA98" s="10"/>
      <c r="BB98" s="10"/>
      <c r="BC98" s="10"/>
      <c r="BD98" s="10"/>
      <c r="BE98" s="10"/>
      <c r="BF98" s="10"/>
      <c r="BG98" s="10"/>
      <c r="BH98" s="10"/>
      <c r="BI98" s="69"/>
      <c r="BJ98" s="10"/>
      <c r="BK98" s="10"/>
      <c r="BL98" s="10"/>
      <c r="BM98" s="10"/>
      <c r="BN98" s="10"/>
      <c r="BO98" s="72"/>
    </row>
    <row r="99" ht="15.75" customHeight="1">
      <c r="A99" s="98"/>
      <c r="B99" s="68"/>
      <c r="C99" s="10"/>
      <c r="D99" s="10"/>
      <c r="E99" s="10"/>
      <c r="F99" s="10"/>
      <c r="G99" s="10"/>
      <c r="H99" s="10"/>
      <c r="I99" s="10"/>
      <c r="J99" s="10"/>
      <c r="K99" s="10"/>
      <c r="L99" s="69"/>
      <c r="M99" s="10"/>
      <c r="N99" s="10"/>
      <c r="O99" s="10"/>
      <c r="P99" s="10"/>
      <c r="Q99" s="10"/>
      <c r="R99" s="10"/>
      <c r="S99" s="68"/>
      <c r="T99" s="10"/>
      <c r="U99" s="10"/>
      <c r="V99" s="10"/>
      <c r="W99" s="10"/>
      <c r="X99" s="10"/>
      <c r="Y99" s="10"/>
      <c r="Z99" s="10"/>
      <c r="AA99" s="10"/>
      <c r="AB99" s="10"/>
      <c r="AC99" s="10"/>
      <c r="AD99" s="10"/>
      <c r="AE99" s="69"/>
      <c r="AF99" s="10"/>
      <c r="AG99" s="10"/>
      <c r="AH99" s="10"/>
      <c r="AI99" s="68"/>
      <c r="AJ99" s="10"/>
      <c r="AK99" s="10"/>
      <c r="AL99" s="10"/>
      <c r="AM99" s="10"/>
      <c r="AN99" s="10"/>
      <c r="AO99" s="10"/>
      <c r="AP99" s="10"/>
      <c r="AQ99" s="10"/>
      <c r="AR99" s="10"/>
      <c r="AS99" s="10"/>
      <c r="AT99" s="10"/>
      <c r="AU99" s="10"/>
      <c r="AV99" s="10"/>
      <c r="AW99" s="10"/>
      <c r="AX99" s="10"/>
      <c r="AY99" s="68"/>
      <c r="AZ99" s="10"/>
      <c r="BA99" s="10"/>
      <c r="BB99" s="10"/>
      <c r="BC99" s="10"/>
      <c r="BD99" s="10"/>
      <c r="BE99" s="10"/>
      <c r="BF99" s="10"/>
      <c r="BG99" s="10"/>
      <c r="BH99" s="10"/>
      <c r="BI99" s="69"/>
      <c r="BJ99" s="10"/>
      <c r="BK99" s="10"/>
      <c r="BL99" s="10"/>
      <c r="BM99" s="10"/>
      <c r="BN99" s="10"/>
      <c r="BO99" s="72"/>
    </row>
    <row r="100" ht="15.75" customHeight="1">
      <c r="A100" s="98"/>
      <c r="B100" s="68"/>
      <c r="C100" s="10"/>
      <c r="D100" s="10"/>
      <c r="E100" s="10"/>
      <c r="F100" s="10"/>
      <c r="G100" s="10"/>
      <c r="H100" s="10"/>
      <c r="I100" s="10"/>
      <c r="J100" s="10"/>
      <c r="K100" s="10"/>
      <c r="L100" s="69"/>
      <c r="M100" s="10"/>
      <c r="N100" s="10"/>
      <c r="O100" s="10"/>
      <c r="P100" s="10"/>
      <c r="Q100" s="10"/>
      <c r="R100" s="10"/>
      <c r="S100" s="68"/>
      <c r="T100" s="10"/>
      <c r="U100" s="10"/>
      <c r="V100" s="10"/>
      <c r="W100" s="10"/>
      <c r="X100" s="10"/>
      <c r="Y100" s="10"/>
      <c r="Z100" s="10"/>
      <c r="AA100" s="10"/>
      <c r="AB100" s="10"/>
      <c r="AC100" s="10"/>
      <c r="AD100" s="10"/>
      <c r="AE100" s="69"/>
      <c r="AF100" s="10"/>
      <c r="AG100" s="10"/>
      <c r="AH100" s="10"/>
      <c r="AI100" s="68"/>
      <c r="AJ100" s="10"/>
      <c r="AK100" s="10"/>
      <c r="AL100" s="10"/>
      <c r="AM100" s="10"/>
      <c r="AN100" s="10"/>
      <c r="AO100" s="10"/>
      <c r="AP100" s="10"/>
      <c r="AQ100" s="10"/>
      <c r="AR100" s="10"/>
      <c r="AS100" s="10"/>
      <c r="AT100" s="10"/>
      <c r="AU100" s="10"/>
      <c r="AV100" s="10"/>
      <c r="AW100" s="10"/>
      <c r="AX100" s="10"/>
      <c r="AY100" s="68"/>
      <c r="AZ100" s="10"/>
      <c r="BA100" s="10"/>
      <c r="BB100" s="10"/>
      <c r="BC100" s="10"/>
      <c r="BD100" s="10"/>
      <c r="BE100" s="10"/>
      <c r="BF100" s="10"/>
      <c r="BG100" s="10"/>
      <c r="BH100" s="10"/>
      <c r="BI100" s="69"/>
      <c r="BJ100" s="10"/>
      <c r="BK100" s="10"/>
      <c r="BL100" s="10"/>
      <c r="BM100" s="10"/>
      <c r="BN100" s="10"/>
      <c r="BO100" s="72"/>
    </row>
    <row r="101" ht="15.75" customHeight="1">
      <c r="A101" s="98"/>
      <c r="B101" s="68"/>
      <c r="C101" s="10"/>
      <c r="D101" s="10"/>
      <c r="E101" s="10"/>
      <c r="F101" s="10"/>
      <c r="G101" s="10"/>
      <c r="H101" s="10"/>
      <c r="I101" s="10"/>
      <c r="J101" s="10"/>
      <c r="K101" s="10"/>
      <c r="L101" s="69"/>
      <c r="M101" s="10"/>
      <c r="N101" s="10"/>
      <c r="O101" s="10"/>
      <c r="P101" s="10"/>
      <c r="Q101" s="10"/>
      <c r="R101" s="10"/>
      <c r="S101" s="68"/>
      <c r="T101" s="10"/>
      <c r="U101" s="10"/>
      <c r="V101" s="10"/>
      <c r="W101" s="10"/>
      <c r="X101" s="10"/>
      <c r="Y101" s="10"/>
      <c r="Z101" s="10"/>
      <c r="AA101" s="10"/>
      <c r="AB101" s="10"/>
      <c r="AC101" s="10"/>
      <c r="AD101" s="10"/>
      <c r="AE101" s="69"/>
      <c r="AF101" s="10"/>
      <c r="AG101" s="10"/>
      <c r="AH101" s="10"/>
      <c r="AI101" s="68"/>
      <c r="AJ101" s="10"/>
      <c r="AK101" s="10"/>
      <c r="AL101" s="10"/>
      <c r="AM101" s="10"/>
      <c r="AN101" s="10"/>
      <c r="AO101" s="10"/>
      <c r="AP101" s="10"/>
      <c r="AQ101" s="10"/>
      <c r="AR101" s="10"/>
      <c r="AS101" s="10"/>
      <c r="AT101" s="10"/>
      <c r="AU101" s="10"/>
      <c r="AV101" s="10"/>
      <c r="AW101" s="10"/>
      <c r="AX101" s="10"/>
      <c r="AY101" s="68"/>
      <c r="AZ101" s="10"/>
      <c r="BA101" s="10"/>
      <c r="BB101" s="10"/>
      <c r="BC101" s="10"/>
      <c r="BD101" s="10"/>
      <c r="BE101" s="10"/>
      <c r="BF101" s="10"/>
      <c r="BG101" s="10"/>
      <c r="BH101" s="10"/>
      <c r="BI101" s="69"/>
      <c r="BJ101" s="10"/>
      <c r="BK101" s="10"/>
      <c r="BL101" s="10"/>
      <c r="BM101" s="10"/>
      <c r="BN101" s="10"/>
      <c r="BO101" s="72"/>
    </row>
    <row r="102" ht="15.75" customHeight="1">
      <c r="A102" s="98"/>
      <c r="B102" s="68"/>
      <c r="C102" s="10"/>
      <c r="D102" s="10"/>
      <c r="E102" s="10"/>
      <c r="F102" s="10"/>
      <c r="G102" s="10"/>
      <c r="H102" s="10"/>
      <c r="I102" s="10"/>
      <c r="J102" s="10"/>
      <c r="K102" s="10"/>
      <c r="L102" s="69"/>
      <c r="M102" s="10"/>
      <c r="N102" s="10"/>
      <c r="O102" s="10"/>
      <c r="P102" s="10"/>
      <c r="Q102" s="10"/>
      <c r="R102" s="10"/>
      <c r="S102" s="68"/>
      <c r="T102" s="10"/>
      <c r="U102" s="10"/>
      <c r="V102" s="10"/>
      <c r="W102" s="10"/>
      <c r="X102" s="10"/>
      <c r="Y102" s="10"/>
      <c r="Z102" s="10"/>
      <c r="AA102" s="10"/>
      <c r="AB102" s="10"/>
      <c r="AC102" s="10"/>
      <c r="AD102" s="10"/>
      <c r="AE102" s="69"/>
      <c r="AF102" s="10"/>
      <c r="AG102" s="10"/>
      <c r="AH102" s="10"/>
      <c r="AI102" s="68"/>
      <c r="AJ102" s="10"/>
      <c r="AK102" s="10"/>
      <c r="AL102" s="10"/>
      <c r="AM102" s="10"/>
      <c r="AN102" s="10"/>
      <c r="AO102" s="10"/>
      <c r="AP102" s="10"/>
      <c r="AQ102" s="10"/>
      <c r="AR102" s="10"/>
      <c r="AS102" s="10"/>
      <c r="AT102" s="10"/>
      <c r="AU102" s="10"/>
      <c r="AV102" s="10"/>
      <c r="AW102" s="10"/>
      <c r="AX102" s="10"/>
      <c r="AY102" s="68"/>
      <c r="AZ102" s="10"/>
      <c r="BA102" s="10"/>
      <c r="BB102" s="10"/>
      <c r="BC102" s="10"/>
      <c r="BD102" s="10"/>
      <c r="BE102" s="10"/>
      <c r="BF102" s="10"/>
      <c r="BG102" s="10"/>
      <c r="BH102" s="10"/>
      <c r="BI102" s="69"/>
      <c r="BJ102" s="10"/>
      <c r="BK102" s="10"/>
      <c r="BL102" s="10"/>
      <c r="BM102" s="10"/>
      <c r="BN102" s="10"/>
      <c r="BO102" s="72"/>
    </row>
    <row r="103" ht="15.75" customHeight="1">
      <c r="A103" s="98"/>
      <c r="B103" s="68"/>
      <c r="C103" s="10"/>
      <c r="D103" s="10"/>
      <c r="E103" s="10"/>
      <c r="F103" s="10"/>
      <c r="G103" s="10"/>
      <c r="H103" s="10"/>
      <c r="I103" s="10"/>
      <c r="J103" s="10"/>
      <c r="K103" s="10"/>
      <c r="L103" s="69"/>
      <c r="M103" s="10"/>
      <c r="N103" s="10"/>
      <c r="O103" s="10"/>
      <c r="P103" s="10"/>
      <c r="Q103" s="10"/>
      <c r="R103" s="10"/>
      <c r="S103" s="68"/>
      <c r="T103" s="10"/>
      <c r="U103" s="10"/>
      <c r="V103" s="10"/>
      <c r="W103" s="10"/>
      <c r="X103" s="10"/>
      <c r="Y103" s="10"/>
      <c r="Z103" s="10"/>
      <c r="AA103" s="10"/>
      <c r="AB103" s="10"/>
      <c r="AC103" s="10"/>
      <c r="AD103" s="10"/>
      <c r="AE103" s="69"/>
      <c r="AF103" s="10"/>
      <c r="AG103" s="10"/>
      <c r="AH103" s="10"/>
      <c r="AI103" s="68"/>
      <c r="AJ103" s="10"/>
      <c r="AK103" s="10"/>
      <c r="AL103" s="10"/>
      <c r="AM103" s="10"/>
      <c r="AN103" s="10"/>
      <c r="AO103" s="10"/>
      <c r="AP103" s="10"/>
      <c r="AQ103" s="10"/>
      <c r="AR103" s="10"/>
      <c r="AS103" s="10"/>
      <c r="AT103" s="10"/>
      <c r="AU103" s="10"/>
      <c r="AV103" s="10"/>
      <c r="AW103" s="10"/>
      <c r="AX103" s="10"/>
      <c r="AY103" s="68"/>
      <c r="AZ103" s="10"/>
      <c r="BA103" s="10"/>
      <c r="BB103" s="10"/>
      <c r="BC103" s="10"/>
      <c r="BD103" s="10"/>
      <c r="BE103" s="10"/>
      <c r="BF103" s="10"/>
      <c r="BG103" s="10"/>
      <c r="BH103" s="10"/>
      <c r="BI103" s="69"/>
      <c r="BJ103" s="10"/>
      <c r="BK103" s="10"/>
      <c r="BL103" s="10"/>
      <c r="BM103" s="10"/>
      <c r="BN103" s="10"/>
      <c r="BO103" s="72"/>
    </row>
    <row r="104" ht="15.75" customHeight="1">
      <c r="A104" s="98"/>
      <c r="B104" s="68"/>
      <c r="C104" s="10"/>
      <c r="D104" s="10"/>
      <c r="E104" s="10"/>
      <c r="F104" s="10"/>
      <c r="G104" s="10"/>
      <c r="H104" s="10"/>
      <c r="I104" s="10"/>
      <c r="J104" s="10"/>
      <c r="K104" s="10"/>
      <c r="L104" s="69"/>
      <c r="M104" s="10"/>
      <c r="N104" s="10"/>
      <c r="O104" s="10"/>
      <c r="P104" s="10"/>
      <c r="Q104" s="10"/>
      <c r="R104" s="10"/>
      <c r="S104" s="68"/>
      <c r="T104" s="10"/>
      <c r="U104" s="10"/>
      <c r="V104" s="10"/>
      <c r="W104" s="10"/>
      <c r="X104" s="10"/>
      <c r="Y104" s="10"/>
      <c r="Z104" s="10"/>
      <c r="AA104" s="10"/>
      <c r="AB104" s="10"/>
      <c r="AC104" s="10"/>
      <c r="AD104" s="10"/>
      <c r="AE104" s="69"/>
      <c r="AF104" s="10"/>
      <c r="AG104" s="10"/>
      <c r="AH104" s="10"/>
      <c r="AI104" s="68"/>
      <c r="AJ104" s="10"/>
      <c r="AK104" s="10"/>
      <c r="AL104" s="10"/>
      <c r="AM104" s="10"/>
      <c r="AN104" s="10"/>
      <c r="AO104" s="10"/>
      <c r="AP104" s="10"/>
      <c r="AQ104" s="10"/>
      <c r="AR104" s="10"/>
      <c r="AS104" s="10"/>
      <c r="AT104" s="10"/>
      <c r="AU104" s="10"/>
      <c r="AV104" s="10"/>
      <c r="AW104" s="10"/>
      <c r="AX104" s="10"/>
      <c r="AY104" s="68"/>
      <c r="AZ104" s="10"/>
      <c r="BA104" s="10"/>
      <c r="BB104" s="10"/>
      <c r="BC104" s="10"/>
      <c r="BD104" s="10"/>
      <c r="BE104" s="10"/>
      <c r="BF104" s="10"/>
      <c r="BG104" s="10"/>
      <c r="BH104" s="10"/>
      <c r="BI104" s="69"/>
      <c r="BJ104" s="10"/>
      <c r="BK104" s="10"/>
      <c r="BL104" s="10"/>
      <c r="BM104" s="10"/>
      <c r="BN104" s="10"/>
      <c r="BO104" s="72"/>
    </row>
    <row r="105" ht="15.75" customHeight="1">
      <c r="A105" s="98"/>
      <c r="B105" s="68"/>
      <c r="C105" s="10"/>
      <c r="D105" s="10"/>
      <c r="E105" s="10"/>
      <c r="F105" s="10"/>
      <c r="G105" s="10"/>
      <c r="H105" s="10"/>
      <c r="I105" s="10"/>
      <c r="J105" s="10"/>
      <c r="K105" s="10"/>
      <c r="L105" s="69"/>
      <c r="M105" s="10"/>
      <c r="N105" s="10"/>
      <c r="O105" s="10"/>
      <c r="P105" s="10"/>
      <c r="Q105" s="10"/>
      <c r="R105" s="10"/>
      <c r="S105" s="68"/>
      <c r="T105" s="10"/>
      <c r="U105" s="10"/>
      <c r="V105" s="10"/>
      <c r="W105" s="10"/>
      <c r="X105" s="10"/>
      <c r="Y105" s="10"/>
      <c r="Z105" s="10"/>
      <c r="AA105" s="10"/>
      <c r="AB105" s="10"/>
      <c r="AC105" s="10"/>
      <c r="AD105" s="10"/>
      <c r="AE105" s="69"/>
      <c r="AF105" s="10"/>
      <c r="AG105" s="10"/>
      <c r="AH105" s="10"/>
      <c r="AI105" s="68"/>
      <c r="AJ105" s="10"/>
      <c r="AK105" s="10"/>
      <c r="AL105" s="10"/>
      <c r="AM105" s="10"/>
      <c r="AN105" s="10"/>
      <c r="AO105" s="10"/>
      <c r="AP105" s="10"/>
      <c r="AQ105" s="10"/>
      <c r="AR105" s="10"/>
      <c r="AS105" s="10"/>
      <c r="AT105" s="10"/>
      <c r="AU105" s="10"/>
      <c r="AV105" s="10"/>
      <c r="AW105" s="10"/>
      <c r="AX105" s="10"/>
      <c r="AY105" s="68"/>
      <c r="AZ105" s="10"/>
      <c r="BA105" s="10"/>
      <c r="BB105" s="10"/>
      <c r="BC105" s="10"/>
      <c r="BD105" s="10"/>
      <c r="BE105" s="10"/>
      <c r="BF105" s="10"/>
      <c r="BG105" s="10"/>
      <c r="BH105" s="10"/>
      <c r="BI105" s="69"/>
      <c r="BJ105" s="10"/>
      <c r="BK105" s="10"/>
      <c r="BL105" s="10"/>
      <c r="BM105" s="10"/>
      <c r="BN105" s="10"/>
      <c r="BO105" s="72"/>
    </row>
    <row r="106" ht="15.75" customHeight="1">
      <c r="A106" s="98"/>
      <c r="B106" s="68"/>
      <c r="C106" s="10"/>
      <c r="D106" s="10"/>
      <c r="E106" s="10"/>
      <c r="F106" s="10"/>
      <c r="G106" s="10"/>
      <c r="H106" s="10"/>
      <c r="I106" s="10"/>
      <c r="J106" s="10"/>
      <c r="K106" s="10"/>
      <c r="L106" s="69"/>
      <c r="M106" s="10"/>
      <c r="N106" s="10"/>
      <c r="O106" s="10"/>
      <c r="P106" s="10"/>
      <c r="Q106" s="10"/>
      <c r="R106" s="10"/>
      <c r="S106" s="68"/>
      <c r="T106" s="10"/>
      <c r="U106" s="10"/>
      <c r="V106" s="10"/>
      <c r="W106" s="10"/>
      <c r="X106" s="10"/>
      <c r="Y106" s="10"/>
      <c r="Z106" s="10"/>
      <c r="AA106" s="10"/>
      <c r="AB106" s="10"/>
      <c r="AC106" s="10"/>
      <c r="AD106" s="10"/>
      <c r="AE106" s="69"/>
      <c r="AF106" s="10"/>
      <c r="AG106" s="10"/>
      <c r="AH106" s="10"/>
      <c r="AI106" s="68"/>
      <c r="AJ106" s="10"/>
      <c r="AK106" s="10"/>
      <c r="AL106" s="10"/>
      <c r="AM106" s="10"/>
      <c r="AN106" s="10"/>
      <c r="AO106" s="10"/>
      <c r="AP106" s="10"/>
      <c r="AQ106" s="10"/>
      <c r="AR106" s="10"/>
      <c r="AS106" s="10"/>
      <c r="AT106" s="10"/>
      <c r="AU106" s="10"/>
      <c r="AV106" s="10"/>
      <c r="AW106" s="10"/>
      <c r="AX106" s="10"/>
      <c r="AY106" s="68"/>
      <c r="AZ106" s="10"/>
      <c r="BA106" s="10"/>
      <c r="BB106" s="10"/>
      <c r="BC106" s="10"/>
      <c r="BD106" s="10"/>
      <c r="BE106" s="10"/>
      <c r="BF106" s="10"/>
      <c r="BG106" s="10"/>
      <c r="BH106" s="10"/>
      <c r="BI106" s="69"/>
      <c r="BJ106" s="10"/>
      <c r="BK106" s="10"/>
      <c r="BL106" s="10"/>
      <c r="BM106" s="10"/>
      <c r="BN106" s="10"/>
      <c r="BO106" s="72"/>
    </row>
    <row r="107" ht="15.75" customHeight="1">
      <c r="A107" s="98"/>
      <c r="B107" s="68"/>
      <c r="C107" s="10"/>
      <c r="D107" s="10"/>
      <c r="E107" s="10"/>
      <c r="F107" s="10"/>
      <c r="G107" s="10"/>
      <c r="H107" s="10"/>
      <c r="I107" s="10"/>
      <c r="J107" s="10"/>
      <c r="K107" s="10"/>
      <c r="L107" s="69"/>
      <c r="M107" s="10"/>
      <c r="N107" s="10"/>
      <c r="O107" s="10"/>
      <c r="P107" s="10"/>
      <c r="Q107" s="10"/>
      <c r="R107" s="10"/>
      <c r="S107" s="68"/>
      <c r="T107" s="10"/>
      <c r="U107" s="10"/>
      <c r="V107" s="10"/>
      <c r="W107" s="10"/>
      <c r="X107" s="10"/>
      <c r="Y107" s="10"/>
      <c r="Z107" s="10"/>
      <c r="AA107" s="10"/>
      <c r="AB107" s="10"/>
      <c r="AC107" s="10"/>
      <c r="AD107" s="10"/>
      <c r="AE107" s="69"/>
      <c r="AF107" s="10"/>
      <c r="AG107" s="10"/>
      <c r="AH107" s="10"/>
      <c r="AI107" s="68"/>
      <c r="AJ107" s="10"/>
      <c r="AK107" s="10"/>
      <c r="AL107" s="10"/>
      <c r="AM107" s="10"/>
      <c r="AN107" s="10"/>
      <c r="AO107" s="10"/>
      <c r="AP107" s="10"/>
      <c r="AQ107" s="10"/>
      <c r="AR107" s="10"/>
      <c r="AS107" s="10"/>
      <c r="AT107" s="10"/>
      <c r="AU107" s="10"/>
      <c r="AV107" s="10"/>
      <c r="AW107" s="10"/>
      <c r="AX107" s="10"/>
      <c r="AY107" s="68"/>
      <c r="AZ107" s="10"/>
      <c r="BA107" s="10"/>
      <c r="BB107" s="10"/>
      <c r="BC107" s="10"/>
      <c r="BD107" s="10"/>
      <c r="BE107" s="10"/>
      <c r="BF107" s="10"/>
      <c r="BG107" s="10"/>
      <c r="BH107" s="10"/>
      <c r="BI107" s="69"/>
      <c r="BJ107" s="10"/>
      <c r="BK107" s="10"/>
      <c r="BL107" s="10"/>
      <c r="BM107" s="10"/>
      <c r="BN107" s="10"/>
      <c r="BO107" s="72"/>
    </row>
    <row r="108" ht="15.75" customHeight="1">
      <c r="A108" s="98"/>
      <c r="B108" s="68"/>
      <c r="C108" s="10"/>
      <c r="D108" s="10"/>
      <c r="E108" s="10"/>
      <c r="F108" s="10"/>
      <c r="G108" s="10"/>
      <c r="H108" s="10"/>
      <c r="I108" s="10"/>
      <c r="J108" s="10"/>
      <c r="K108" s="10"/>
      <c r="L108" s="69"/>
      <c r="M108" s="10"/>
      <c r="N108" s="10"/>
      <c r="O108" s="10"/>
      <c r="P108" s="10"/>
      <c r="Q108" s="10"/>
      <c r="R108" s="10"/>
      <c r="S108" s="68"/>
      <c r="T108" s="10"/>
      <c r="U108" s="10"/>
      <c r="V108" s="10"/>
      <c r="W108" s="10"/>
      <c r="X108" s="10"/>
      <c r="Y108" s="10"/>
      <c r="Z108" s="10"/>
      <c r="AA108" s="10"/>
      <c r="AB108" s="10"/>
      <c r="AC108" s="10"/>
      <c r="AD108" s="10"/>
      <c r="AE108" s="69"/>
      <c r="AF108" s="10"/>
      <c r="AG108" s="10"/>
      <c r="AH108" s="10"/>
      <c r="AI108" s="68"/>
      <c r="AJ108" s="10"/>
      <c r="AK108" s="10"/>
      <c r="AL108" s="10"/>
      <c r="AM108" s="10"/>
      <c r="AN108" s="10"/>
      <c r="AO108" s="10"/>
      <c r="AP108" s="10"/>
      <c r="AQ108" s="10"/>
      <c r="AR108" s="10"/>
      <c r="AS108" s="10"/>
      <c r="AT108" s="10"/>
      <c r="AU108" s="10"/>
      <c r="AV108" s="10"/>
      <c r="AW108" s="10"/>
      <c r="AX108" s="10"/>
      <c r="AY108" s="68"/>
      <c r="AZ108" s="10"/>
      <c r="BA108" s="10"/>
      <c r="BB108" s="10"/>
      <c r="BC108" s="10"/>
      <c r="BD108" s="10"/>
      <c r="BE108" s="10"/>
      <c r="BF108" s="10"/>
      <c r="BG108" s="10"/>
      <c r="BH108" s="10"/>
      <c r="BI108" s="69"/>
      <c r="BJ108" s="10"/>
      <c r="BK108" s="10"/>
      <c r="BL108" s="10"/>
      <c r="BM108" s="10"/>
      <c r="BN108" s="10"/>
      <c r="BO108" s="72"/>
    </row>
    <row r="109" ht="15.75" customHeight="1">
      <c r="A109" s="98"/>
      <c r="B109" s="68"/>
      <c r="C109" s="10"/>
      <c r="D109" s="10"/>
      <c r="E109" s="10"/>
      <c r="F109" s="10"/>
      <c r="G109" s="10"/>
      <c r="H109" s="10"/>
      <c r="I109" s="10"/>
      <c r="J109" s="10"/>
      <c r="K109" s="10"/>
      <c r="L109" s="69"/>
      <c r="M109" s="10"/>
      <c r="N109" s="10"/>
      <c r="O109" s="10"/>
      <c r="P109" s="10"/>
      <c r="Q109" s="10"/>
      <c r="R109" s="10"/>
      <c r="S109" s="68"/>
      <c r="T109" s="10"/>
      <c r="U109" s="10"/>
      <c r="V109" s="10"/>
      <c r="W109" s="10"/>
      <c r="X109" s="10"/>
      <c r="Y109" s="10"/>
      <c r="Z109" s="10"/>
      <c r="AA109" s="10"/>
      <c r="AB109" s="10"/>
      <c r="AC109" s="10"/>
      <c r="AD109" s="10"/>
      <c r="AE109" s="69"/>
      <c r="AF109" s="10"/>
      <c r="AG109" s="10"/>
      <c r="AH109" s="10"/>
      <c r="AI109" s="68"/>
      <c r="AJ109" s="10"/>
      <c r="AK109" s="10"/>
      <c r="AL109" s="10"/>
      <c r="AM109" s="10"/>
      <c r="AN109" s="10"/>
      <c r="AO109" s="10"/>
      <c r="AP109" s="10"/>
      <c r="AQ109" s="10"/>
      <c r="AR109" s="10"/>
      <c r="AS109" s="10"/>
      <c r="AT109" s="10"/>
      <c r="AU109" s="10"/>
      <c r="AV109" s="10"/>
      <c r="AW109" s="10"/>
      <c r="AX109" s="10"/>
      <c r="AY109" s="68"/>
      <c r="AZ109" s="10"/>
      <c r="BA109" s="10"/>
      <c r="BB109" s="10"/>
      <c r="BC109" s="10"/>
      <c r="BD109" s="10"/>
      <c r="BE109" s="10"/>
      <c r="BF109" s="10"/>
      <c r="BG109" s="10"/>
      <c r="BH109" s="10"/>
      <c r="BI109" s="69"/>
      <c r="BJ109" s="10"/>
      <c r="BK109" s="10"/>
      <c r="BL109" s="10"/>
      <c r="BM109" s="10"/>
      <c r="BN109" s="10"/>
      <c r="BO109" s="72"/>
    </row>
    <row r="110" ht="15.75" customHeight="1">
      <c r="A110" s="98"/>
      <c r="B110" s="68"/>
      <c r="C110" s="10"/>
      <c r="D110" s="10"/>
      <c r="E110" s="10"/>
      <c r="F110" s="10"/>
      <c r="G110" s="10"/>
      <c r="H110" s="10"/>
      <c r="I110" s="10"/>
      <c r="J110" s="10"/>
      <c r="K110" s="10"/>
      <c r="L110" s="69"/>
      <c r="M110" s="10"/>
      <c r="N110" s="10"/>
      <c r="O110" s="10"/>
      <c r="P110" s="10"/>
      <c r="Q110" s="10"/>
      <c r="R110" s="10"/>
      <c r="S110" s="68"/>
      <c r="T110" s="10"/>
      <c r="U110" s="10"/>
      <c r="V110" s="10"/>
      <c r="W110" s="10"/>
      <c r="X110" s="10"/>
      <c r="Y110" s="10"/>
      <c r="Z110" s="10"/>
      <c r="AA110" s="10"/>
      <c r="AB110" s="10"/>
      <c r="AC110" s="10"/>
      <c r="AD110" s="10"/>
      <c r="AE110" s="69"/>
      <c r="AF110" s="10"/>
      <c r="AG110" s="10"/>
      <c r="AH110" s="10"/>
      <c r="AI110" s="68"/>
      <c r="AJ110" s="10"/>
      <c r="AK110" s="10"/>
      <c r="AL110" s="10"/>
      <c r="AM110" s="10"/>
      <c r="AN110" s="10"/>
      <c r="AO110" s="10"/>
      <c r="AP110" s="10"/>
      <c r="AQ110" s="10"/>
      <c r="AR110" s="10"/>
      <c r="AS110" s="10"/>
      <c r="AT110" s="10"/>
      <c r="AU110" s="10"/>
      <c r="AV110" s="10"/>
      <c r="AW110" s="10"/>
      <c r="AX110" s="10"/>
      <c r="AY110" s="68"/>
      <c r="AZ110" s="10"/>
      <c r="BA110" s="10"/>
      <c r="BB110" s="10"/>
      <c r="BC110" s="10"/>
      <c r="BD110" s="10"/>
      <c r="BE110" s="10"/>
      <c r="BF110" s="10"/>
      <c r="BG110" s="10"/>
      <c r="BH110" s="10"/>
      <c r="BI110" s="69"/>
      <c r="BJ110" s="10"/>
      <c r="BK110" s="10"/>
      <c r="BL110" s="10"/>
      <c r="BM110" s="10"/>
      <c r="BN110" s="10"/>
      <c r="BO110" s="72"/>
    </row>
    <row r="111" ht="15.75" customHeight="1">
      <c r="A111" s="98"/>
      <c r="B111" s="68"/>
      <c r="C111" s="10"/>
      <c r="D111" s="10"/>
      <c r="E111" s="10"/>
      <c r="F111" s="10"/>
      <c r="G111" s="10"/>
      <c r="H111" s="10"/>
      <c r="I111" s="10"/>
      <c r="J111" s="10"/>
      <c r="K111" s="10"/>
      <c r="L111" s="69"/>
      <c r="M111" s="10"/>
      <c r="N111" s="10"/>
      <c r="O111" s="10"/>
      <c r="P111" s="10"/>
      <c r="Q111" s="10"/>
      <c r="R111" s="10"/>
      <c r="S111" s="68"/>
      <c r="T111" s="10"/>
      <c r="U111" s="10"/>
      <c r="V111" s="10"/>
      <c r="W111" s="10"/>
      <c r="X111" s="10"/>
      <c r="Y111" s="10"/>
      <c r="Z111" s="10"/>
      <c r="AA111" s="10"/>
      <c r="AB111" s="10"/>
      <c r="AC111" s="10"/>
      <c r="AD111" s="10"/>
      <c r="AE111" s="69"/>
      <c r="AF111" s="10"/>
      <c r="AG111" s="10"/>
      <c r="AH111" s="10"/>
      <c r="AI111" s="68"/>
      <c r="AJ111" s="10"/>
      <c r="AK111" s="10"/>
      <c r="AL111" s="10"/>
      <c r="AM111" s="10"/>
      <c r="AN111" s="10"/>
      <c r="AO111" s="10"/>
      <c r="AP111" s="10"/>
      <c r="AQ111" s="10"/>
      <c r="AR111" s="10"/>
      <c r="AS111" s="10"/>
      <c r="AT111" s="10"/>
      <c r="AU111" s="10"/>
      <c r="AV111" s="10"/>
      <c r="AW111" s="10"/>
      <c r="AX111" s="10"/>
      <c r="AY111" s="68"/>
      <c r="AZ111" s="10"/>
      <c r="BA111" s="10"/>
      <c r="BB111" s="10"/>
      <c r="BC111" s="10"/>
      <c r="BD111" s="10"/>
      <c r="BE111" s="10"/>
      <c r="BF111" s="10"/>
      <c r="BG111" s="10"/>
      <c r="BH111" s="10"/>
      <c r="BI111" s="69"/>
      <c r="BJ111" s="10"/>
      <c r="BK111" s="10"/>
      <c r="BL111" s="10"/>
      <c r="BM111" s="10"/>
      <c r="BN111" s="10"/>
      <c r="BO111" s="72"/>
    </row>
    <row r="112" ht="15.75" customHeight="1">
      <c r="A112" s="98"/>
      <c r="B112" s="68"/>
      <c r="C112" s="10"/>
      <c r="D112" s="10"/>
      <c r="E112" s="10"/>
      <c r="F112" s="10"/>
      <c r="G112" s="10"/>
      <c r="H112" s="10"/>
      <c r="I112" s="10"/>
      <c r="J112" s="10"/>
      <c r="K112" s="10"/>
      <c r="L112" s="69"/>
      <c r="M112" s="10"/>
      <c r="N112" s="10"/>
      <c r="O112" s="10"/>
      <c r="P112" s="10"/>
      <c r="Q112" s="10"/>
      <c r="R112" s="10"/>
      <c r="S112" s="68"/>
      <c r="T112" s="10"/>
      <c r="U112" s="10"/>
      <c r="V112" s="10"/>
      <c r="W112" s="10"/>
      <c r="X112" s="10"/>
      <c r="Y112" s="10"/>
      <c r="Z112" s="10"/>
      <c r="AA112" s="10"/>
      <c r="AB112" s="10"/>
      <c r="AC112" s="10"/>
      <c r="AD112" s="10"/>
      <c r="AE112" s="69"/>
      <c r="AF112" s="10"/>
      <c r="AG112" s="10"/>
      <c r="AH112" s="10"/>
      <c r="AI112" s="68"/>
      <c r="AJ112" s="10"/>
      <c r="AK112" s="10"/>
      <c r="AL112" s="10"/>
      <c r="AM112" s="10"/>
      <c r="AN112" s="10"/>
      <c r="AO112" s="10"/>
      <c r="AP112" s="10"/>
      <c r="AQ112" s="10"/>
      <c r="AR112" s="10"/>
      <c r="AS112" s="10"/>
      <c r="AT112" s="10"/>
      <c r="AU112" s="10"/>
      <c r="AV112" s="10"/>
      <c r="AW112" s="10"/>
      <c r="AX112" s="10"/>
      <c r="AY112" s="68"/>
      <c r="AZ112" s="10"/>
      <c r="BA112" s="10"/>
      <c r="BB112" s="10"/>
      <c r="BC112" s="10"/>
      <c r="BD112" s="10"/>
      <c r="BE112" s="10"/>
      <c r="BF112" s="10"/>
      <c r="BG112" s="10"/>
      <c r="BH112" s="10"/>
      <c r="BI112" s="69"/>
      <c r="BJ112" s="10"/>
      <c r="BK112" s="10"/>
      <c r="BL112" s="10"/>
      <c r="BM112" s="10"/>
      <c r="BN112" s="10"/>
      <c r="BO112" s="72"/>
    </row>
    <row r="113" ht="15.75" customHeight="1">
      <c r="A113" s="98"/>
      <c r="B113" s="68"/>
      <c r="C113" s="10"/>
      <c r="D113" s="10"/>
      <c r="E113" s="10"/>
      <c r="F113" s="10"/>
      <c r="G113" s="10"/>
      <c r="H113" s="10"/>
      <c r="I113" s="10"/>
      <c r="J113" s="10"/>
      <c r="K113" s="10"/>
      <c r="L113" s="69"/>
      <c r="M113" s="10"/>
      <c r="N113" s="10"/>
      <c r="O113" s="10"/>
      <c r="P113" s="10"/>
      <c r="Q113" s="10"/>
      <c r="R113" s="10"/>
      <c r="S113" s="68"/>
      <c r="T113" s="10"/>
      <c r="U113" s="10"/>
      <c r="V113" s="10"/>
      <c r="W113" s="10"/>
      <c r="X113" s="10"/>
      <c r="Y113" s="10"/>
      <c r="Z113" s="10"/>
      <c r="AA113" s="10"/>
      <c r="AB113" s="10"/>
      <c r="AC113" s="10"/>
      <c r="AD113" s="10"/>
      <c r="AE113" s="69"/>
      <c r="AF113" s="10"/>
      <c r="AG113" s="10"/>
      <c r="AH113" s="10"/>
      <c r="AI113" s="68"/>
      <c r="AJ113" s="10"/>
      <c r="AK113" s="10"/>
      <c r="AL113" s="10"/>
      <c r="AM113" s="10"/>
      <c r="AN113" s="10"/>
      <c r="AO113" s="10"/>
      <c r="AP113" s="10"/>
      <c r="AQ113" s="10"/>
      <c r="AR113" s="10"/>
      <c r="AS113" s="10"/>
      <c r="AT113" s="10"/>
      <c r="AU113" s="10"/>
      <c r="AV113" s="10"/>
      <c r="AW113" s="10"/>
      <c r="AX113" s="10"/>
      <c r="AY113" s="68"/>
      <c r="AZ113" s="10"/>
      <c r="BA113" s="10"/>
      <c r="BB113" s="10"/>
      <c r="BC113" s="10"/>
      <c r="BD113" s="10"/>
      <c r="BE113" s="10"/>
      <c r="BF113" s="10"/>
      <c r="BG113" s="10"/>
      <c r="BH113" s="10"/>
      <c r="BI113" s="69"/>
      <c r="BJ113" s="10"/>
      <c r="BK113" s="10"/>
      <c r="BL113" s="10"/>
      <c r="BM113" s="10"/>
      <c r="BN113" s="10"/>
      <c r="BO113" s="72"/>
    </row>
    <row r="114" ht="15.75" customHeight="1">
      <c r="A114" s="98"/>
      <c r="B114" s="68"/>
      <c r="C114" s="10"/>
      <c r="D114" s="10"/>
      <c r="E114" s="10"/>
      <c r="F114" s="10"/>
      <c r="G114" s="10"/>
      <c r="H114" s="10"/>
      <c r="I114" s="10"/>
      <c r="J114" s="10"/>
      <c r="K114" s="10"/>
      <c r="L114" s="69"/>
      <c r="M114" s="10"/>
      <c r="N114" s="10"/>
      <c r="O114" s="10"/>
      <c r="P114" s="10"/>
      <c r="Q114" s="10"/>
      <c r="R114" s="10"/>
      <c r="S114" s="68"/>
      <c r="T114" s="10"/>
      <c r="U114" s="10"/>
      <c r="V114" s="10"/>
      <c r="W114" s="10"/>
      <c r="X114" s="10"/>
      <c r="Y114" s="10"/>
      <c r="Z114" s="10"/>
      <c r="AA114" s="10"/>
      <c r="AB114" s="10"/>
      <c r="AC114" s="10"/>
      <c r="AD114" s="10"/>
      <c r="AE114" s="69"/>
      <c r="AF114" s="10"/>
      <c r="AG114" s="10"/>
      <c r="AH114" s="10"/>
      <c r="AI114" s="68"/>
      <c r="AJ114" s="10"/>
      <c r="AK114" s="10"/>
      <c r="AL114" s="10"/>
      <c r="AM114" s="10"/>
      <c r="AN114" s="10"/>
      <c r="AO114" s="10"/>
      <c r="AP114" s="10"/>
      <c r="AQ114" s="10"/>
      <c r="AR114" s="10"/>
      <c r="AS114" s="10"/>
      <c r="AT114" s="10"/>
      <c r="AU114" s="10"/>
      <c r="AV114" s="10"/>
      <c r="AW114" s="10"/>
      <c r="AX114" s="10"/>
      <c r="AY114" s="68"/>
      <c r="AZ114" s="10"/>
      <c r="BA114" s="10"/>
      <c r="BB114" s="10"/>
      <c r="BC114" s="10"/>
      <c r="BD114" s="10"/>
      <c r="BE114" s="10"/>
      <c r="BF114" s="10"/>
      <c r="BG114" s="10"/>
      <c r="BH114" s="10"/>
      <c r="BI114" s="69"/>
      <c r="BJ114" s="10"/>
      <c r="BK114" s="10"/>
      <c r="BL114" s="10"/>
      <c r="BM114" s="10"/>
      <c r="BN114" s="10"/>
      <c r="BO114" s="72"/>
    </row>
    <row r="115" ht="15.75" customHeight="1">
      <c r="A115" s="98"/>
      <c r="B115" s="68"/>
      <c r="C115" s="10"/>
      <c r="D115" s="10"/>
      <c r="E115" s="10"/>
      <c r="F115" s="10"/>
      <c r="G115" s="10"/>
      <c r="H115" s="10"/>
      <c r="I115" s="10"/>
      <c r="J115" s="10"/>
      <c r="K115" s="10"/>
      <c r="L115" s="69"/>
      <c r="M115" s="10"/>
      <c r="N115" s="10"/>
      <c r="O115" s="10"/>
      <c r="P115" s="10"/>
      <c r="Q115" s="10"/>
      <c r="R115" s="10"/>
      <c r="S115" s="68"/>
      <c r="T115" s="10"/>
      <c r="U115" s="10"/>
      <c r="V115" s="10"/>
      <c r="W115" s="10"/>
      <c r="X115" s="10"/>
      <c r="Y115" s="10"/>
      <c r="Z115" s="10"/>
      <c r="AA115" s="10"/>
      <c r="AB115" s="10"/>
      <c r="AC115" s="10"/>
      <c r="AD115" s="10"/>
      <c r="AE115" s="69"/>
      <c r="AF115" s="10"/>
      <c r="AG115" s="10"/>
      <c r="AH115" s="10"/>
      <c r="AI115" s="68"/>
      <c r="AJ115" s="10"/>
      <c r="AK115" s="10"/>
      <c r="AL115" s="10"/>
      <c r="AM115" s="10"/>
      <c r="AN115" s="10"/>
      <c r="AO115" s="10"/>
      <c r="AP115" s="10"/>
      <c r="AQ115" s="10"/>
      <c r="AR115" s="10"/>
      <c r="AS115" s="10"/>
      <c r="AT115" s="10"/>
      <c r="AU115" s="10"/>
      <c r="AV115" s="10"/>
      <c r="AW115" s="10"/>
      <c r="AX115" s="10"/>
      <c r="AY115" s="68"/>
      <c r="AZ115" s="10"/>
      <c r="BA115" s="10"/>
      <c r="BB115" s="10"/>
      <c r="BC115" s="10"/>
      <c r="BD115" s="10"/>
      <c r="BE115" s="10"/>
      <c r="BF115" s="10"/>
      <c r="BG115" s="10"/>
      <c r="BH115" s="10"/>
      <c r="BI115" s="69"/>
      <c r="BJ115" s="10"/>
      <c r="BK115" s="10"/>
      <c r="BL115" s="10"/>
      <c r="BM115" s="10"/>
      <c r="BN115" s="10"/>
      <c r="BO115" s="72"/>
    </row>
    <row r="116" ht="15.75" customHeight="1">
      <c r="A116" s="98"/>
      <c r="B116" s="68"/>
      <c r="C116" s="10"/>
      <c r="D116" s="10"/>
      <c r="E116" s="10"/>
      <c r="F116" s="10"/>
      <c r="G116" s="10"/>
      <c r="H116" s="10"/>
      <c r="I116" s="10"/>
      <c r="J116" s="10"/>
      <c r="K116" s="10"/>
      <c r="L116" s="69"/>
      <c r="M116" s="10"/>
      <c r="N116" s="10"/>
      <c r="O116" s="10"/>
      <c r="P116" s="10"/>
      <c r="Q116" s="10"/>
      <c r="R116" s="10"/>
      <c r="S116" s="68"/>
      <c r="T116" s="10"/>
      <c r="U116" s="10"/>
      <c r="V116" s="10"/>
      <c r="W116" s="10"/>
      <c r="X116" s="10"/>
      <c r="Y116" s="10"/>
      <c r="Z116" s="10"/>
      <c r="AA116" s="10"/>
      <c r="AB116" s="10"/>
      <c r="AC116" s="10"/>
      <c r="AD116" s="10"/>
      <c r="AE116" s="69"/>
      <c r="AF116" s="10"/>
      <c r="AG116" s="10"/>
      <c r="AH116" s="10"/>
      <c r="AI116" s="68"/>
      <c r="AJ116" s="10"/>
      <c r="AK116" s="10"/>
      <c r="AL116" s="10"/>
      <c r="AM116" s="10"/>
      <c r="AN116" s="10"/>
      <c r="AO116" s="10"/>
      <c r="AP116" s="10"/>
      <c r="AQ116" s="10"/>
      <c r="AR116" s="10"/>
      <c r="AS116" s="10"/>
      <c r="AT116" s="10"/>
      <c r="AU116" s="10"/>
      <c r="AV116" s="10"/>
      <c r="AW116" s="10"/>
      <c r="AX116" s="10"/>
      <c r="AY116" s="68"/>
      <c r="AZ116" s="10"/>
      <c r="BA116" s="10"/>
      <c r="BB116" s="10"/>
      <c r="BC116" s="10"/>
      <c r="BD116" s="10"/>
      <c r="BE116" s="10"/>
      <c r="BF116" s="10"/>
      <c r="BG116" s="10"/>
      <c r="BH116" s="10"/>
      <c r="BI116" s="69"/>
      <c r="BJ116" s="10"/>
      <c r="BK116" s="10"/>
      <c r="BL116" s="10"/>
      <c r="BM116" s="10"/>
      <c r="BN116" s="10"/>
      <c r="BO116" s="72"/>
    </row>
    <row r="117" ht="15.75" customHeight="1">
      <c r="A117" s="98"/>
      <c r="B117" s="68"/>
      <c r="C117" s="10"/>
      <c r="D117" s="10"/>
      <c r="E117" s="10"/>
      <c r="F117" s="10"/>
      <c r="G117" s="10"/>
      <c r="H117" s="10"/>
      <c r="I117" s="10"/>
      <c r="J117" s="10"/>
      <c r="K117" s="10"/>
      <c r="L117" s="69"/>
      <c r="M117" s="10"/>
      <c r="N117" s="10"/>
      <c r="O117" s="10"/>
      <c r="P117" s="10"/>
      <c r="Q117" s="10"/>
      <c r="R117" s="10"/>
      <c r="S117" s="68"/>
      <c r="T117" s="10"/>
      <c r="U117" s="10"/>
      <c r="V117" s="10"/>
      <c r="W117" s="10"/>
      <c r="X117" s="10"/>
      <c r="Y117" s="10"/>
      <c r="Z117" s="10"/>
      <c r="AA117" s="10"/>
      <c r="AB117" s="10"/>
      <c r="AC117" s="10"/>
      <c r="AD117" s="10"/>
      <c r="AE117" s="69"/>
      <c r="AF117" s="10"/>
      <c r="AG117" s="10"/>
      <c r="AH117" s="10"/>
      <c r="AI117" s="68"/>
      <c r="AJ117" s="10"/>
      <c r="AK117" s="10"/>
      <c r="AL117" s="10"/>
      <c r="AM117" s="10"/>
      <c r="AN117" s="10"/>
      <c r="AO117" s="10"/>
      <c r="AP117" s="10"/>
      <c r="AQ117" s="10"/>
      <c r="AR117" s="10"/>
      <c r="AS117" s="10"/>
      <c r="AT117" s="10"/>
      <c r="AU117" s="10"/>
      <c r="AV117" s="10"/>
      <c r="AW117" s="10"/>
      <c r="AX117" s="10"/>
      <c r="AY117" s="68"/>
      <c r="AZ117" s="10"/>
      <c r="BA117" s="10"/>
      <c r="BB117" s="10"/>
      <c r="BC117" s="10"/>
      <c r="BD117" s="10"/>
      <c r="BE117" s="10"/>
      <c r="BF117" s="10"/>
      <c r="BG117" s="10"/>
      <c r="BH117" s="10"/>
      <c r="BI117" s="69"/>
      <c r="BJ117" s="10"/>
      <c r="BK117" s="10"/>
      <c r="BL117" s="10"/>
      <c r="BM117" s="10"/>
      <c r="BN117" s="10"/>
      <c r="BO117" s="72"/>
    </row>
    <row r="118" ht="15.75" customHeight="1">
      <c r="A118" s="98"/>
      <c r="B118" s="68"/>
      <c r="C118" s="10"/>
      <c r="D118" s="10"/>
      <c r="E118" s="10"/>
      <c r="F118" s="10"/>
      <c r="G118" s="10"/>
      <c r="H118" s="10"/>
      <c r="I118" s="10"/>
      <c r="J118" s="10"/>
      <c r="K118" s="10"/>
      <c r="L118" s="69"/>
      <c r="M118" s="10"/>
      <c r="N118" s="10"/>
      <c r="O118" s="10"/>
      <c r="P118" s="10"/>
      <c r="Q118" s="10"/>
      <c r="R118" s="10"/>
      <c r="S118" s="68"/>
      <c r="T118" s="10"/>
      <c r="U118" s="10"/>
      <c r="V118" s="10"/>
      <c r="W118" s="10"/>
      <c r="X118" s="10"/>
      <c r="Y118" s="10"/>
      <c r="Z118" s="10"/>
      <c r="AA118" s="10"/>
      <c r="AB118" s="10"/>
      <c r="AC118" s="10"/>
      <c r="AD118" s="10"/>
      <c r="AE118" s="69"/>
      <c r="AF118" s="10"/>
      <c r="AG118" s="10"/>
      <c r="AH118" s="10"/>
      <c r="AI118" s="68"/>
      <c r="AJ118" s="10"/>
      <c r="AK118" s="10"/>
      <c r="AL118" s="10"/>
      <c r="AM118" s="10"/>
      <c r="AN118" s="10"/>
      <c r="AO118" s="10"/>
      <c r="AP118" s="10"/>
      <c r="AQ118" s="10"/>
      <c r="AR118" s="10"/>
      <c r="AS118" s="10"/>
      <c r="AT118" s="10"/>
      <c r="AU118" s="10"/>
      <c r="AV118" s="10"/>
      <c r="AW118" s="10"/>
      <c r="AX118" s="10"/>
      <c r="AY118" s="68"/>
      <c r="AZ118" s="10"/>
      <c r="BA118" s="10"/>
      <c r="BB118" s="10"/>
      <c r="BC118" s="10"/>
      <c r="BD118" s="10"/>
      <c r="BE118" s="10"/>
      <c r="BF118" s="10"/>
      <c r="BG118" s="10"/>
      <c r="BH118" s="10"/>
      <c r="BI118" s="69"/>
      <c r="BJ118" s="10"/>
      <c r="BK118" s="10"/>
      <c r="BL118" s="10"/>
      <c r="BM118" s="10"/>
      <c r="BN118" s="10"/>
      <c r="BO118" s="72"/>
    </row>
    <row r="119" ht="15.75" customHeight="1">
      <c r="A119" s="98"/>
      <c r="B119" s="68"/>
      <c r="C119" s="10"/>
      <c r="D119" s="10"/>
      <c r="E119" s="10"/>
      <c r="F119" s="10"/>
      <c r="G119" s="10"/>
      <c r="H119" s="10"/>
      <c r="I119" s="10"/>
      <c r="J119" s="10"/>
      <c r="K119" s="10"/>
      <c r="L119" s="69"/>
      <c r="M119" s="10"/>
      <c r="N119" s="10"/>
      <c r="O119" s="10"/>
      <c r="P119" s="10"/>
      <c r="Q119" s="10"/>
      <c r="R119" s="10"/>
      <c r="S119" s="68"/>
      <c r="T119" s="10"/>
      <c r="U119" s="10"/>
      <c r="V119" s="10"/>
      <c r="W119" s="10"/>
      <c r="X119" s="10"/>
      <c r="Y119" s="10"/>
      <c r="Z119" s="10"/>
      <c r="AA119" s="10"/>
      <c r="AB119" s="10"/>
      <c r="AC119" s="10"/>
      <c r="AD119" s="10"/>
      <c r="AE119" s="69"/>
      <c r="AF119" s="10"/>
      <c r="AG119" s="10"/>
      <c r="AH119" s="10"/>
      <c r="AI119" s="68"/>
      <c r="AJ119" s="10"/>
      <c r="AK119" s="10"/>
      <c r="AL119" s="10"/>
      <c r="AM119" s="10"/>
      <c r="AN119" s="10"/>
      <c r="AO119" s="10"/>
      <c r="AP119" s="10"/>
      <c r="AQ119" s="10"/>
      <c r="AR119" s="10"/>
      <c r="AS119" s="10"/>
      <c r="AT119" s="10"/>
      <c r="AU119" s="10"/>
      <c r="AV119" s="10"/>
      <c r="AW119" s="10"/>
      <c r="AX119" s="10"/>
      <c r="AY119" s="68"/>
      <c r="AZ119" s="10"/>
      <c r="BA119" s="10"/>
      <c r="BB119" s="10"/>
      <c r="BC119" s="10"/>
      <c r="BD119" s="10"/>
      <c r="BE119" s="10"/>
      <c r="BF119" s="10"/>
      <c r="BG119" s="10"/>
      <c r="BH119" s="10"/>
      <c r="BI119" s="69"/>
      <c r="BJ119" s="10"/>
      <c r="BK119" s="10"/>
      <c r="BL119" s="10"/>
      <c r="BM119" s="10"/>
      <c r="BN119" s="10"/>
      <c r="BO119" s="72"/>
    </row>
    <row r="120" ht="15.75" customHeight="1">
      <c r="A120" s="98"/>
      <c r="B120" s="68"/>
      <c r="C120" s="10"/>
      <c r="D120" s="10"/>
      <c r="E120" s="10"/>
      <c r="F120" s="10"/>
      <c r="G120" s="10"/>
      <c r="H120" s="10"/>
      <c r="I120" s="10"/>
      <c r="J120" s="10"/>
      <c r="K120" s="10"/>
      <c r="L120" s="69"/>
      <c r="M120" s="10"/>
      <c r="N120" s="10"/>
      <c r="O120" s="10"/>
      <c r="P120" s="10"/>
      <c r="Q120" s="10"/>
      <c r="R120" s="10"/>
      <c r="S120" s="68"/>
      <c r="T120" s="10"/>
      <c r="U120" s="10"/>
      <c r="V120" s="10"/>
      <c r="W120" s="10"/>
      <c r="X120" s="10"/>
      <c r="Y120" s="10"/>
      <c r="Z120" s="10"/>
      <c r="AA120" s="10"/>
      <c r="AB120" s="10"/>
      <c r="AC120" s="10"/>
      <c r="AD120" s="10"/>
      <c r="AE120" s="69"/>
      <c r="AF120" s="10"/>
      <c r="AG120" s="10"/>
      <c r="AH120" s="10"/>
      <c r="AI120" s="68"/>
      <c r="AJ120" s="10"/>
      <c r="AK120" s="10"/>
      <c r="AL120" s="10"/>
      <c r="AM120" s="10"/>
      <c r="AN120" s="10"/>
      <c r="AO120" s="10"/>
      <c r="AP120" s="10"/>
      <c r="AQ120" s="10"/>
      <c r="AR120" s="10"/>
      <c r="AS120" s="10"/>
      <c r="AT120" s="10"/>
      <c r="AU120" s="10"/>
      <c r="AV120" s="10"/>
      <c r="AW120" s="10"/>
      <c r="AX120" s="10"/>
      <c r="AY120" s="68"/>
      <c r="AZ120" s="10"/>
      <c r="BA120" s="10"/>
      <c r="BB120" s="10"/>
      <c r="BC120" s="10"/>
      <c r="BD120" s="10"/>
      <c r="BE120" s="10"/>
      <c r="BF120" s="10"/>
      <c r="BG120" s="10"/>
      <c r="BH120" s="10"/>
      <c r="BI120" s="69"/>
      <c r="BJ120" s="10"/>
      <c r="BK120" s="10"/>
      <c r="BL120" s="10"/>
      <c r="BM120" s="10"/>
      <c r="BN120" s="10"/>
      <c r="BO120" s="72"/>
    </row>
    <row r="121" ht="15.75" customHeight="1">
      <c r="A121" s="98"/>
      <c r="B121" s="68"/>
      <c r="C121" s="10"/>
      <c r="D121" s="10"/>
      <c r="E121" s="10"/>
      <c r="F121" s="10"/>
      <c r="G121" s="10"/>
      <c r="H121" s="10"/>
      <c r="I121" s="10"/>
      <c r="J121" s="10"/>
      <c r="K121" s="10"/>
      <c r="L121" s="69"/>
      <c r="M121" s="10"/>
      <c r="N121" s="10"/>
      <c r="O121" s="10"/>
      <c r="P121" s="10"/>
      <c r="Q121" s="10"/>
      <c r="R121" s="10"/>
      <c r="S121" s="68"/>
      <c r="T121" s="10"/>
      <c r="U121" s="10"/>
      <c r="V121" s="10"/>
      <c r="W121" s="10"/>
      <c r="X121" s="10"/>
      <c r="Y121" s="10"/>
      <c r="Z121" s="10"/>
      <c r="AA121" s="10"/>
      <c r="AB121" s="10"/>
      <c r="AC121" s="10"/>
      <c r="AD121" s="10"/>
      <c r="AE121" s="69"/>
      <c r="AF121" s="10"/>
      <c r="AG121" s="10"/>
      <c r="AH121" s="10"/>
      <c r="AI121" s="68"/>
      <c r="AJ121" s="10"/>
      <c r="AK121" s="10"/>
      <c r="AL121" s="10"/>
      <c r="AM121" s="10"/>
      <c r="AN121" s="10"/>
      <c r="AO121" s="10"/>
      <c r="AP121" s="10"/>
      <c r="AQ121" s="10"/>
      <c r="AR121" s="10"/>
      <c r="AS121" s="10"/>
      <c r="AT121" s="10"/>
      <c r="AU121" s="10"/>
      <c r="AV121" s="10"/>
      <c r="AW121" s="10"/>
      <c r="AX121" s="10"/>
      <c r="AY121" s="68"/>
      <c r="AZ121" s="10"/>
      <c r="BA121" s="10"/>
      <c r="BB121" s="10"/>
      <c r="BC121" s="10"/>
      <c r="BD121" s="10"/>
      <c r="BE121" s="10"/>
      <c r="BF121" s="10"/>
      <c r="BG121" s="10"/>
      <c r="BH121" s="10"/>
      <c r="BI121" s="69"/>
      <c r="BJ121" s="10"/>
      <c r="BK121" s="10"/>
      <c r="BL121" s="10"/>
      <c r="BM121" s="10"/>
      <c r="BN121" s="10"/>
      <c r="BO121" s="72"/>
    </row>
    <row r="122" ht="15.75" customHeight="1">
      <c r="A122" s="98"/>
      <c r="B122" s="68"/>
      <c r="C122" s="10"/>
      <c r="D122" s="10"/>
      <c r="E122" s="10"/>
      <c r="F122" s="10"/>
      <c r="G122" s="10"/>
      <c r="H122" s="10"/>
      <c r="I122" s="10"/>
      <c r="J122" s="10"/>
      <c r="K122" s="10"/>
      <c r="L122" s="69"/>
      <c r="M122" s="10"/>
      <c r="N122" s="10"/>
      <c r="O122" s="10"/>
      <c r="P122" s="10"/>
      <c r="Q122" s="10"/>
      <c r="R122" s="10"/>
      <c r="S122" s="68"/>
      <c r="T122" s="10"/>
      <c r="U122" s="10"/>
      <c r="V122" s="10"/>
      <c r="W122" s="10"/>
      <c r="X122" s="10"/>
      <c r="Y122" s="10"/>
      <c r="Z122" s="10"/>
      <c r="AA122" s="10"/>
      <c r="AB122" s="10"/>
      <c r="AC122" s="10"/>
      <c r="AD122" s="10"/>
      <c r="AE122" s="69"/>
      <c r="AF122" s="10"/>
      <c r="AG122" s="10"/>
      <c r="AH122" s="10"/>
      <c r="AI122" s="68"/>
      <c r="AJ122" s="10"/>
      <c r="AK122" s="10"/>
      <c r="AL122" s="10"/>
      <c r="AM122" s="10"/>
      <c r="AN122" s="10"/>
      <c r="AO122" s="10"/>
      <c r="AP122" s="10"/>
      <c r="AQ122" s="10"/>
      <c r="AR122" s="10"/>
      <c r="AS122" s="10"/>
      <c r="AT122" s="10"/>
      <c r="AU122" s="10"/>
      <c r="AV122" s="10"/>
      <c r="AW122" s="10"/>
      <c r="AX122" s="10"/>
      <c r="AY122" s="68"/>
      <c r="AZ122" s="10"/>
      <c r="BA122" s="10"/>
      <c r="BB122" s="10"/>
      <c r="BC122" s="10"/>
      <c r="BD122" s="10"/>
      <c r="BE122" s="10"/>
      <c r="BF122" s="10"/>
      <c r="BG122" s="10"/>
      <c r="BH122" s="10"/>
      <c r="BI122" s="69"/>
      <c r="BJ122" s="10"/>
      <c r="BK122" s="10"/>
      <c r="BL122" s="10"/>
      <c r="BM122" s="10"/>
      <c r="BN122" s="10"/>
      <c r="BO122" s="72"/>
    </row>
    <row r="123" ht="15.75" customHeight="1">
      <c r="A123" s="98"/>
      <c r="B123" s="68"/>
      <c r="C123" s="10"/>
      <c r="D123" s="10"/>
      <c r="E123" s="10"/>
      <c r="F123" s="10"/>
      <c r="G123" s="10"/>
      <c r="H123" s="10"/>
      <c r="I123" s="10"/>
      <c r="J123" s="10"/>
      <c r="K123" s="10"/>
      <c r="L123" s="69"/>
      <c r="M123" s="10"/>
      <c r="N123" s="10"/>
      <c r="O123" s="10"/>
      <c r="P123" s="10"/>
      <c r="Q123" s="10"/>
      <c r="R123" s="10"/>
      <c r="S123" s="68"/>
      <c r="T123" s="10"/>
      <c r="U123" s="10"/>
      <c r="V123" s="10"/>
      <c r="W123" s="10"/>
      <c r="X123" s="10"/>
      <c r="Y123" s="10"/>
      <c r="Z123" s="10"/>
      <c r="AA123" s="10"/>
      <c r="AB123" s="10"/>
      <c r="AC123" s="10"/>
      <c r="AD123" s="10"/>
      <c r="AE123" s="69"/>
      <c r="AF123" s="10"/>
      <c r="AG123" s="10"/>
      <c r="AH123" s="10"/>
      <c r="AI123" s="68"/>
      <c r="AJ123" s="10"/>
      <c r="AK123" s="10"/>
      <c r="AL123" s="10"/>
      <c r="AM123" s="10"/>
      <c r="AN123" s="10"/>
      <c r="AO123" s="10"/>
      <c r="AP123" s="10"/>
      <c r="AQ123" s="10"/>
      <c r="AR123" s="10"/>
      <c r="AS123" s="10"/>
      <c r="AT123" s="10"/>
      <c r="AU123" s="10"/>
      <c r="AV123" s="10"/>
      <c r="AW123" s="10"/>
      <c r="AX123" s="10"/>
      <c r="AY123" s="68"/>
      <c r="AZ123" s="10"/>
      <c r="BA123" s="10"/>
      <c r="BB123" s="10"/>
      <c r="BC123" s="10"/>
      <c r="BD123" s="10"/>
      <c r="BE123" s="10"/>
      <c r="BF123" s="10"/>
      <c r="BG123" s="10"/>
      <c r="BH123" s="10"/>
      <c r="BI123" s="69"/>
      <c r="BJ123" s="10"/>
      <c r="BK123" s="10"/>
      <c r="BL123" s="10"/>
      <c r="BM123" s="10"/>
      <c r="BN123" s="10"/>
      <c r="BO123" s="72"/>
    </row>
    <row r="124" ht="15.75" customHeight="1">
      <c r="A124" s="98"/>
      <c r="B124" s="68"/>
      <c r="C124" s="10"/>
      <c r="D124" s="10"/>
      <c r="E124" s="10"/>
      <c r="F124" s="10"/>
      <c r="G124" s="10"/>
      <c r="H124" s="10"/>
      <c r="I124" s="10"/>
      <c r="J124" s="10"/>
      <c r="K124" s="10"/>
      <c r="L124" s="69"/>
      <c r="M124" s="10"/>
      <c r="N124" s="10"/>
      <c r="O124" s="10"/>
      <c r="P124" s="10"/>
      <c r="Q124" s="10"/>
      <c r="R124" s="10"/>
      <c r="S124" s="68"/>
      <c r="T124" s="10"/>
      <c r="U124" s="10"/>
      <c r="V124" s="10"/>
      <c r="W124" s="10"/>
      <c r="X124" s="10"/>
      <c r="Y124" s="10"/>
      <c r="Z124" s="10"/>
      <c r="AA124" s="10"/>
      <c r="AB124" s="10"/>
      <c r="AC124" s="10"/>
      <c r="AD124" s="10"/>
      <c r="AE124" s="69"/>
      <c r="AF124" s="10"/>
      <c r="AG124" s="10"/>
      <c r="AH124" s="10"/>
      <c r="AI124" s="68"/>
      <c r="AJ124" s="10"/>
      <c r="AK124" s="10"/>
      <c r="AL124" s="10"/>
      <c r="AM124" s="10"/>
      <c r="AN124" s="10"/>
      <c r="AO124" s="10"/>
      <c r="AP124" s="10"/>
      <c r="AQ124" s="10"/>
      <c r="AR124" s="10"/>
      <c r="AS124" s="10"/>
      <c r="AT124" s="10"/>
      <c r="AU124" s="10"/>
      <c r="AV124" s="10"/>
      <c r="AW124" s="10"/>
      <c r="AX124" s="10"/>
      <c r="AY124" s="68"/>
      <c r="AZ124" s="10"/>
      <c r="BA124" s="10"/>
      <c r="BB124" s="10"/>
      <c r="BC124" s="10"/>
      <c r="BD124" s="10"/>
      <c r="BE124" s="10"/>
      <c r="BF124" s="10"/>
      <c r="BG124" s="10"/>
      <c r="BH124" s="10"/>
      <c r="BI124" s="69"/>
      <c r="BJ124" s="10"/>
      <c r="BK124" s="10"/>
      <c r="BL124" s="10"/>
      <c r="BM124" s="10"/>
      <c r="BN124" s="10"/>
      <c r="BO124" s="72"/>
    </row>
    <row r="125" ht="15.75" customHeight="1">
      <c r="A125" s="98"/>
      <c r="B125" s="68"/>
      <c r="C125" s="10"/>
      <c r="D125" s="10"/>
      <c r="E125" s="10"/>
      <c r="F125" s="10"/>
      <c r="G125" s="10"/>
      <c r="H125" s="10"/>
      <c r="I125" s="10"/>
      <c r="J125" s="10"/>
      <c r="K125" s="10"/>
      <c r="L125" s="69"/>
      <c r="M125" s="10"/>
      <c r="N125" s="10"/>
      <c r="O125" s="10"/>
      <c r="P125" s="10"/>
      <c r="Q125" s="10"/>
      <c r="R125" s="10"/>
      <c r="S125" s="68"/>
      <c r="T125" s="10"/>
      <c r="U125" s="10"/>
      <c r="V125" s="10"/>
      <c r="W125" s="10"/>
      <c r="X125" s="10"/>
      <c r="Y125" s="10"/>
      <c r="Z125" s="10"/>
      <c r="AA125" s="10"/>
      <c r="AB125" s="10"/>
      <c r="AC125" s="10"/>
      <c r="AD125" s="10"/>
      <c r="AE125" s="69"/>
      <c r="AF125" s="10"/>
      <c r="AG125" s="10"/>
      <c r="AH125" s="10"/>
      <c r="AI125" s="68"/>
      <c r="AJ125" s="10"/>
      <c r="AK125" s="10"/>
      <c r="AL125" s="10"/>
      <c r="AM125" s="10"/>
      <c r="AN125" s="10"/>
      <c r="AO125" s="10"/>
      <c r="AP125" s="10"/>
      <c r="AQ125" s="10"/>
      <c r="AR125" s="10"/>
      <c r="AS125" s="10"/>
      <c r="AT125" s="10"/>
      <c r="AU125" s="10"/>
      <c r="AV125" s="10"/>
      <c r="AW125" s="10"/>
      <c r="AX125" s="10"/>
      <c r="AY125" s="68"/>
      <c r="AZ125" s="10"/>
      <c r="BA125" s="10"/>
      <c r="BB125" s="10"/>
      <c r="BC125" s="10"/>
      <c r="BD125" s="10"/>
      <c r="BE125" s="10"/>
      <c r="BF125" s="10"/>
      <c r="BG125" s="10"/>
      <c r="BH125" s="10"/>
      <c r="BI125" s="69"/>
      <c r="BJ125" s="10"/>
      <c r="BK125" s="10"/>
      <c r="BL125" s="10"/>
      <c r="BM125" s="10"/>
      <c r="BN125" s="10"/>
      <c r="BO125" s="72"/>
    </row>
    <row r="126" ht="15.75" customHeight="1">
      <c r="A126" s="98"/>
      <c r="B126" s="68"/>
      <c r="C126" s="10"/>
      <c r="D126" s="10"/>
      <c r="E126" s="10"/>
      <c r="F126" s="10"/>
      <c r="G126" s="10"/>
      <c r="H126" s="10"/>
      <c r="I126" s="10"/>
      <c r="J126" s="10"/>
      <c r="K126" s="10"/>
      <c r="L126" s="69"/>
      <c r="M126" s="10"/>
      <c r="N126" s="10"/>
      <c r="O126" s="10"/>
      <c r="P126" s="10"/>
      <c r="Q126" s="10"/>
      <c r="R126" s="10"/>
      <c r="S126" s="68"/>
      <c r="T126" s="10"/>
      <c r="U126" s="10"/>
      <c r="V126" s="10"/>
      <c r="W126" s="10"/>
      <c r="X126" s="10"/>
      <c r="Y126" s="10"/>
      <c r="Z126" s="10"/>
      <c r="AA126" s="10"/>
      <c r="AB126" s="10"/>
      <c r="AC126" s="10"/>
      <c r="AD126" s="10"/>
      <c r="AE126" s="69"/>
      <c r="AF126" s="10"/>
      <c r="AG126" s="10"/>
      <c r="AH126" s="10"/>
      <c r="AI126" s="68"/>
      <c r="AJ126" s="10"/>
      <c r="AK126" s="10"/>
      <c r="AL126" s="10"/>
      <c r="AM126" s="10"/>
      <c r="AN126" s="10"/>
      <c r="AO126" s="10"/>
      <c r="AP126" s="10"/>
      <c r="AQ126" s="10"/>
      <c r="AR126" s="10"/>
      <c r="AS126" s="10"/>
      <c r="AT126" s="10"/>
      <c r="AU126" s="10"/>
      <c r="AV126" s="10"/>
      <c r="AW126" s="10"/>
      <c r="AX126" s="10"/>
      <c r="AY126" s="68"/>
      <c r="AZ126" s="10"/>
      <c r="BA126" s="10"/>
      <c r="BB126" s="10"/>
      <c r="BC126" s="10"/>
      <c r="BD126" s="10"/>
      <c r="BE126" s="10"/>
      <c r="BF126" s="10"/>
      <c r="BG126" s="10"/>
      <c r="BH126" s="10"/>
      <c r="BI126" s="69"/>
      <c r="BJ126" s="10"/>
      <c r="BK126" s="10"/>
      <c r="BL126" s="10"/>
      <c r="BM126" s="10"/>
      <c r="BN126" s="10"/>
      <c r="BO126" s="72"/>
    </row>
    <row r="127" ht="15.75" customHeight="1">
      <c r="A127" s="98"/>
      <c r="B127" s="68"/>
      <c r="C127" s="10"/>
      <c r="D127" s="10"/>
      <c r="E127" s="10"/>
      <c r="F127" s="10"/>
      <c r="G127" s="10"/>
      <c r="H127" s="10"/>
      <c r="I127" s="10"/>
      <c r="J127" s="10"/>
      <c r="K127" s="10"/>
      <c r="L127" s="69"/>
      <c r="M127" s="10"/>
      <c r="N127" s="10"/>
      <c r="O127" s="10"/>
      <c r="P127" s="10"/>
      <c r="Q127" s="10"/>
      <c r="R127" s="10"/>
      <c r="S127" s="68"/>
      <c r="T127" s="10"/>
      <c r="U127" s="10"/>
      <c r="V127" s="10"/>
      <c r="W127" s="10"/>
      <c r="X127" s="10"/>
      <c r="Y127" s="10"/>
      <c r="Z127" s="10"/>
      <c r="AA127" s="10"/>
      <c r="AB127" s="10"/>
      <c r="AC127" s="10"/>
      <c r="AD127" s="10"/>
      <c r="AE127" s="69"/>
      <c r="AF127" s="10"/>
      <c r="AG127" s="10"/>
      <c r="AH127" s="10"/>
      <c r="AI127" s="68"/>
      <c r="AJ127" s="10"/>
      <c r="AK127" s="10"/>
      <c r="AL127" s="10"/>
      <c r="AM127" s="10"/>
      <c r="AN127" s="10"/>
      <c r="AO127" s="10"/>
      <c r="AP127" s="10"/>
      <c r="AQ127" s="10"/>
      <c r="AR127" s="10"/>
      <c r="AS127" s="10"/>
      <c r="AT127" s="10"/>
      <c r="AU127" s="10"/>
      <c r="AV127" s="10"/>
      <c r="AW127" s="10"/>
      <c r="AX127" s="10"/>
      <c r="AY127" s="68"/>
      <c r="AZ127" s="10"/>
      <c r="BA127" s="10"/>
      <c r="BB127" s="10"/>
      <c r="BC127" s="10"/>
      <c r="BD127" s="10"/>
      <c r="BE127" s="10"/>
      <c r="BF127" s="10"/>
      <c r="BG127" s="10"/>
      <c r="BH127" s="10"/>
      <c r="BI127" s="69"/>
      <c r="BJ127" s="10"/>
      <c r="BK127" s="10"/>
      <c r="BL127" s="10"/>
      <c r="BM127" s="10"/>
      <c r="BN127" s="10"/>
      <c r="BO127" s="72"/>
    </row>
    <row r="128" ht="15.75" customHeight="1">
      <c r="A128" s="98"/>
      <c r="B128" s="68"/>
      <c r="C128" s="10"/>
      <c r="D128" s="10"/>
      <c r="E128" s="10"/>
      <c r="F128" s="10"/>
      <c r="G128" s="10"/>
      <c r="H128" s="10"/>
      <c r="I128" s="10"/>
      <c r="J128" s="10"/>
      <c r="K128" s="10"/>
      <c r="L128" s="69"/>
      <c r="M128" s="10"/>
      <c r="N128" s="10"/>
      <c r="O128" s="10"/>
      <c r="P128" s="10"/>
      <c r="Q128" s="10"/>
      <c r="R128" s="10"/>
      <c r="S128" s="68"/>
      <c r="T128" s="10"/>
      <c r="U128" s="10"/>
      <c r="V128" s="10"/>
      <c r="W128" s="10"/>
      <c r="X128" s="10"/>
      <c r="Y128" s="10"/>
      <c r="Z128" s="10"/>
      <c r="AA128" s="10"/>
      <c r="AB128" s="10"/>
      <c r="AC128" s="10"/>
      <c r="AD128" s="10"/>
      <c r="AE128" s="69"/>
      <c r="AF128" s="10"/>
      <c r="AG128" s="10"/>
      <c r="AH128" s="10"/>
      <c r="AI128" s="68"/>
      <c r="AJ128" s="10"/>
      <c r="AK128" s="10"/>
      <c r="AL128" s="10"/>
      <c r="AM128" s="10"/>
      <c r="AN128" s="10"/>
      <c r="AO128" s="10"/>
      <c r="AP128" s="10"/>
      <c r="AQ128" s="10"/>
      <c r="AR128" s="10"/>
      <c r="AS128" s="10"/>
      <c r="AT128" s="10"/>
      <c r="AU128" s="10"/>
      <c r="AV128" s="10"/>
      <c r="AW128" s="10"/>
      <c r="AX128" s="10"/>
      <c r="AY128" s="68"/>
      <c r="AZ128" s="10"/>
      <c r="BA128" s="10"/>
      <c r="BB128" s="10"/>
      <c r="BC128" s="10"/>
      <c r="BD128" s="10"/>
      <c r="BE128" s="10"/>
      <c r="BF128" s="10"/>
      <c r="BG128" s="10"/>
      <c r="BH128" s="10"/>
      <c r="BI128" s="69"/>
      <c r="BJ128" s="10"/>
      <c r="BK128" s="10"/>
      <c r="BL128" s="10"/>
      <c r="BM128" s="10"/>
      <c r="BN128" s="10"/>
      <c r="BO128" s="72"/>
    </row>
    <row r="129" ht="15.75" customHeight="1">
      <c r="A129" s="98"/>
      <c r="B129" s="68"/>
      <c r="C129" s="10"/>
      <c r="D129" s="10"/>
      <c r="E129" s="10"/>
      <c r="F129" s="10"/>
      <c r="G129" s="10"/>
      <c r="H129" s="10"/>
      <c r="I129" s="10"/>
      <c r="J129" s="10"/>
      <c r="K129" s="10"/>
      <c r="L129" s="69"/>
      <c r="M129" s="10"/>
      <c r="N129" s="10"/>
      <c r="O129" s="10"/>
      <c r="P129" s="10"/>
      <c r="Q129" s="10"/>
      <c r="R129" s="10"/>
      <c r="S129" s="68"/>
      <c r="T129" s="10"/>
      <c r="U129" s="10"/>
      <c r="V129" s="10"/>
      <c r="W129" s="10"/>
      <c r="X129" s="10"/>
      <c r="Y129" s="10"/>
      <c r="Z129" s="10"/>
      <c r="AA129" s="10"/>
      <c r="AB129" s="10"/>
      <c r="AC129" s="10"/>
      <c r="AD129" s="10"/>
      <c r="AE129" s="69"/>
      <c r="AF129" s="10"/>
      <c r="AG129" s="10"/>
      <c r="AH129" s="10"/>
      <c r="AI129" s="68"/>
      <c r="AJ129" s="10"/>
      <c r="AK129" s="10"/>
      <c r="AL129" s="10"/>
      <c r="AM129" s="10"/>
      <c r="AN129" s="10"/>
      <c r="AO129" s="10"/>
      <c r="AP129" s="10"/>
      <c r="AQ129" s="10"/>
      <c r="AR129" s="10"/>
      <c r="AS129" s="10"/>
      <c r="AT129" s="10"/>
      <c r="AU129" s="10"/>
      <c r="AV129" s="10"/>
      <c r="AW129" s="10"/>
      <c r="AX129" s="10"/>
      <c r="AY129" s="68"/>
      <c r="AZ129" s="10"/>
      <c r="BA129" s="10"/>
      <c r="BB129" s="10"/>
      <c r="BC129" s="10"/>
      <c r="BD129" s="10"/>
      <c r="BE129" s="10"/>
      <c r="BF129" s="10"/>
      <c r="BG129" s="10"/>
      <c r="BH129" s="10"/>
      <c r="BI129" s="69"/>
      <c r="BJ129" s="10"/>
      <c r="BK129" s="10"/>
      <c r="BL129" s="10"/>
      <c r="BM129" s="10"/>
      <c r="BN129" s="10"/>
      <c r="BO129" s="72"/>
    </row>
    <row r="130" ht="15.75" customHeight="1">
      <c r="A130" s="98"/>
      <c r="B130" s="68"/>
      <c r="C130" s="10"/>
      <c r="D130" s="10"/>
      <c r="E130" s="10"/>
      <c r="F130" s="10"/>
      <c r="G130" s="10"/>
      <c r="H130" s="10"/>
      <c r="I130" s="10"/>
      <c r="J130" s="10"/>
      <c r="K130" s="10"/>
      <c r="L130" s="69"/>
      <c r="M130" s="10"/>
      <c r="N130" s="10"/>
      <c r="O130" s="10"/>
      <c r="P130" s="10"/>
      <c r="Q130" s="10"/>
      <c r="R130" s="10"/>
      <c r="S130" s="68"/>
      <c r="T130" s="10"/>
      <c r="U130" s="10"/>
      <c r="V130" s="10"/>
      <c r="W130" s="10"/>
      <c r="X130" s="10"/>
      <c r="Y130" s="10"/>
      <c r="Z130" s="10"/>
      <c r="AA130" s="10"/>
      <c r="AB130" s="10"/>
      <c r="AC130" s="10"/>
      <c r="AD130" s="10"/>
      <c r="AE130" s="69"/>
      <c r="AF130" s="10"/>
      <c r="AG130" s="10"/>
      <c r="AH130" s="10"/>
      <c r="AI130" s="68"/>
      <c r="AJ130" s="10"/>
      <c r="AK130" s="10"/>
      <c r="AL130" s="10"/>
      <c r="AM130" s="10"/>
      <c r="AN130" s="10"/>
      <c r="AO130" s="10"/>
      <c r="AP130" s="10"/>
      <c r="AQ130" s="10"/>
      <c r="AR130" s="10"/>
      <c r="AS130" s="10"/>
      <c r="AT130" s="10"/>
      <c r="AU130" s="10"/>
      <c r="AV130" s="10"/>
      <c r="AW130" s="10"/>
      <c r="AX130" s="10"/>
      <c r="AY130" s="68"/>
      <c r="AZ130" s="10"/>
      <c r="BA130" s="10"/>
      <c r="BB130" s="10"/>
      <c r="BC130" s="10"/>
      <c r="BD130" s="10"/>
      <c r="BE130" s="10"/>
      <c r="BF130" s="10"/>
      <c r="BG130" s="10"/>
      <c r="BH130" s="10"/>
      <c r="BI130" s="69"/>
      <c r="BJ130" s="10"/>
      <c r="BK130" s="10"/>
      <c r="BL130" s="10"/>
      <c r="BM130" s="10"/>
      <c r="BN130" s="10"/>
      <c r="BO130" s="72"/>
    </row>
    <row r="131" ht="15.75" customHeight="1">
      <c r="A131" s="98"/>
      <c r="B131" s="68"/>
      <c r="C131" s="10"/>
      <c r="D131" s="10"/>
      <c r="E131" s="10"/>
      <c r="F131" s="10"/>
      <c r="G131" s="10"/>
      <c r="H131" s="10"/>
      <c r="I131" s="10"/>
      <c r="J131" s="10"/>
      <c r="K131" s="10"/>
      <c r="L131" s="69"/>
      <c r="M131" s="10"/>
      <c r="N131" s="10"/>
      <c r="O131" s="10"/>
      <c r="P131" s="10"/>
      <c r="Q131" s="10"/>
      <c r="R131" s="10"/>
      <c r="S131" s="68"/>
      <c r="T131" s="10"/>
      <c r="U131" s="10"/>
      <c r="V131" s="10"/>
      <c r="W131" s="10"/>
      <c r="X131" s="10"/>
      <c r="Y131" s="10"/>
      <c r="Z131" s="10"/>
      <c r="AA131" s="10"/>
      <c r="AB131" s="10"/>
      <c r="AC131" s="10"/>
      <c r="AD131" s="10"/>
      <c r="AE131" s="69"/>
      <c r="AF131" s="10"/>
      <c r="AG131" s="10"/>
      <c r="AH131" s="10"/>
      <c r="AI131" s="68"/>
      <c r="AJ131" s="10"/>
      <c r="AK131" s="10"/>
      <c r="AL131" s="10"/>
      <c r="AM131" s="10"/>
      <c r="AN131" s="10"/>
      <c r="AO131" s="10"/>
      <c r="AP131" s="10"/>
      <c r="AQ131" s="10"/>
      <c r="AR131" s="10"/>
      <c r="AS131" s="10"/>
      <c r="AT131" s="10"/>
      <c r="AU131" s="10"/>
      <c r="AV131" s="10"/>
      <c r="AW131" s="10"/>
      <c r="AX131" s="10"/>
      <c r="AY131" s="68"/>
      <c r="AZ131" s="10"/>
      <c r="BA131" s="10"/>
      <c r="BB131" s="10"/>
      <c r="BC131" s="10"/>
      <c r="BD131" s="10"/>
      <c r="BE131" s="10"/>
      <c r="BF131" s="10"/>
      <c r="BG131" s="10"/>
      <c r="BH131" s="10"/>
      <c r="BI131" s="69"/>
      <c r="BJ131" s="10"/>
      <c r="BK131" s="10"/>
      <c r="BL131" s="10"/>
      <c r="BM131" s="10"/>
      <c r="BN131" s="10"/>
      <c r="BO131" s="72"/>
    </row>
    <row r="132" ht="15.75" customHeight="1">
      <c r="A132" s="98"/>
      <c r="B132" s="68"/>
      <c r="C132" s="10"/>
      <c r="D132" s="10"/>
      <c r="E132" s="10"/>
      <c r="F132" s="10"/>
      <c r="G132" s="10"/>
      <c r="H132" s="10"/>
      <c r="I132" s="10"/>
      <c r="J132" s="10"/>
      <c r="K132" s="10"/>
      <c r="L132" s="69"/>
      <c r="M132" s="10"/>
      <c r="N132" s="10"/>
      <c r="O132" s="10"/>
      <c r="P132" s="10"/>
      <c r="Q132" s="10"/>
      <c r="R132" s="10"/>
      <c r="S132" s="68"/>
      <c r="T132" s="10"/>
      <c r="U132" s="10"/>
      <c r="V132" s="10"/>
      <c r="W132" s="10"/>
      <c r="X132" s="10"/>
      <c r="Y132" s="10"/>
      <c r="Z132" s="10"/>
      <c r="AA132" s="10"/>
      <c r="AB132" s="10"/>
      <c r="AC132" s="10"/>
      <c r="AD132" s="10"/>
      <c r="AE132" s="69"/>
      <c r="AF132" s="10"/>
      <c r="AG132" s="10"/>
      <c r="AH132" s="10"/>
      <c r="AI132" s="68"/>
      <c r="AJ132" s="10"/>
      <c r="AK132" s="10"/>
      <c r="AL132" s="10"/>
      <c r="AM132" s="10"/>
      <c r="AN132" s="10"/>
      <c r="AO132" s="10"/>
      <c r="AP132" s="10"/>
      <c r="AQ132" s="10"/>
      <c r="AR132" s="10"/>
      <c r="AS132" s="10"/>
      <c r="AT132" s="10"/>
      <c r="AU132" s="10"/>
      <c r="AV132" s="10"/>
      <c r="AW132" s="10"/>
      <c r="AX132" s="10"/>
      <c r="AY132" s="68"/>
      <c r="AZ132" s="10"/>
      <c r="BA132" s="10"/>
      <c r="BB132" s="10"/>
      <c r="BC132" s="10"/>
      <c r="BD132" s="10"/>
      <c r="BE132" s="10"/>
      <c r="BF132" s="10"/>
      <c r="BG132" s="10"/>
      <c r="BH132" s="10"/>
      <c r="BI132" s="69"/>
      <c r="BJ132" s="10"/>
      <c r="BK132" s="10"/>
      <c r="BL132" s="10"/>
      <c r="BM132" s="10"/>
      <c r="BN132" s="10"/>
      <c r="BO132" s="72"/>
    </row>
    <row r="133" ht="15.75" customHeight="1">
      <c r="A133" s="98"/>
      <c r="B133" s="68"/>
      <c r="C133" s="10"/>
      <c r="D133" s="10"/>
      <c r="E133" s="10"/>
      <c r="F133" s="10"/>
      <c r="G133" s="10"/>
      <c r="H133" s="10"/>
      <c r="I133" s="10"/>
      <c r="J133" s="10"/>
      <c r="K133" s="10"/>
      <c r="L133" s="69"/>
      <c r="M133" s="10"/>
      <c r="N133" s="10"/>
      <c r="O133" s="10"/>
      <c r="P133" s="10"/>
      <c r="Q133" s="10"/>
      <c r="R133" s="10"/>
      <c r="S133" s="68"/>
      <c r="T133" s="10"/>
      <c r="U133" s="10"/>
      <c r="V133" s="10"/>
      <c r="W133" s="10"/>
      <c r="X133" s="10"/>
      <c r="Y133" s="10"/>
      <c r="Z133" s="10"/>
      <c r="AA133" s="10"/>
      <c r="AB133" s="10"/>
      <c r="AC133" s="10"/>
      <c r="AD133" s="10"/>
      <c r="AE133" s="69"/>
      <c r="AF133" s="10"/>
      <c r="AG133" s="10"/>
      <c r="AH133" s="10"/>
      <c r="AI133" s="68"/>
      <c r="AJ133" s="10"/>
      <c r="AK133" s="10"/>
      <c r="AL133" s="10"/>
      <c r="AM133" s="10"/>
      <c r="AN133" s="10"/>
      <c r="AO133" s="10"/>
      <c r="AP133" s="10"/>
      <c r="AQ133" s="10"/>
      <c r="AR133" s="10"/>
      <c r="AS133" s="10"/>
      <c r="AT133" s="10"/>
      <c r="AU133" s="10"/>
      <c r="AV133" s="10"/>
      <c r="AW133" s="10"/>
      <c r="AX133" s="10"/>
      <c r="AY133" s="68"/>
      <c r="AZ133" s="10"/>
      <c r="BA133" s="10"/>
      <c r="BB133" s="10"/>
      <c r="BC133" s="10"/>
      <c r="BD133" s="10"/>
      <c r="BE133" s="10"/>
      <c r="BF133" s="10"/>
      <c r="BG133" s="10"/>
      <c r="BH133" s="10"/>
      <c r="BI133" s="69"/>
      <c r="BJ133" s="10"/>
      <c r="BK133" s="10"/>
      <c r="BL133" s="10"/>
      <c r="BM133" s="10"/>
      <c r="BN133" s="10"/>
      <c r="BO133" s="72"/>
    </row>
    <row r="134" ht="15.75" customHeight="1">
      <c r="A134" s="98"/>
      <c r="B134" s="68"/>
      <c r="C134" s="10"/>
      <c r="D134" s="10"/>
      <c r="E134" s="10"/>
      <c r="F134" s="10"/>
      <c r="G134" s="10"/>
      <c r="H134" s="10"/>
      <c r="I134" s="10"/>
      <c r="J134" s="10"/>
      <c r="K134" s="10"/>
      <c r="L134" s="69"/>
      <c r="M134" s="10"/>
      <c r="N134" s="10"/>
      <c r="O134" s="10"/>
      <c r="P134" s="10"/>
      <c r="Q134" s="10"/>
      <c r="R134" s="10"/>
      <c r="S134" s="68"/>
      <c r="T134" s="10"/>
      <c r="U134" s="10"/>
      <c r="V134" s="10"/>
      <c r="W134" s="10"/>
      <c r="X134" s="10"/>
      <c r="Y134" s="10"/>
      <c r="Z134" s="10"/>
      <c r="AA134" s="10"/>
      <c r="AB134" s="10"/>
      <c r="AC134" s="10"/>
      <c r="AD134" s="10"/>
      <c r="AE134" s="69"/>
      <c r="AF134" s="10"/>
      <c r="AG134" s="10"/>
      <c r="AH134" s="10"/>
      <c r="AI134" s="68"/>
      <c r="AJ134" s="10"/>
      <c r="AK134" s="10"/>
      <c r="AL134" s="10"/>
      <c r="AM134" s="10"/>
      <c r="AN134" s="10"/>
      <c r="AO134" s="10"/>
      <c r="AP134" s="10"/>
      <c r="AQ134" s="10"/>
      <c r="AR134" s="10"/>
      <c r="AS134" s="10"/>
      <c r="AT134" s="10"/>
      <c r="AU134" s="10"/>
      <c r="AV134" s="10"/>
      <c r="AW134" s="10"/>
      <c r="AX134" s="10"/>
      <c r="AY134" s="68"/>
      <c r="AZ134" s="10"/>
      <c r="BA134" s="10"/>
      <c r="BB134" s="10"/>
      <c r="BC134" s="10"/>
      <c r="BD134" s="10"/>
      <c r="BE134" s="10"/>
      <c r="BF134" s="10"/>
      <c r="BG134" s="10"/>
      <c r="BH134" s="10"/>
      <c r="BI134" s="69"/>
      <c r="BJ134" s="10"/>
      <c r="BK134" s="10"/>
      <c r="BL134" s="10"/>
      <c r="BM134" s="10"/>
      <c r="BN134" s="10"/>
      <c r="BO134" s="72"/>
    </row>
    <row r="135" ht="15.75" customHeight="1">
      <c r="A135" s="98"/>
      <c r="B135" s="68"/>
      <c r="C135" s="10"/>
      <c r="D135" s="10"/>
      <c r="E135" s="10"/>
      <c r="F135" s="10"/>
      <c r="G135" s="10"/>
      <c r="H135" s="10"/>
      <c r="I135" s="10"/>
      <c r="J135" s="10"/>
      <c r="K135" s="10"/>
      <c r="L135" s="69"/>
      <c r="M135" s="10"/>
      <c r="N135" s="10"/>
      <c r="O135" s="10"/>
      <c r="P135" s="10"/>
      <c r="Q135" s="10"/>
      <c r="R135" s="10"/>
      <c r="S135" s="68"/>
      <c r="T135" s="10"/>
      <c r="U135" s="10"/>
      <c r="V135" s="10"/>
      <c r="W135" s="10"/>
      <c r="X135" s="10"/>
      <c r="Y135" s="10"/>
      <c r="Z135" s="10"/>
      <c r="AA135" s="10"/>
      <c r="AB135" s="10"/>
      <c r="AC135" s="10"/>
      <c r="AD135" s="10"/>
      <c r="AE135" s="69"/>
      <c r="AF135" s="10"/>
      <c r="AG135" s="10"/>
      <c r="AH135" s="10"/>
      <c r="AI135" s="68"/>
      <c r="AJ135" s="10"/>
      <c r="AK135" s="10"/>
      <c r="AL135" s="10"/>
      <c r="AM135" s="10"/>
      <c r="AN135" s="10"/>
      <c r="AO135" s="10"/>
      <c r="AP135" s="10"/>
      <c r="AQ135" s="10"/>
      <c r="AR135" s="10"/>
      <c r="AS135" s="10"/>
      <c r="AT135" s="10"/>
      <c r="AU135" s="10"/>
      <c r="AV135" s="10"/>
      <c r="AW135" s="10"/>
      <c r="AX135" s="10"/>
      <c r="AY135" s="68"/>
      <c r="AZ135" s="10"/>
      <c r="BA135" s="10"/>
      <c r="BB135" s="10"/>
      <c r="BC135" s="10"/>
      <c r="BD135" s="10"/>
      <c r="BE135" s="10"/>
      <c r="BF135" s="10"/>
      <c r="BG135" s="10"/>
      <c r="BH135" s="10"/>
      <c r="BI135" s="69"/>
      <c r="BJ135" s="10"/>
      <c r="BK135" s="10"/>
      <c r="BL135" s="10"/>
      <c r="BM135" s="10"/>
      <c r="BN135" s="10"/>
      <c r="BO135" s="72"/>
    </row>
    <row r="136" ht="15.75" customHeight="1">
      <c r="A136" s="98"/>
      <c r="B136" s="68"/>
      <c r="C136" s="10"/>
      <c r="D136" s="10"/>
      <c r="E136" s="10"/>
      <c r="F136" s="10"/>
      <c r="G136" s="10"/>
      <c r="H136" s="10"/>
      <c r="I136" s="10"/>
      <c r="J136" s="10"/>
      <c r="K136" s="10"/>
      <c r="L136" s="69"/>
      <c r="M136" s="10"/>
      <c r="N136" s="10"/>
      <c r="O136" s="10"/>
      <c r="P136" s="10"/>
      <c r="Q136" s="10"/>
      <c r="R136" s="10"/>
      <c r="S136" s="68"/>
      <c r="T136" s="10"/>
      <c r="U136" s="10"/>
      <c r="V136" s="10"/>
      <c r="W136" s="10"/>
      <c r="X136" s="10"/>
      <c r="Y136" s="10"/>
      <c r="Z136" s="10"/>
      <c r="AA136" s="10"/>
      <c r="AB136" s="10"/>
      <c r="AC136" s="10"/>
      <c r="AD136" s="10"/>
      <c r="AE136" s="69"/>
      <c r="AF136" s="10"/>
      <c r="AG136" s="10"/>
      <c r="AH136" s="10"/>
      <c r="AI136" s="68"/>
      <c r="AJ136" s="10"/>
      <c r="AK136" s="10"/>
      <c r="AL136" s="10"/>
      <c r="AM136" s="10"/>
      <c r="AN136" s="10"/>
      <c r="AO136" s="10"/>
      <c r="AP136" s="10"/>
      <c r="AQ136" s="10"/>
      <c r="AR136" s="10"/>
      <c r="AS136" s="10"/>
      <c r="AT136" s="10"/>
      <c r="AU136" s="10"/>
      <c r="AV136" s="10"/>
      <c r="AW136" s="10"/>
      <c r="AX136" s="10"/>
      <c r="AY136" s="68"/>
      <c r="AZ136" s="10"/>
      <c r="BA136" s="10"/>
      <c r="BB136" s="10"/>
      <c r="BC136" s="10"/>
      <c r="BD136" s="10"/>
      <c r="BE136" s="10"/>
      <c r="BF136" s="10"/>
      <c r="BG136" s="10"/>
      <c r="BH136" s="10"/>
      <c r="BI136" s="69"/>
      <c r="BJ136" s="10"/>
      <c r="BK136" s="10"/>
      <c r="BL136" s="10"/>
      <c r="BM136" s="10"/>
      <c r="BN136" s="10"/>
      <c r="BO136" s="72"/>
    </row>
    <row r="137" ht="15.75" customHeight="1">
      <c r="A137" s="98"/>
      <c r="B137" s="68"/>
      <c r="C137" s="10"/>
      <c r="D137" s="10"/>
      <c r="E137" s="10"/>
      <c r="F137" s="10"/>
      <c r="G137" s="10"/>
      <c r="H137" s="10"/>
      <c r="I137" s="10"/>
      <c r="J137" s="10"/>
      <c r="K137" s="10"/>
      <c r="L137" s="69"/>
      <c r="M137" s="10"/>
      <c r="N137" s="10"/>
      <c r="O137" s="10"/>
      <c r="P137" s="10"/>
      <c r="Q137" s="10"/>
      <c r="R137" s="10"/>
      <c r="S137" s="68"/>
      <c r="T137" s="10"/>
      <c r="U137" s="10"/>
      <c r="V137" s="10"/>
      <c r="W137" s="10"/>
      <c r="X137" s="10"/>
      <c r="Y137" s="10"/>
      <c r="Z137" s="10"/>
      <c r="AA137" s="10"/>
      <c r="AB137" s="10"/>
      <c r="AC137" s="10"/>
      <c r="AD137" s="10"/>
      <c r="AE137" s="69"/>
      <c r="AF137" s="10"/>
      <c r="AG137" s="10"/>
      <c r="AH137" s="10"/>
      <c r="AI137" s="68"/>
      <c r="AJ137" s="10"/>
      <c r="AK137" s="10"/>
      <c r="AL137" s="10"/>
      <c r="AM137" s="10"/>
      <c r="AN137" s="10"/>
      <c r="AO137" s="10"/>
      <c r="AP137" s="10"/>
      <c r="AQ137" s="10"/>
      <c r="AR137" s="10"/>
      <c r="AS137" s="10"/>
      <c r="AT137" s="10"/>
      <c r="AU137" s="10"/>
      <c r="AV137" s="10"/>
      <c r="AW137" s="10"/>
      <c r="AX137" s="10"/>
      <c r="AY137" s="68"/>
      <c r="AZ137" s="10"/>
      <c r="BA137" s="10"/>
      <c r="BB137" s="10"/>
      <c r="BC137" s="10"/>
      <c r="BD137" s="10"/>
      <c r="BE137" s="10"/>
      <c r="BF137" s="10"/>
      <c r="BG137" s="10"/>
      <c r="BH137" s="10"/>
      <c r="BI137" s="69"/>
      <c r="BJ137" s="10"/>
      <c r="BK137" s="10"/>
      <c r="BL137" s="10"/>
      <c r="BM137" s="10"/>
      <c r="BN137" s="10"/>
      <c r="BO137" s="72"/>
    </row>
    <row r="138" ht="15.75" customHeight="1">
      <c r="A138" s="98"/>
      <c r="B138" s="68"/>
      <c r="C138" s="10"/>
      <c r="D138" s="10"/>
      <c r="E138" s="10"/>
      <c r="F138" s="10"/>
      <c r="G138" s="10"/>
      <c r="H138" s="10"/>
      <c r="I138" s="10"/>
      <c r="J138" s="10"/>
      <c r="K138" s="10"/>
      <c r="L138" s="69"/>
      <c r="M138" s="10"/>
      <c r="N138" s="10"/>
      <c r="O138" s="10"/>
      <c r="P138" s="10"/>
      <c r="Q138" s="10"/>
      <c r="R138" s="10"/>
      <c r="S138" s="68"/>
      <c r="T138" s="10"/>
      <c r="U138" s="10"/>
      <c r="V138" s="10"/>
      <c r="W138" s="10"/>
      <c r="X138" s="10"/>
      <c r="Y138" s="10"/>
      <c r="Z138" s="10"/>
      <c r="AA138" s="10"/>
      <c r="AB138" s="10"/>
      <c r="AC138" s="10"/>
      <c r="AD138" s="10"/>
      <c r="AE138" s="69"/>
      <c r="AF138" s="10"/>
      <c r="AG138" s="10"/>
      <c r="AH138" s="10"/>
      <c r="AI138" s="68"/>
      <c r="AJ138" s="10"/>
      <c r="AK138" s="10"/>
      <c r="AL138" s="10"/>
      <c r="AM138" s="10"/>
      <c r="AN138" s="10"/>
      <c r="AO138" s="10"/>
      <c r="AP138" s="10"/>
      <c r="AQ138" s="10"/>
      <c r="AR138" s="10"/>
      <c r="AS138" s="10"/>
      <c r="AT138" s="10"/>
      <c r="AU138" s="10"/>
      <c r="AV138" s="10"/>
      <c r="AW138" s="10"/>
      <c r="AX138" s="10"/>
      <c r="AY138" s="68"/>
      <c r="AZ138" s="10"/>
      <c r="BA138" s="10"/>
      <c r="BB138" s="10"/>
      <c r="BC138" s="10"/>
      <c r="BD138" s="10"/>
      <c r="BE138" s="10"/>
      <c r="BF138" s="10"/>
      <c r="BG138" s="10"/>
      <c r="BH138" s="10"/>
      <c r="BI138" s="69"/>
      <c r="BJ138" s="10"/>
      <c r="BK138" s="10"/>
      <c r="BL138" s="10"/>
      <c r="BM138" s="10"/>
      <c r="BN138" s="10"/>
      <c r="BO138" s="72"/>
    </row>
    <row r="139" ht="15.75" customHeight="1">
      <c r="A139" s="98"/>
      <c r="B139" s="68"/>
      <c r="C139" s="10"/>
      <c r="D139" s="10"/>
      <c r="E139" s="10"/>
      <c r="F139" s="10"/>
      <c r="G139" s="10"/>
      <c r="H139" s="10"/>
      <c r="I139" s="10"/>
      <c r="J139" s="10"/>
      <c r="K139" s="10"/>
      <c r="L139" s="69"/>
      <c r="M139" s="10"/>
      <c r="N139" s="10"/>
      <c r="O139" s="10"/>
      <c r="P139" s="10"/>
      <c r="Q139" s="10"/>
      <c r="R139" s="10"/>
      <c r="S139" s="68"/>
      <c r="T139" s="10"/>
      <c r="U139" s="10"/>
      <c r="V139" s="10"/>
      <c r="W139" s="10"/>
      <c r="X139" s="10"/>
      <c r="Y139" s="10"/>
      <c r="Z139" s="10"/>
      <c r="AA139" s="10"/>
      <c r="AB139" s="10"/>
      <c r="AC139" s="10"/>
      <c r="AD139" s="10"/>
      <c r="AE139" s="69"/>
      <c r="AF139" s="10"/>
      <c r="AG139" s="10"/>
      <c r="AH139" s="10"/>
      <c r="AI139" s="68"/>
      <c r="AJ139" s="10"/>
      <c r="AK139" s="10"/>
      <c r="AL139" s="10"/>
      <c r="AM139" s="10"/>
      <c r="AN139" s="10"/>
      <c r="AO139" s="10"/>
      <c r="AP139" s="10"/>
      <c r="AQ139" s="10"/>
      <c r="AR139" s="10"/>
      <c r="AS139" s="10"/>
      <c r="AT139" s="10"/>
      <c r="AU139" s="10"/>
      <c r="AV139" s="10"/>
      <c r="AW139" s="10"/>
      <c r="AX139" s="10"/>
      <c r="AY139" s="68"/>
      <c r="AZ139" s="10"/>
      <c r="BA139" s="10"/>
      <c r="BB139" s="10"/>
      <c r="BC139" s="10"/>
      <c r="BD139" s="10"/>
      <c r="BE139" s="10"/>
      <c r="BF139" s="10"/>
      <c r="BG139" s="10"/>
      <c r="BH139" s="10"/>
      <c r="BI139" s="69"/>
      <c r="BJ139" s="10"/>
      <c r="BK139" s="10"/>
      <c r="BL139" s="10"/>
      <c r="BM139" s="10"/>
      <c r="BN139" s="10"/>
      <c r="BO139" s="72"/>
    </row>
    <row r="140" ht="15.75" customHeight="1">
      <c r="A140" s="98"/>
      <c r="B140" s="68"/>
      <c r="C140" s="10"/>
      <c r="D140" s="10"/>
      <c r="E140" s="10"/>
      <c r="F140" s="10"/>
      <c r="G140" s="10"/>
      <c r="H140" s="10"/>
      <c r="I140" s="10"/>
      <c r="J140" s="10"/>
      <c r="K140" s="10"/>
      <c r="L140" s="69"/>
      <c r="M140" s="10"/>
      <c r="N140" s="10"/>
      <c r="O140" s="10"/>
      <c r="P140" s="10"/>
      <c r="Q140" s="10"/>
      <c r="R140" s="10"/>
      <c r="S140" s="68"/>
      <c r="T140" s="10"/>
      <c r="U140" s="10"/>
      <c r="V140" s="10"/>
      <c r="W140" s="10"/>
      <c r="X140" s="10"/>
      <c r="Y140" s="10"/>
      <c r="Z140" s="10"/>
      <c r="AA140" s="10"/>
      <c r="AB140" s="10"/>
      <c r="AC140" s="10"/>
      <c r="AD140" s="10"/>
      <c r="AE140" s="69"/>
      <c r="AF140" s="10"/>
      <c r="AG140" s="10"/>
      <c r="AH140" s="10"/>
      <c r="AI140" s="68"/>
      <c r="AJ140" s="10"/>
      <c r="AK140" s="10"/>
      <c r="AL140" s="10"/>
      <c r="AM140" s="10"/>
      <c r="AN140" s="10"/>
      <c r="AO140" s="10"/>
      <c r="AP140" s="10"/>
      <c r="AQ140" s="10"/>
      <c r="AR140" s="10"/>
      <c r="AS140" s="10"/>
      <c r="AT140" s="10"/>
      <c r="AU140" s="10"/>
      <c r="AV140" s="10"/>
      <c r="AW140" s="10"/>
      <c r="AX140" s="10"/>
      <c r="AY140" s="68"/>
      <c r="AZ140" s="10"/>
      <c r="BA140" s="10"/>
      <c r="BB140" s="10"/>
      <c r="BC140" s="10"/>
      <c r="BD140" s="10"/>
      <c r="BE140" s="10"/>
      <c r="BF140" s="10"/>
      <c r="BG140" s="10"/>
      <c r="BH140" s="10"/>
      <c r="BI140" s="69"/>
      <c r="BJ140" s="10"/>
      <c r="BK140" s="10"/>
      <c r="BL140" s="10"/>
      <c r="BM140" s="10"/>
      <c r="BN140" s="10"/>
      <c r="BO140" s="72"/>
    </row>
    <row r="141" ht="15.75" customHeight="1">
      <c r="A141" s="98"/>
      <c r="B141" s="68"/>
      <c r="C141" s="10"/>
      <c r="D141" s="10"/>
      <c r="E141" s="10"/>
      <c r="F141" s="10"/>
      <c r="G141" s="10"/>
      <c r="H141" s="10"/>
      <c r="I141" s="10"/>
      <c r="J141" s="10"/>
      <c r="K141" s="10"/>
      <c r="L141" s="69"/>
      <c r="M141" s="10"/>
      <c r="N141" s="10"/>
      <c r="O141" s="10"/>
      <c r="P141" s="10"/>
      <c r="Q141" s="10"/>
      <c r="R141" s="10"/>
      <c r="S141" s="68"/>
      <c r="T141" s="10"/>
      <c r="U141" s="10"/>
      <c r="V141" s="10"/>
      <c r="W141" s="10"/>
      <c r="X141" s="10"/>
      <c r="Y141" s="10"/>
      <c r="Z141" s="10"/>
      <c r="AA141" s="10"/>
      <c r="AB141" s="10"/>
      <c r="AC141" s="10"/>
      <c r="AD141" s="10"/>
      <c r="AE141" s="69"/>
      <c r="AF141" s="10"/>
      <c r="AG141" s="10"/>
      <c r="AH141" s="10"/>
      <c r="AI141" s="68"/>
      <c r="AJ141" s="10"/>
      <c r="AK141" s="10"/>
      <c r="AL141" s="10"/>
      <c r="AM141" s="10"/>
      <c r="AN141" s="10"/>
      <c r="AO141" s="10"/>
      <c r="AP141" s="10"/>
      <c r="AQ141" s="10"/>
      <c r="AR141" s="10"/>
      <c r="AS141" s="10"/>
      <c r="AT141" s="10"/>
      <c r="AU141" s="10"/>
      <c r="AV141" s="10"/>
      <c r="AW141" s="10"/>
      <c r="AX141" s="10"/>
      <c r="AY141" s="68"/>
      <c r="AZ141" s="10"/>
      <c r="BA141" s="10"/>
      <c r="BB141" s="10"/>
      <c r="BC141" s="10"/>
      <c r="BD141" s="10"/>
      <c r="BE141" s="10"/>
      <c r="BF141" s="10"/>
      <c r="BG141" s="10"/>
      <c r="BH141" s="10"/>
      <c r="BI141" s="69"/>
      <c r="BJ141" s="10"/>
      <c r="BK141" s="10"/>
      <c r="BL141" s="10"/>
      <c r="BM141" s="10"/>
      <c r="BN141" s="10"/>
      <c r="BO141" s="72"/>
    </row>
    <row r="142" ht="15.75" customHeight="1">
      <c r="A142" s="98"/>
      <c r="B142" s="68"/>
      <c r="C142" s="10"/>
      <c r="D142" s="10"/>
      <c r="E142" s="10"/>
      <c r="F142" s="10"/>
      <c r="G142" s="10"/>
      <c r="H142" s="10"/>
      <c r="I142" s="10"/>
      <c r="J142" s="10"/>
      <c r="K142" s="10"/>
      <c r="L142" s="69"/>
      <c r="M142" s="10"/>
      <c r="N142" s="10"/>
      <c r="O142" s="10"/>
      <c r="P142" s="10"/>
      <c r="Q142" s="10"/>
      <c r="R142" s="10"/>
      <c r="S142" s="68"/>
      <c r="T142" s="10"/>
      <c r="U142" s="10"/>
      <c r="V142" s="10"/>
      <c r="W142" s="10"/>
      <c r="X142" s="10"/>
      <c r="Y142" s="10"/>
      <c r="Z142" s="10"/>
      <c r="AA142" s="10"/>
      <c r="AB142" s="10"/>
      <c r="AC142" s="10"/>
      <c r="AD142" s="10"/>
      <c r="AE142" s="69"/>
      <c r="AF142" s="10"/>
      <c r="AG142" s="10"/>
      <c r="AH142" s="10"/>
      <c r="AI142" s="68"/>
      <c r="AJ142" s="10"/>
      <c r="AK142" s="10"/>
      <c r="AL142" s="10"/>
      <c r="AM142" s="10"/>
      <c r="AN142" s="10"/>
      <c r="AO142" s="10"/>
      <c r="AP142" s="10"/>
      <c r="AQ142" s="10"/>
      <c r="AR142" s="10"/>
      <c r="AS142" s="10"/>
      <c r="AT142" s="10"/>
      <c r="AU142" s="10"/>
      <c r="AV142" s="10"/>
      <c r="AW142" s="10"/>
      <c r="AX142" s="10"/>
      <c r="AY142" s="68"/>
      <c r="AZ142" s="10"/>
      <c r="BA142" s="10"/>
      <c r="BB142" s="10"/>
      <c r="BC142" s="10"/>
      <c r="BD142" s="10"/>
      <c r="BE142" s="10"/>
      <c r="BF142" s="10"/>
      <c r="BG142" s="10"/>
      <c r="BH142" s="10"/>
      <c r="BI142" s="69"/>
      <c r="BJ142" s="10"/>
      <c r="BK142" s="10"/>
      <c r="BL142" s="10"/>
      <c r="BM142" s="10"/>
      <c r="BN142" s="10"/>
      <c r="BO142" s="72"/>
    </row>
    <row r="143" ht="15.75" customHeight="1">
      <c r="A143" s="98"/>
      <c r="B143" s="68"/>
      <c r="C143" s="10"/>
      <c r="D143" s="10"/>
      <c r="E143" s="10"/>
      <c r="F143" s="10"/>
      <c r="G143" s="10"/>
      <c r="H143" s="10"/>
      <c r="I143" s="10"/>
      <c r="J143" s="10"/>
      <c r="K143" s="10"/>
      <c r="L143" s="69"/>
      <c r="M143" s="10"/>
      <c r="N143" s="10"/>
      <c r="O143" s="10"/>
      <c r="P143" s="10"/>
      <c r="Q143" s="10"/>
      <c r="R143" s="10"/>
      <c r="S143" s="68"/>
      <c r="T143" s="10"/>
      <c r="U143" s="10"/>
      <c r="V143" s="10"/>
      <c r="W143" s="10"/>
      <c r="X143" s="10"/>
      <c r="Y143" s="10"/>
      <c r="Z143" s="10"/>
      <c r="AA143" s="10"/>
      <c r="AB143" s="10"/>
      <c r="AC143" s="10"/>
      <c r="AD143" s="10"/>
      <c r="AE143" s="69"/>
      <c r="AF143" s="10"/>
      <c r="AG143" s="10"/>
      <c r="AH143" s="10"/>
      <c r="AI143" s="68"/>
      <c r="AJ143" s="10"/>
      <c r="AK143" s="10"/>
      <c r="AL143" s="10"/>
      <c r="AM143" s="10"/>
      <c r="AN143" s="10"/>
      <c r="AO143" s="10"/>
      <c r="AP143" s="10"/>
      <c r="AQ143" s="10"/>
      <c r="AR143" s="10"/>
      <c r="AS143" s="10"/>
      <c r="AT143" s="10"/>
      <c r="AU143" s="10"/>
      <c r="AV143" s="10"/>
      <c r="AW143" s="10"/>
      <c r="AX143" s="10"/>
      <c r="AY143" s="68"/>
      <c r="AZ143" s="10"/>
      <c r="BA143" s="10"/>
      <c r="BB143" s="10"/>
      <c r="BC143" s="10"/>
      <c r="BD143" s="10"/>
      <c r="BE143" s="10"/>
      <c r="BF143" s="10"/>
      <c r="BG143" s="10"/>
      <c r="BH143" s="10"/>
      <c r="BI143" s="69"/>
      <c r="BJ143" s="10"/>
      <c r="BK143" s="10"/>
      <c r="BL143" s="10"/>
      <c r="BM143" s="10"/>
      <c r="BN143" s="10"/>
      <c r="BO143" s="72"/>
    </row>
    <row r="144" ht="15.75" customHeight="1">
      <c r="A144" s="98"/>
      <c r="B144" s="68"/>
      <c r="C144" s="10"/>
      <c r="D144" s="10"/>
      <c r="E144" s="10"/>
      <c r="F144" s="10"/>
      <c r="G144" s="10"/>
      <c r="H144" s="10"/>
      <c r="I144" s="10"/>
      <c r="J144" s="10"/>
      <c r="K144" s="10"/>
      <c r="L144" s="69"/>
      <c r="M144" s="10"/>
      <c r="N144" s="10"/>
      <c r="O144" s="10"/>
      <c r="P144" s="10"/>
      <c r="Q144" s="10"/>
      <c r="R144" s="10"/>
      <c r="S144" s="68"/>
      <c r="T144" s="10"/>
      <c r="U144" s="10"/>
      <c r="V144" s="10"/>
      <c r="W144" s="10"/>
      <c r="X144" s="10"/>
      <c r="Y144" s="10"/>
      <c r="Z144" s="10"/>
      <c r="AA144" s="10"/>
      <c r="AB144" s="10"/>
      <c r="AC144" s="10"/>
      <c r="AD144" s="10"/>
      <c r="AE144" s="69"/>
      <c r="AF144" s="10"/>
      <c r="AG144" s="10"/>
      <c r="AH144" s="10"/>
      <c r="AI144" s="68"/>
      <c r="AJ144" s="10"/>
      <c r="AK144" s="10"/>
      <c r="AL144" s="10"/>
      <c r="AM144" s="10"/>
      <c r="AN144" s="10"/>
      <c r="AO144" s="10"/>
      <c r="AP144" s="10"/>
      <c r="AQ144" s="10"/>
      <c r="AR144" s="10"/>
      <c r="AS144" s="10"/>
      <c r="AT144" s="10"/>
      <c r="AU144" s="10"/>
      <c r="AV144" s="10"/>
      <c r="AW144" s="10"/>
      <c r="AX144" s="10"/>
      <c r="AY144" s="68"/>
      <c r="AZ144" s="10"/>
      <c r="BA144" s="10"/>
      <c r="BB144" s="10"/>
      <c r="BC144" s="10"/>
      <c r="BD144" s="10"/>
      <c r="BE144" s="10"/>
      <c r="BF144" s="10"/>
      <c r="BG144" s="10"/>
      <c r="BH144" s="10"/>
      <c r="BI144" s="69"/>
      <c r="BJ144" s="10"/>
      <c r="BK144" s="10"/>
      <c r="BL144" s="10"/>
      <c r="BM144" s="10"/>
      <c r="BN144" s="10"/>
      <c r="BO144" s="72"/>
    </row>
    <row r="145" ht="15.75" customHeight="1">
      <c r="A145" s="98"/>
      <c r="B145" s="68"/>
      <c r="C145" s="10"/>
      <c r="D145" s="10"/>
      <c r="E145" s="10"/>
      <c r="F145" s="10"/>
      <c r="G145" s="10"/>
      <c r="H145" s="10"/>
      <c r="I145" s="10"/>
      <c r="J145" s="10"/>
      <c r="K145" s="10"/>
      <c r="L145" s="69"/>
      <c r="M145" s="10"/>
      <c r="N145" s="10"/>
      <c r="O145" s="10"/>
      <c r="P145" s="10"/>
      <c r="Q145" s="10"/>
      <c r="R145" s="10"/>
      <c r="S145" s="68"/>
      <c r="T145" s="10"/>
      <c r="U145" s="10"/>
      <c r="V145" s="10"/>
      <c r="W145" s="10"/>
      <c r="X145" s="10"/>
      <c r="Y145" s="10"/>
      <c r="Z145" s="10"/>
      <c r="AA145" s="10"/>
      <c r="AB145" s="10"/>
      <c r="AC145" s="10"/>
      <c r="AD145" s="10"/>
      <c r="AE145" s="69"/>
      <c r="AF145" s="10"/>
      <c r="AG145" s="10"/>
      <c r="AH145" s="10"/>
      <c r="AI145" s="68"/>
      <c r="AJ145" s="10"/>
      <c r="AK145" s="10"/>
      <c r="AL145" s="10"/>
      <c r="AM145" s="10"/>
      <c r="AN145" s="10"/>
      <c r="AO145" s="10"/>
      <c r="AP145" s="10"/>
      <c r="AQ145" s="10"/>
      <c r="AR145" s="10"/>
      <c r="AS145" s="10"/>
      <c r="AT145" s="10"/>
      <c r="AU145" s="10"/>
      <c r="AV145" s="10"/>
      <c r="AW145" s="10"/>
      <c r="AX145" s="10"/>
      <c r="AY145" s="68"/>
      <c r="AZ145" s="10"/>
      <c r="BA145" s="10"/>
      <c r="BB145" s="10"/>
      <c r="BC145" s="10"/>
      <c r="BD145" s="10"/>
      <c r="BE145" s="10"/>
      <c r="BF145" s="10"/>
      <c r="BG145" s="10"/>
      <c r="BH145" s="10"/>
      <c r="BI145" s="69"/>
      <c r="BJ145" s="10"/>
      <c r="BK145" s="10"/>
      <c r="BL145" s="10"/>
      <c r="BM145" s="10"/>
      <c r="BN145" s="10"/>
      <c r="BO145" s="72"/>
    </row>
    <row r="146" ht="15.75" customHeight="1">
      <c r="A146" s="98"/>
      <c r="B146" s="68"/>
      <c r="C146" s="10"/>
      <c r="D146" s="10"/>
      <c r="E146" s="10"/>
      <c r="F146" s="10"/>
      <c r="G146" s="10"/>
      <c r="H146" s="10"/>
      <c r="I146" s="10"/>
      <c r="J146" s="10"/>
      <c r="K146" s="10"/>
      <c r="L146" s="69"/>
      <c r="M146" s="10"/>
      <c r="N146" s="10"/>
      <c r="O146" s="10"/>
      <c r="P146" s="10"/>
      <c r="Q146" s="10"/>
      <c r="R146" s="10"/>
      <c r="S146" s="68"/>
      <c r="T146" s="10"/>
      <c r="U146" s="10"/>
      <c r="V146" s="10"/>
      <c r="W146" s="10"/>
      <c r="X146" s="10"/>
      <c r="Y146" s="10"/>
      <c r="Z146" s="10"/>
      <c r="AA146" s="10"/>
      <c r="AB146" s="10"/>
      <c r="AC146" s="10"/>
      <c r="AD146" s="10"/>
      <c r="AE146" s="69"/>
      <c r="AF146" s="10"/>
      <c r="AG146" s="10"/>
      <c r="AH146" s="10"/>
      <c r="AI146" s="68"/>
      <c r="AJ146" s="10"/>
      <c r="AK146" s="10"/>
      <c r="AL146" s="10"/>
      <c r="AM146" s="10"/>
      <c r="AN146" s="10"/>
      <c r="AO146" s="10"/>
      <c r="AP146" s="10"/>
      <c r="AQ146" s="10"/>
      <c r="AR146" s="10"/>
      <c r="AS146" s="10"/>
      <c r="AT146" s="10"/>
      <c r="AU146" s="10"/>
      <c r="AV146" s="10"/>
      <c r="AW146" s="10"/>
      <c r="AX146" s="10"/>
      <c r="AY146" s="68"/>
      <c r="AZ146" s="10"/>
      <c r="BA146" s="10"/>
      <c r="BB146" s="10"/>
      <c r="BC146" s="10"/>
      <c r="BD146" s="10"/>
      <c r="BE146" s="10"/>
      <c r="BF146" s="10"/>
      <c r="BG146" s="10"/>
      <c r="BH146" s="10"/>
      <c r="BI146" s="69"/>
      <c r="BJ146" s="10"/>
      <c r="BK146" s="10"/>
      <c r="BL146" s="10"/>
      <c r="BM146" s="10"/>
      <c r="BN146" s="10"/>
      <c r="BO146" s="72"/>
    </row>
    <row r="147" ht="15.75" customHeight="1">
      <c r="A147" s="98"/>
      <c r="B147" s="68"/>
      <c r="C147" s="10"/>
      <c r="D147" s="10"/>
      <c r="E147" s="10"/>
      <c r="F147" s="10"/>
      <c r="G147" s="10"/>
      <c r="H147" s="10"/>
      <c r="I147" s="10"/>
      <c r="J147" s="10"/>
      <c r="K147" s="10"/>
      <c r="L147" s="69"/>
      <c r="M147" s="10"/>
      <c r="N147" s="10"/>
      <c r="O147" s="10"/>
      <c r="P147" s="10"/>
      <c r="Q147" s="10"/>
      <c r="R147" s="10"/>
      <c r="S147" s="68"/>
      <c r="T147" s="10"/>
      <c r="U147" s="10"/>
      <c r="V147" s="10"/>
      <c r="W147" s="10"/>
      <c r="X147" s="10"/>
      <c r="Y147" s="10"/>
      <c r="Z147" s="10"/>
      <c r="AA147" s="10"/>
      <c r="AB147" s="10"/>
      <c r="AC147" s="10"/>
      <c r="AD147" s="10"/>
      <c r="AE147" s="69"/>
      <c r="AF147" s="10"/>
      <c r="AG147" s="10"/>
      <c r="AH147" s="10"/>
      <c r="AI147" s="68"/>
      <c r="AJ147" s="10"/>
      <c r="AK147" s="10"/>
      <c r="AL147" s="10"/>
      <c r="AM147" s="10"/>
      <c r="AN147" s="10"/>
      <c r="AO147" s="10"/>
      <c r="AP147" s="10"/>
      <c r="AQ147" s="10"/>
      <c r="AR147" s="10"/>
      <c r="AS147" s="10"/>
      <c r="AT147" s="10"/>
      <c r="AU147" s="10"/>
      <c r="AV147" s="10"/>
      <c r="AW147" s="10"/>
      <c r="AX147" s="10"/>
      <c r="AY147" s="68"/>
      <c r="AZ147" s="10"/>
      <c r="BA147" s="10"/>
      <c r="BB147" s="10"/>
      <c r="BC147" s="10"/>
      <c r="BD147" s="10"/>
      <c r="BE147" s="10"/>
      <c r="BF147" s="10"/>
      <c r="BG147" s="10"/>
      <c r="BH147" s="10"/>
      <c r="BI147" s="69"/>
      <c r="BJ147" s="10"/>
      <c r="BK147" s="10"/>
      <c r="BL147" s="10"/>
      <c r="BM147" s="10"/>
      <c r="BN147" s="10"/>
      <c r="BO147" s="72"/>
    </row>
    <row r="148" ht="15.75" customHeight="1">
      <c r="A148" s="98"/>
      <c r="B148" s="68"/>
      <c r="C148" s="10"/>
      <c r="D148" s="10"/>
      <c r="E148" s="10"/>
      <c r="F148" s="10"/>
      <c r="G148" s="10"/>
      <c r="H148" s="10"/>
      <c r="I148" s="10"/>
      <c r="J148" s="10"/>
      <c r="K148" s="10"/>
      <c r="L148" s="69"/>
      <c r="M148" s="10"/>
      <c r="N148" s="10"/>
      <c r="O148" s="10"/>
      <c r="P148" s="10"/>
      <c r="Q148" s="10"/>
      <c r="R148" s="10"/>
      <c r="S148" s="68"/>
      <c r="T148" s="10"/>
      <c r="U148" s="10"/>
      <c r="V148" s="10"/>
      <c r="W148" s="10"/>
      <c r="X148" s="10"/>
      <c r="Y148" s="10"/>
      <c r="Z148" s="10"/>
      <c r="AA148" s="10"/>
      <c r="AB148" s="10"/>
      <c r="AC148" s="10"/>
      <c r="AD148" s="10"/>
      <c r="AE148" s="69"/>
      <c r="AF148" s="10"/>
      <c r="AG148" s="10"/>
      <c r="AH148" s="10"/>
      <c r="AI148" s="68"/>
      <c r="AJ148" s="10"/>
      <c r="AK148" s="10"/>
      <c r="AL148" s="10"/>
      <c r="AM148" s="10"/>
      <c r="AN148" s="10"/>
      <c r="AO148" s="10"/>
      <c r="AP148" s="10"/>
      <c r="AQ148" s="10"/>
      <c r="AR148" s="10"/>
      <c r="AS148" s="10"/>
      <c r="AT148" s="10"/>
      <c r="AU148" s="10"/>
      <c r="AV148" s="10"/>
      <c r="AW148" s="10"/>
      <c r="AX148" s="10"/>
      <c r="AY148" s="68"/>
      <c r="AZ148" s="10"/>
      <c r="BA148" s="10"/>
      <c r="BB148" s="10"/>
      <c r="BC148" s="10"/>
      <c r="BD148" s="10"/>
      <c r="BE148" s="10"/>
      <c r="BF148" s="10"/>
      <c r="BG148" s="10"/>
      <c r="BH148" s="10"/>
      <c r="BI148" s="69"/>
      <c r="BJ148" s="10"/>
      <c r="BK148" s="10"/>
      <c r="BL148" s="10"/>
      <c r="BM148" s="10"/>
      <c r="BN148" s="10"/>
      <c r="BO148" s="72"/>
    </row>
    <row r="149" ht="15.75" customHeight="1">
      <c r="A149" s="98"/>
      <c r="B149" s="68"/>
      <c r="C149" s="10"/>
      <c r="D149" s="10"/>
      <c r="E149" s="10"/>
      <c r="F149" s="10"/>
      <c r="G149" s="10"/>
      <c r="H149" s="10"/>
      <c r="I149" s="10"/>
      <c r="J149" s="10"/>
      <c r="K149" s="10"/>
      <c r="L149" s="69"/>
      <c r="M149" s="10"/>
      <c r="N149" s="10"/>
      <c r="O149" s="10"/>
      <c r="P149" s="10"/>
      <c r="Q149" s="10"/>
      <c r="R149" s="10"/>
      <c r="S149" s="68"/>
      <c r="T149" s="10"/>
      <c r="U149" s="10"/>
      <c r="V149" s="10"/>
      <c r="W149" s="10"/>
      <c r="X149" s="10"/>
      <c r="Y149" s="10"/>
      <c r="Z149" s="10"/>
      <c r="AA149" s="10"/>
      <c r="AB149" s="10"/>
      <c r="AC149" s="10"/>
      <c r="AD149" s="10"/>
      <c r="AE149" s="69"/>
      <c r="AF149" s="10"/>
      <c r="AG149" s="10"/>
      <c r="AH149" s="10"/>
      <c r="AI149" s="68"/>
      <c r="AJ149" s="10"/>
      <c r="AK149" s="10"/>
      <c r="AL149" s="10"/>
      <c r="AM149" s="10"/>
      <c r="AN149" s="10"/>
      <c r="AO149" s="10"/>
      <c r="AP149" s="10"/>
      <c r="AQ149" s="10"/>
      <c r="AR149" s="10"/>
      <c r="AS149" s="10"/>
      <c r="AT149" s="10"/>
      <c r="AU149" s="10"/>
      <c r="AV149" s="10"/>
      <c r="AW149" s="10"/>
      <c r="AX149" s="10"/>
      <c r="AY149" s="68"/>
      <c r="AZ149" s="10"/>
      <c r="BA149" s="10"/>
      <c r="BB149" s="10"/>
      <c r="BC149" s="10"/>
      <c r="BD149" s="10"/>
      <c r="BE149" s="10"/>
      <c r="BF149" s="10"/>
      <c r="BG149" s="10"/>
      <c r="BH149" s="10"/>
      <c r="BI149" s="69"/>
      <c r="BJ149" s="10"/>
      <c r="BK149" s="10"/>
      <c r="BL149" s="10"/>
      <c r="BM149" s="10"/>
      <c r="BN149" s="10"/>
      <c r="BO149" s="72"/>
    </row>
    <row r="150" ht="15.75" customHeight="1">
      <c r="A150" s="98"/>
      <c r="B150" s="68"/>
      <c r="C150" s="10"/>
      <c r="D150" s="10"/>
      <c r="E150" s="10"/>
      <c r="F150" s="10"/>
      <c r="G150" s="10"/>
      <c r="H150" s="10"/>
      <c r="I150" s="10"/>
      <c r="J150" s="10"/>
      <c r="K150" s="10"/>
      <c r="L150" s="69"/>
      <c r="M150" s="10"/>
      <c r="N150" s="10"/>
      <c r="O150" s="10"/>
      <c r="P150" s="10"/>
      <c r="Q150" s="10"/>
      <c r="R150" s="10"/>
      <c r="S150" s="68"/>
      <c r="T150" s="10"/>
      <c r="U150" s="10"/>
      <c r="V150" s="10"/>
      <c r="W150" s="10"/>
      <c r="X150" s="10"/>
      <c r="Y150" s="10"/>
      <c r="Z150" s="10"/>
      <c r="AA150" s="10"/>
      <c r="AB150" s="10"/>
      <c r="AC150" s="10"/>
      <c r="AD150" s="10"/>
      <c r="AE150" s="69"/>
      <c r="AF150" s="10"/>
      <c r="AG150" s="10"/>
      <c r="AH150" s="10"/>
      <c r="AI150" s="68"/>
      <c r="AJ150" s="10"/>
      <c r="AK150" s="10"/>
      <c r="AL150" s="10"/>
      <c r="AM150" s="10"/>
      <c r="AN150" s="10"/>
      <c r="AO150" s="10"/>
      <c r="AP150" s="10"/>
      <c r="AQ150" s="10"/>
      <c r="AR150" s="10"/>
      <c r="AS150" s="10"/>
      <c r="AT150" s="10"/>
      <c r="AU150" s="10"/>
      <c r="AV150" s="10"/>
      <c r="AW150" s="10"/>
      <c r="AX150" s="10"/>
      <c r="AY150" s="68"/>
      <c r="AZ150" s="10"/>
      <c r="BA150" s="10"/>
      <c r="BB150" s="10"/>
      <c r="BC150" s="10"/>
      <c r="BD150" s="10"/>
      <c r="BE150" s="10"/>
      <c r="BF150" s="10"/>
      <c r="BG150" s="10"/>
      <c r="BH150" s="10"/>
      <c r="BI150" s="69"/>
      <c r="BJ150" s="10"/>
      <c r="BK150" s="10"/>
      <c r="BL150" s="10"/>
      <c r="BM150" s="10"/>
      <c r="BN150" s="10"/>
      <c r="BO150" s="72"/>
    </row>
    <row r="151" ht="15.75" customHeight="1">
      <c r="A151" s="98"/>
      <c r="B151" s="68"/>
      <c r="C151" s="10"/>
      <c r="D151" s="10"/>
      <c r="E151" s="10"/>
      <c r="F151" s="10"/>
      <c r="G151" s="10"/>
      <c r="H151" s="10"/>
      <c r="I151" s="10"/>
      <c r="J151" s="10"/>
      <c r="K151" s="10"/>
      <c r="L151" s="69"/>
      <c r="M151" s="10"/>
      <c r="N151" s="10"/>
      <c r="O151" s="10"/>
      <c r="P151" s="10"/>
      <c r="Q151" s="10"/>
      <c r="R151" s="10"/>
      <c r="S151" s="68"/>
      <c r="T151" s="10"/>
      <c r="U151" s="10"/>
      <c r="V151" s="10"/>
      <c r="W151" s="10"/>
      <c r="X151" s="10"/>
      <c r="Y151" s="10"/>
      <c r="Z151" s="10"/>
      <c r="AA151" s="10"/>
      <c r="AB151" s="10"/>
      <c r="AC151" s="10"/>
      <c r="AD151" s="10"/>
      <c r="AE151" s="69"/>
      <c r="AF151" s="10"/>
      <c r="AG151" s="10"/>
      <c r="AH151" s="10"/>
      <c r="AI151" s="68"/>
      <c r="AJ151" s="10"/>
      <c r="AK151" s="10"/>
      <c r="AL151" s="10"/>
      <c r="AM151" s="10"/>
      <c r="AN151" s="10"/>
      <c r="AO151" s="10"/>
      <c r="AP151" s="10"/>
      <c r="AQ151" s="10"/>
      <c r="AR151" s="10"/>
      <c r="AS151" s="10"/>
      <c r="AT151" s="10"/>
      <c r="AU151" s="10"/>
      <c r="AV151" s="10"/>
      <c r="AW151" s="10"/>
      <c r="AX151" s="10"/>
      <c r="AY151" s="68"/>
      <c r="AZ151" s="10"/>
      <c r="BA151" s="10"/>
      <c r="BB151" s="10"/>
      <c r="BC151" s="10"/>
      <c r="BD151" s="10"/>
      <c r="BE151" s="10"/>
      <c r="BF151" s="10"/>
      <c r="BG151" s="10"/>
      <c r="BH151" s="10"/>
      <c r="BI151" s="69"/>
      <c r="BJ151" s="10"/>
      <c r="BK151" s="10"/>
      <c r="BL151" s="10"/>
      <c r="BM151" s="10"/>
      <c r="BN151" s="10"/>
      <c r="BO151" s="72"/>
    </row>
    <row r="152" ht="15.75" customHeight="1">
      <c r="A152" s="98"/>
      <c r="B152" s="68"/>
      <c r="C152" s="10"/>
      <c r="D152" s="10"/>
      <c r="E152" s="10"/>
      <c r="F152" s="10"/>
      <c r="G152" s="10"/>
      <c r="H152" s="10"/>
      <c r="I152" s="10"/>
      <c r="J152" s="10"/>
      <c r="K152" s="10"/>
      <c r="L152" s="69"/>
      <c r="M152" s="10"/>
      <c r="N152" s="10"/>
      <c r="O152" s="10"/>
      <c r="P152" s="10"/>
      <c r="Q152" s="10"/>
      <c r="R152" s="10"/>
      <c r="S152" s="68"/>
      <c r="T152" s="10"/>
      <c r="U152" s="10"/>
      <c r="V152" s="10"/>
      <c r="W152" s="10"/>
      <c r="X152" s="10"/>
      <c r="Y152" s="10"/>
      <c r="Z152" s="10"/>
      <c r="AA152" s="10"/>
      <c r="AB152" s="10"/>
      <c r="AC152" s="10"/>
      <c r="AD152" s="10"/>
      <c r="AE152" s="69"/>
      <c r="AF152" s="10"/>
      <c r="AG152" s="10"/>
      <c r="AH152" s="10"/>
      <c r="AI152" s="68"/>
      <c r="AJ152" s="10"/>
      <c r="AK152" s="10"/>
      <c r="AL152" s="10"/>
      <c r="AM152" s="10"/>
      <c r="AN152" s="10"/>
      <c r="AO152" s="10"/>
      <c r="AP152" s="10"/>
      <c r="AQ152" s="10"/>
      <c r="AR152" s="10"/>
      <c r="AS152" s="10"/>
      <c r="AT152" s="10"/>
      <c r="AU152" s="10"/>
      <c r="AV152" s="10"/>
      <c r="AW152" s="10"/>
      <c r="AX152" s="10"/>
      <c r="AY152" s="68"/>
      <c r="AZ152" s="10"/>
      <c r="BA152" s="10"/>
      <c r="BB152" s="10"/>
      <c r="BC152" s="10"/>
      <c r="BD152" s="10"/>
      <c r="BE152" s="10"/>
      <c r="BF152" s="10"/>
      <c r="BG152" s="10"/>
      <c r="BH152" s="10"/>
      <c r="BI152" s="69"/>
      <c r="BJ152" s="10"/>
      <c r="BK152" s="10"/>
      <c r="BL152" s="10"/>
      <c r="BM152" s="10"/>
      <c r="BN152" s="10"/>
      <c r="BO152" s="72"/>
    </row>
    <row r="153" ht="15.75" customHeight="1">
      <c r="A153" s="98"/>
      <c r="B153" s="68"/>
      <c r="C153" s="10"/>
      <c r="D153" s="10"/>
      <c r="E153" s="10"/>
      <c r="F153" s="10"/>
      <c r="G153" s="10"/>
      <c r="H153" s="10"/>
      <c r="I153" s="10"/>
      <c r="J153" s="10"/>
      <c r="K153" s="10"/>
      <c r="L153" s="69"/>
      <c r="M153" s="10"/>
      <c r="N153" s="10"/>
      <c r="O153" s="10"/>
      <c r="P153" s="10"/>
      <c r="Q153" s="10"/>
      <c r="R153" s="10"/>
      <c r="S153" s="68"/>
      <c r="T153" s="10"/>
      <c r="U153" s="10"/>
      <c r="V153" s="10"/>
      <c r="W153" s="10"/>
      <c r="X153" s="10"/>
      <c r="Y153" s="10"/>
      <c r="Z153" s="10"/>
      <c r="AA153" s="10"/>
      <c r="AB153" s="10"/>
      <c r="AC153" s="10"/>
      <c r="AD153" s="10"/>
      <c r="AE153" s="69"/>
      <c r="AF153" s="10"/>
      <c r="AG153" s="10"/>
      <c r="AH153" s="10"/>
      <c r="AI153" s="68"/>
      <c r="AJ153" s="10"/>
      <c r="AK153" s="10"/>
      <c r="AL153" s="10"/>
      <c r="AM153" s="10"/>
      <c r="AN153" s="10"/>
      <c r="AO153" s="10"/>
      <c r="AP153" s="10"/>
      <c r="AQ153" s="10"/>
      <c r="AR153" s="10"/>
      <c r="AS153" s="10"/>
      <c r="AT153" s="10"/>
      <c r="AU153" s="10"/>
      <c r="AV153" s="10"/>
      <c r="AW153" s="10"/>
      <c r="AX153" s="10"/>
      <c r="AY153" s="68"/>
      <c r="AZ153" s="10"/>
      <c r="BA153" s="10"/>
      <c r="BB153" s="10"/>
      <c r="BC153" s="10"/>
      <c r="BD153" s="10"/>
      <c r="BE153" s="10"/>
      <c r="BF153" s="10"/>
      <c r="BG153" s="10"/>
      <c r="BH153" s="10"/>
      <c r="BI153" s="69"/>
      <c r="BJ153" s="10"/>
      <c r="BK153" s="10"/>
      <c r="BL153" s="10"/>
      <c r="BM153" s="10"/>
      <c r="BN153" s="10"/>
      <c r="BO153" s="72"/>
    </row>
    <row r="154" ht="15.75" customHeight="1">
      <c r="A154" s="98"/>
      <c r="B154" s="68"/>
      <c r="C154" s="10"/>
      <c r="D154" s="10"/>
      <c r="E154" s="10"/>
      <c r="F154" s="10"/>
      <c r="G154" s="10"/>
      <c r="H154" s="10"/>
      <c r="I154" s="10"/>
      <c r="J154" s="10"/>
      <c r="K154" s="10"/>
      <c r="L154" s="69"/>
      <c r="M154" s="10"/>
      <c r="N154" s="10"/>
      <c r="O154" s="10"/>
      <c r="P154" s="10"/>
      <c r="Q154" s="10"/>
      <c r="R154" s="10"/>
      <c r="S154" s="68"/>
      <c r="T154" s="10"/>
      <c r="U154" s="10"/>
      <c r="V154" s="10"/>
      <c r="W154" s="10"/>
      <c r="X154" s="10"/>
      <c r="Y154" s="10"/>
      <c r="Z154" s="10"/>
      <c r="AA154" s="10"/>
      <c r="AB154" s="10"/>
      <c r="AC154" s="10"/>
      <c r="AD154" s="10"/>
      <c r="AE154" s="69"/>
      <c r="AF154" s="10"/>
      <c r="AG154" s="10"/>
      <c r="AH154" s="10"/>
      <c r="AI154" s="68"/>
      <c r="AJ154" s="10"/>
      <c r="AK154" s="10"/>
      <c r="AL154" s="10"/>
      <c r="AM154" s="10"/>
      <c r="AN154" s="10"/>
      <c r="AO154" s="10"/>
      <c r="AP154" s="10"/>
      <c r="AQ154" s="10"/>
      <c r="AR154" s="10"/>
      <c r="AS154" s="10"/>
      <c r="AT154" s="10"/>
      <c r="AU154" s="10"/>
      <c r="AV154" s="10"/>
      <c r="AW154" s="10"/>
      <c r="AX154" s="10"/>
      <c r="AY154" s="68"/>
      <c r="AZ154" s="10"/>
      <c r="BA154" s="10"/>
      <c r="BB154" s="10"/>
      <c r="BC154" s="10"/>
      <c r="BD154" s="10"/>
      <c r="BE154" s="10"/>
      <c r="BF154" s="10"/>
      <c r="BG154" s="10"/>
      <c r="BH154" s="10"/>
      <c r="BI154" s="69"/>
      <c r="BJ154" s="10"/>
      <c r="BK154" s="10"/>
      <c r="BL154" s="10"/>
      <c r="BM154" s="10"/>
      <c r="BN154" s="10"/>
      <c r="BO154" s="72"/>
    </row>
    <row r="155" ht="15.75" customHeight="1">
      <c r="A155" s="98"/>
      <c r="B155" s="68"/>
      <c r="C155" s="10"/>
      <c r="D155" s="10"/>
      <c r="E155" s="10"/>
      <c r="F155" s="10"/>
      <c r="G155" s="10"/>
      <c r="H155" s="10"/>
      <c r="I155" s="10"/>
      <c r="J155" s="10"/>
      <c r="K155" s="10"/>
      <c r="L155" s="69"/>
      <c r="M155" s="10"/>
      <c r="N155" s="10"/>
      <c r="O155" s="10"/>
      <c r="P155" s="10"/>
      <c r="Q155" s="10"/>
      <c r="R155" s="10"/>
      <c r="S155" s="68"/>
      <c r="T155" s="10"/>
      <c r="U155" s="10"/>
      <c r="V155" s="10"/>
      <c r="W155" s="10"/>
      <c r="X155" s="10"/>
      <c r="Y155" s="10"/>
      <c r="Z155" s="10"/>
      <c r="AA155" s="10"/>
      <c r="AB155" s="10"/>
      <c r="AC155" s="10"/>
      <c r="AD155" s="10"/>
      <c r="AE155" s="69"/>
      <c r="AF155" s="10"/>
      <c r="AG155" s="10"/>
      <c r="AH155" s="10"/>
      <c r="AI155" s="68"/>
      <c r="AJ155" s="10"/>
      <c r="AK155" s="10"/>
      <c r="AL155" s="10"/>
      <c r="AM155" s="10"/>
      <c r="AN155" s="10"/>
      <c r="AO155" s="10"/>
      <c r="AP155" s="10"/>
      <c r="AQ155" s="10"/>
      <c r="AR155" s="10"/>
      <c r="AS155" s="10"/>
      <c r="AT155" s="10"/>
      <c r="AU155" s="10"/>
      <c r="AV155" s="10"/>
      <c r="AW155" s="10"/>
      <c r="AX155" s="10"/>
      <c r="AY155" s="68"/>
      <c r="AZ155" s="10"/>
      <c r="BA155" s="10"/>
      <c r="BB155" s="10"/>
      <c r="BC155" s="10"/>
      <c r="BD155" s="10"/>
      <c r="BE155" s="10"/>
      <c r="BF155" s="10"/>
      <c r="BG155" s="10"/>
      <c r="BH155" s="10"/>
      <c r="BI155" s="69"/>
      <c r="BJ155" s="10"/>
      <c r="BK155" s="10"/>
      <c r="BL155" s="10"/>
      <c r="BM155" s="10"/>
      <c r="BN155" s="10"/>
      <c r="BO155" s="72"/>
    </row>
    <row r="156" ht="15.75" customHeight="1">
      <c r="A156" s="98"/>
      <c r="B156" s="68"/>
      <c r="C156" s="10"/>
      <c r="D156" s="10"/>
      <c r="E156" s="10"/>
      <c r="F156" s="10"/>
      <c r="G156" s="10"/>
      <c r="H156" s="10"/>
      <c r="I156" s="10"/>
      <c r="J156" s="10"/>
      <c r="K156" s="10"/>
      <c r="L156" s="69"/>
      <c r="M156" s="10"/>
      <c r="N156" s="10"/>
      <c r="O156" s="10"/>
      <c r="P156" s="10"/>
      <c r="Q156" s="10"/>
      <c r="R156" s="10"/>
      <c r="S156" s="68"/>
      <c r="T156" s="10"/>
      <c r="U156" s="10"/>
      <c r="V156" s="10"/>
      <c r="W156" s="10"/>
      <c r="X156" s="10"/>
      <c r="Y156" s="10"/>
      <c r="Z156" s="10"/>
      <c r="AA156" s="10"/>
      <c r="AB156" s="10"/>
      <c r="AC156" s="10"/>
      <c r="AD156" s="10"/>
      <c r="AE156" s="69"/>
      <c r="AF156" s="10"/>
      <c r="AG156" s="10"/>
      <c r="AH156" s="10"/>
      <c r="AI156" s="68"/>
      <c r="AJ156" s="10"/>
      <c r="AK156" s="10"/>
      <c r="AL156" s="10"/>
      <c r="AM156" s="10"/>
      <c r="AN156" s="10"/>
      <c r="AO156" s="10"/>
      <c r="AP156" s="10"/>
      <c r="AQ156" s="10"/>
      <c r="AR156" s="10"/>
      <c r="AS156" s="10"/>
      <c r="AT156" s="10"/>
      <c r="AU156" s="10"/>
      <c r="AV156" s="10"/>
      <c r="AW156" s="10"/>
      <c r="AX156" s="10"/>
      <c r="AY156" s="68"/>
      <c r="AZ156" s="10"/>
      <c r="BA156" s="10"/>
      <c r="BB156" s="10"/>
      <c r="BC156" s="10"/>
      <c r="BD156" s="10"/>
      <c r="BE156" s="10"/>
      <c r="BF156" s="10"/>
      <c r="BG156" s="10"/>
      <c r="BH156" s="10"/>
      <c r="BI156" s="69"/>
      <c r="BJ156" s="10"/>
      <c r="BK156" s="10"/>
      <c r="BL156" s="10"/>
      <c r="BM156" s="10"/>
      <c r="BN156" s="10"/>
      <c r="BO156" s="72"/>
    </row>
    <row r="157" ht="15.75" customHeight="1">
      <c r="A157" s="98"/>
      <c r="B157" s="68"/>
      <c r="C157" s="10"/>
      <c r="D157" s="10"/>
      <c r="E157" s="10"/>
      <c r="F157" s="10"/>
      <c r="G157" s="10"/>
      <c r="H157" s="10"/>
      <c r="I157" s="10"/>
      <c r="J157" s="10"/>
      <c r="K157" s="10"/>
      <c r="L157" s="69"/>
      <c r="M157" s="10"/>
      <c r="N157" s="10"/>
      <c r="O157" s="10"/>
      <c r="P157" s="10"/>
      <c r="Q157" s="10"/>
      <c r="R157" s="10"/>
      <c r="S157" s="68"/>
      <c r="T157" s="10"/>
      <c r="U157" s="10"/>
      <c r="V157" s="10"/>
      <c r="W157" s="10"/>
      <c r="X157" s="10"/>
      <c r="Y157" s="10"/>
      <c r="Z157" s="10"/>
      <c r="AA157" s="10"/>
      <c r="AB157" s="10"/>
      <c r="AC157" s="10"/>
      <c r="AD157" s="10"/>
      <c r="AE157" s="69"/>
      <c r="AF157" s="10"/>
      <c r="AG157" s="10"/>
      <c r="AH157" s="10"/>
      <c r="AI157" s="68"/>
      <c r="AJ157" s="10"/>
      <c r="AK157" s="10"/>
      <c r="AL157" s="10"/>
      <c r="AM157" s="10"/>
      <c r="AN157" s="10"/>
      <c r="AO157" s="10"/>
      <c r="AP157" s="10"/>
      <c r="AQ157" s="10"/>
      <c r="AR157" s="10"/>
      <c r="AS157" s="10"/>
      <c r="AT157" s="10"/>
      <c r="AU157" s="10"/>
      <c r="AV157" s="10"/>
      <c r="AW157" s="10"/>
      <c r="AX157" s="10"/>
      <c r="AY157" s="68"/>
      <c r="AZ157" s="10"/>
      <c r="BA157" s="10"/>
      <c r="BB157" s="10"/>
      <c r="BC157" s="10"/>
      <c r="BD157" s="10"/>
      <c r="BE157" s="10"/>
      <c r="BF157" s="10"/>
      <c r="BG157" s="10"/>
      <c r="BH157" s="10"/>
      <c r="BI157" s="69"/>
      <c r="BJ157" s="10"/>
      <c r="BK157" s="10"/>
      <c r="BL157" s="10"/>
      <c r="BM157" s="10"/>
      <c r="BN157" s="10"/>
      <c r="BO157" s="72"/>
    </row>
    <row r="158" ht="15.75" customHeight="1">
      <c r="A158" s="98"/>
      <c r="B158" s="68"/>
      <c r="C158" s="10"/>
      <c r="D158" s="10"/>
      <c r="E158" s="10"/>
      <c r="F158" s="10"/>
      <c r="G158" s="10"/>
      <c r="H158" s="10"/>
      <c r="I158" s="10"/>
      <c r="J158" s="10"/>
      <c r="K158" s="10"/>
      <c r="L158" s="69"/>
      <c r="M158" s="10"/>
      <c r="N158" s="10"/>
      <c r="O158" s="10"/>
      <c r="P158" s="10"/>
      <c r="Q158" s="10"/>
      <c r="R158" s="10"/>
      <c r="S158" s="68"/>
      <c r="T158" s="10"/>
      <c r="U158" s="10"/>
      <c r="V158" s="10"/>
      <c r="W158" s="10"/>
      <c r="X158" s="10"/>
      <c r="Y158" s="10"/>
      <c r="Z158" s="10"/>
      <c r="AA158" s="10"/>
      <c r="AB158" s="10"/>
      <c r="AC158" s="10"/>
      <c r="AD158" s="10"/>
      <c r="AE158" s="69"/>
      <c r="AF158" s="10"/>
      <c r="AG158" s="10"/>
      <c r="AH158" s="10"/>
      <c r="AI158" s="68"/>
      <c r="AJ158" s="10"/>
      <c r="AK158" s="10"/>
      <c r="AL158" s="10"/>
      <c r="AM158" s="10"/>
      <c r="AN158" s="10"/>
      <c r="AO158" s="10"/>
      <c r="AP158" s="10"/>
      <c r="AQ158" s="10"/>
      <c r="AR158" s="10"/>
      <c r="AS158" s="10"/>
      <c r="AT158" s="10"/>
      <c r="AU158" s="10"/>
      <c r="AV158" s="10"/>
      <c r="AW158" s="10"/>
      <c r="AX158" s="10"/>
      <c r="AY158" s="68"/>
      <c r="AZ158" s="10"/>
      <c r="BA158" s="10"/>
      <c r="BB158" s="10"/>
      <c r="BC158" s="10"/>
      <c r="BD158" s="10"/>
      <c r="BE158" s="10"/>
      <c r="BF158" s="10"/>
      <c r="BG158" s="10"/>
      <c r="BH158" s="10"/>
      <c r="BI158" s="69"/>
      <c r="BJ158" s="10"/>
      <c r="BK158" s="10"/>
      <c r="BL158" s="10"/>
      <c r="BM158" s="10"/>
      <c r="BN158" s="10"/>
      <c r="BO158" s="72"/>
    </row>
    <row r="159" ht="15.75" customHeight="1">
      <c r="A159" s="98"/>
      <c r="B159" s="68"/>
      <c r="C159" s="10"/>
      <c r="D159" s="10"/>
      <c r="E159" s="10"/>
      <c r="F159" s="10"/>
      <c r="G159" s="10"/>
      <c r="H159" s="10"/>
      <c r="I159" s="10"/>
      <c r="J159" s="10"/>
      <c r="K159" s="10"/>
      <c r="L159" s="69"/>
      <c r="M159" s="10"/>
      <c r="N159" s="10"/>
      <c r="O159" s="10"/>
      <c r="P159" s="10"/>
      <c r="Q159" s="10"/>
      <c r="R159" s="10"/>
      <c r="S159" s="68"/>
      <c r="T159" s="10"/>
      <c r="U159" s="10"/>
      <c r="V159" s="10"/>
      <c r="W159" s="10"/>
      <c r="X159" s="10"/>
      <c r="Y159" s="10"/>
      <c r="Z159" s="10"/>
      <c r="AA159" s="10"/>
      <c r="AB159" s="10"/>
      <c r="AC159" s="10"/>
      <c r="AD159" s="10"/>
      <c r="AE159" s="69"/>
      <c r="AF159" s="10"/>
      <c r="AG159" s="10"/>
      <c r="AH159" s="10"/>
      <c r="AI159" s="68"/>
      <c r="AJ159" s="10"/>
      <c r="AK159" s="10"/>
      <c r="AL159" s="10"/>
      <c r="AM159" s="10"/>
      <c r="AN159" s="10"/>
      <c r="AO159" s="10"/>
      <c r="AP159" s="10"/>
      <c r="AQ159" s="10"/>
      <c r="AR159" s="10"/>
      <c r="AS159" s="10"/>
      <c r="AT159" s="10"/>
      <c r="AU159" s="10"/>
      <c r="AV159" s="10"/>
      <c r="AW159" s="10"/>
      <c r="AX159" s="10"/>
      <c r="AY159" s="68"/>
      <c r="AZ159" s="10"/>
      <c r="BA159" s="10"/>
      <c r="BB159" s="10"/>
      <c r="BC159" s="10"/>
      <c r="BD159" s="10"/>
      <c r="BE159" s="10"/>
      <c r="BF159" s="10"/>
      <c r="BG159" s="10"/>
      <c r="BH159" s="10"/>
      <c r="BI159" s="69"/>
      <c r="BJ159" s="10"/>
      <c r="BK159" s="10"/>
      <c r="BL159" s="10"/>
      <c r="BM159" s="10"/>
      <c r="BN159" s="10"/>
      <c r="BO159" s="72"/>
    </row>
    <row r="160" ht="15.75" customHeight="1">
      <c r="A160" s="98"/>
      <c r="B160" s="68"/>
      <c r="C160" s="10"/>
      <c r="D160" s="10"/>
      <c r="E160" s="10"/>
      <c r="F160" s="10"/>
      <c r="G160" s="10"/>
      <c r="H160" s="10"/>
      <c r="I160" s="10"/>
      <c r="J160" s="10"/>
      <c r="K160" s="10"/>
      <c r="L160" s="69"/>
      <c r="M160" s="10"/>
      <c r="N160" s="10"/>
      <c r="O160" s="10"/>
      <c r="P160" s="10"/>
      <c r="Q160" s="10"/>
      <c r="R160" s="10"/>
      <c r="S160" s="68"/>
      <c r="T160" s="10"/>
      <c r="U160" s="10"/>
      <c r="V160" s="10"/>
      <c r="W160" s="10"/>
      <c r="X160" s="10"/>
      <c r="Y160" s="10"/>
      <c r="Z160" s="10"/>
      <c r="AA160" s="10"/>
      <c r="AB160" s="10"/>
      <c r="AC160" s="10"/>
      <c r="AD160" s="10"/>
      <c r="AE160" s="69"/>
      <c r="AF160" s="10"/>
      <c r="AG160" s="10"/>
      <c r="AH160" s="10"/>
      <c r="AI160" s="68"/>
      <c r="AJ160" s="10"/>
      <c r="AK160" s="10"/>
      <c r="AL160" s="10"/>
      <c r="AM160" s="10"/>
      <c r="AN160" s="10"/>
      <c r="AO160" s="10"/>
      <c r="AP160" s="10"/>
      <c r="AQ160" s="10"/>
      <c r="AR160" s="10"/>
      <c r="AS160" s="10"/>
      <c r="AT160" s="10"/>
      <c r="AU160" s="10"/>
      <c r="AV160" s="10"/>
      <c r="AW160" s="10"/>
      <c r="AX160" s="10"/>
      <c r="AY160" s="68"/>
      <c r="AZ160" s="10"/>
      <c r="BA160" s="10"/>
      <c r="BB160" s="10"/>
      <c r="BC160" s="10"/>
      <c r="BD160" s="10"/>
      <c r="BE160" s="10"/>
      <c r="BF160" s="10"/>
      <c r="BG160" s="10"/>
      <c r="BH160" s="10"/>
      <c r="BI160" s="69"/>
      <c r="BJ160" s="10"/>
      <c r="BK160" s="10"/>
      <c r="BL160" s="10"/>
      <c r="BM160" s="10"/>
      <c r="BN160" s="10"/>
      <c r="BO160" s="72"/>
    </row>
    <row r="161" ht="15.75" customHeight="1">
      <c r="A161" s="98"/>
      <c r="B161" s="68"/>
      <c r="C161" s="10"/>
      <c r="D161" s="10"/>
      <c r="E161" s="10"/>
      <c r="F161" s="10"/>
      <c r="G161" s="10"/>
      <c r="H161" s="10"/>
      <c r="I161" s="10"/>
      <c r="J161" s="10"/>
      <c r="K161" s="10"/>
      <c r="L161" s="69"/>
      <c r="M161" s="10"/>
      <c r="N161" s="10"/>
      <c r="O161" s="10"/>
      <c r="P161" s="10"/>
      <c r="Q161" s="10"/>
      <c r="R161" s="10"/>
      <c r="S161" s="68"/>
      <c r="T161" s="10"/>
      <c r="U161" s="10"/>
      <c r="V161" s="10"/>
      <c r="W161" s="10"/>
      <c r="X161" s="10"/>
      <c r="Y161" s="10"/>
      <c r="Z161" s="10"/>
      <c r="AA161" s="10"/>
      <c r="AB161" s="10"/>
      <c r="AC161" s="10"/>
      <c r="AD161" s="10"/>
      <c r="AE161" s="69"/>
      <c r="AF161" s="10"/>
      <c r="AG161" s="10"/>
      <c r="AH161" s="10"/>
      <c r="AI161" s="68"/>
      <c r="AJ161" s="10"/>
      <c r="AK161" s="10"/>
      <c r="AL161" s="10"/>
      <c r="AM161" s="10"/>
      <c r="AN161" s="10"/>
      <c r="AO161" s="10"/>
      <c r="AP161" s="10"/>
      <c r="AQ161" s="10"/>
      <c r="AR161" s="10"/>
      <c r="AS161" s="10"/>
      <c r="AT161" s="10"/>
      <c r="AU161" s="10"/>
      <c r="AV161" s="10"/>
      <c r="AW161" s="10"/>
      <c r="AX161" s="10"/>
      <c r="AY161" s="68"/>
      <c r="AZ161" s="10"/>
      <c r="BA161" s="10"/>
      <c r="BB161" s="10"/>
      <c r="BC161" s="10"/>
      <c r="BD161" s="10"/>
      <c r="BE161" s="10"/>
      <c r="BF161" s="10"/>
      <c r="BG161" s="10"/>
      <c r="BH161" s="10"/>
      <c r="BI161" s="69"/>
      <c r="BJ161" s="10"/>
      <c r="BK161" s="10"/>
      <c r="BL161" s="10"/>
      <c r="BM161" s="10"/>
      <c r="BN161" s="10"/>
      <c r="BO161" s="72"/>
    </row>
    <row r="162" ht="15.75" customHeight="1">
      <c r="A162" s="98"/>
      <c r="B162" s="68"/>
      <c r="C162" s="10"/>
      <c r="D162" s="10"/>
      <c r="E162" s="10"/>
      <c r="F162" s="10"/>
      <c r="G162" s="10"/>
      <c r="H162" s="10"/>
      <c r="I162" s="10"/>
      <c r="J162" s="10"/>
      <c r="K162" s="10"/>
      <c r="L162" s="69"/>
      <c r="M162" s="10"/>
      <c r="N162" s="10"/>
      <c r="O162" s="10"/>
      <c r="P162" s="10"/>
      <c r="Q162" s="10"/>
      <c r="R162" s="10"/>
      <c r="S162" s="68"/>
      <c r="T162" s="10"/>
      <c r="U162" s="10"/>
      <c r="V162" s="10"/>
      <c r="W162" s="10"/>
      <c r="X162" s="10"/>
      <c r="Y162" s="10"/>
      <c r="Z162" s="10"/>
      <c r="AA162" s="10"/>
      <c r="AB162" s="10"/>
      <c r="AC162" s="10"/>
      <c r="AD162" s="10"/>
      <c r="AE162" s="69"/>
      <c r="AF162" s="10"/>
      <c r="AG162" s="10"/>
      <c r="AH162" s="10"/>
      <c r="AI162" s="68"/>
      <c r="AJ162" s="10"/>
      <c r="AK162" s="10"/>
      <c r="AL162" s="10"/>
      <c r="AM162" s="10"/>
      <c r="AN162" s="10"/>
      <c r="AO162" s="10"/>
      <c r="AP162" s="10"/>
      <c r="AQ162" s="10"/>
      <c r="AR162" s="10"/>
      <c r="AS162" s="10"/>
      <c r="AT162" s="10"/>
      <c r="AU162" s="10"/>
      <c r="AV162" s="10"/>
      <c r="AW162" s="10"/>
      <c r="AX162" s="10"/>
      <c r="AY162" s="68"/>
      <c r="AZ162" s="10"/>
      <c r="BA162" s="10"/>
      <c r="BB162" s="10"/>
      <c r="BC162" s="10"/>
      <c r="BD162" s="10"/>
      <c r="BE162" s="10"/>
      <c r="BF162" s="10"/>
      <c r="BG162" s="10"/>
      <c r="BH162" s="10"/>
      <c r="BI162" s="69"/>
      <c r="BJ162" s="10"/>
      <c r="BK162" s="10"/>
      <c r="BL162" s="10"/>
      <c r="BM162" s="10"/>
      <c r="BN162" s="10"/>
      <c r="BO162" s="72"/>
    </row>
    <row r="163" ht="15.75" customHeight="1">
      <c r="A163" s="98"/>
      <c r="B163" s="68"/>
      <c r="C163" s="10"/>
      <c r="D163" s="10"/>
      <c r="E163" s="10"/>
      <c r="F163" s="10"/>
      <c r="G163" s="10"/>
      <c r="H163" s="10"/>
      <c r="I163" s="10"/>
      <c r="J163" s="10"/>
      <c r="K163" s="10"/>
      <c r="L163" s="69"/>
      <c r="M163" s="10"/>
      <c r="N163" s="10"/>
      <c r="O163" s="10"/>
      <c r="P163" s="10"/>
      <c r="Q163" s="10"/>
      <c r="R163" s="10"/>
      <c r="S163" s="68"/>
      <c r="T163" s="10"/>
      <c r="U163" s="10"/>
      <c r="V163" s="10"/>
      <c r="W163" s="10"/>
      <c r="X163" s="10"/>
      <c r="Y163" s="10"/>
      <c r="Z163" s="10"/>
      <c r="AA163" s="10"/>
      <c r="AB163" s="10"/>
      <c r="AC163" s="10"/>
      <c r="AD163" s="10"/>
      <c r="AE163" s="69"/>
      <c r="AF163" s="10"/>
      <c r="AG163" s="10"/>
      <c r="AH163" s="10"/>
      <c r="AI163" s="68"/>
      <c r="AJ163" s="10"/>
      <c r="AK163" s="10"/>
      <c r="AL163" s="10"/>
      <c r="AM163" s="10"/>
      <c r="AN163" s="10"/>
      <c r="AO163" s="10"/>
      <c r="AP163" s="10"/>
      <c r="AQ163" s="10"/>
      <c r="AR163" s="10"/>
      <c r="AS163" s="10"/>
      <c r="AT163" s="10"/>
      <c r="AU163" s="10"/>
      <c r="AV163" s="10"/>
      <c r="AW163" s="10"/>
      <c r="AX163" s="10"/>
      <c r="AY163" s="68"/>
      <c r="AZ163" s="10"/>
      <c r="BA163" s="10"/>
      <c r="BB163" s="10"/>
      <c r="BC163" s="10"/>
      <c r="BD163" s="10"/>
      <c r="BE163" s="10"/>
      <c r="BF163" s="10"/>
      <c r="BG163" s="10"/>
      <c r="BH163" s="10"/>
      <c r="BI163" s="69"/>
      <c r="BJ163" s="10"/>
      <c r="BK163" s="10"/>
      <c r="BL163" s="10"/>
      <c r="BM163" s="10"/>
      <c r="BN163" s="10"/>
      <c r="BO163" s="72"/>
    </row>
    <row r="164" ht="15.75" customHeight="1">
      <c r="A164" s="98"/>
      <c r="B164" s="68"/>
      <c r="C164" s="10"/>
      <c r="D164" s="10"/>
      <c r="E164" s="10"/>
      <c r="F164" s="10"/>
      <c r="G164" s="10"/>
      <c r="H164" s="10"/>
      <c r="I164" s="10"/>
      <c r="J164" s="10"/>
      <c r="K164" s="10"/>
      <c r="L164" s="69"/>
      <c r="M164" s="10"/>
      <c r="N164" s="10"/>
      <c r="O164" s="10"/>
      <c r="P164" s="10"/>
      <c r="Q164" s="10"/>
      <c r="R164" s="10"/>
      <c r="S164" s="68"/>
      <c r="T164" s="10"/>
      <c r="U164" s="10"/>
      <c r="V164" s="10"/>
      <c r="W164" s="10"/>
      <c r="X164" s="10"/>
      <c r="Y164" s="10"/>
      <c r="Z164" s="10"/>
      <c r="AA164" s="10"/>
      <c r="AB164" s="10"/>
      <c r="AC164" s="10"/>
      <c r="AD164" s="10"/>
      <c r="AE164" s="69"/>
      <c r="AF164" s="10"/>
      <c r="AG164" s="10"/>
      <c r="AH164" s="10"/>
      <c r="AI164" s="68"/>
      <c r="AJ164" s="10"/>
      <c r="AK164" s="10"/>
      <c r="AL164" s="10"/>
      <c r="AM164" s="10"/>
      <c r="AN164" s="10"/>
      <c r="AO164" s="10"/>
      <c r="AP164" s="10"/>
      <c r="AQ164" s="10"/>
      <c r="AR164" s="10"/>
      <c r="AS164" s="10"/>
      <c r="AT164" s="10"/>
      <c r="AU164" s="10"/>
      <c r="AV164" s="10"/>
      <c r="AW164" s="10"/>
      <c r="AX164" s="10"/>
      <c r="AY164" s="68"/>
      <c r="AZ164" s="10"/>
      <c r="BA164" s="10"/>
      <c r="BB164" s="10"/>
      <c r="BC164" s="10"/>
      <c r="BD164" s="10"/>
      <c r="BE164" s="10"/>
      <c r="BF164" s="10"/>
      <c r="BG164" s="10"/>
      <c r="BH164" s="10"/>
      <c r="BI164" s="69"/>
      <c r="BJ164" s="10"/>
      <c r="BK164" s="10"/>
      <c r="BL164" s="10"/>
      <c r="BM164" s="10"/>
      <c r="BN164" s="10"/>
      <c r="BO164" s="72"/>
    </row>
    <row r="165" ht="15.75" customHeight="1">
      <c r="A165" s="98"/>
      <c r="B165" s="68"/>
      <c r="C165" s="10"/>
      <c r="D165" s="10"/>
      <c r="E165" s="10"/>
      <c r="F165" s="10"/>
      <c r="G165" s="10"/>
      <c r="H165" s="10"/>
      <c r="I165" s="10"/>
      <c r="J165" s="10"/>
      <c r="K165" s="10"/>
      <c r="L165" s="69"/>
      <c r="M165" s="10"/>
      <c r="N165" s="10"/>
      <c r="O165" s="10"/>
      <c r="P165" s="10"/>
      <c r="Q165" s="10"/>
      <c r="R165" s="10"/>
      <c r="S165" s="68"/>
      <c r="T165" s="10"/>
      <c r="U165" s="10"/>
      <c r="V165" s="10"/>
      <c r="W165" s="10"/>
      <c r="X165" s="10"/>
      <c r="Y165" s="10"/>
      <c r="Z165" s="10"/>
      <c r="AA165" s="10"/>
      <c r="AB165" s="10"/>
      <c r="AC165" s="10"/>
      <c r="AD165" s="10"/>
      <c r="AE165" s="69"/>
      <c r="AF165" s="10"/>
      <c r="AG165" s="10"/>
      <c r="AH165" s="10"/>
      <c r="AI165" s="68"/>
      <c r="AJ165" s="10"/>
      <c r="AK165" s="10"/>
      <c r="AL165" s="10"/>
      <c r="AM165" s="10"/>
      <c r="AN165" s="10"/>
      <c r="AO165" s="10"/>
      <c r="AP165" s="10"/>
      <c r="AQ165" s="10"/>
      <c r="AR165" s="10"/>
      <c r="AS165" s="10"/>
      <c r="AT165" s="10"/>
      <c r="AU165" s="10"/>
      <c r="AV165" s="10"/>
      <c r="AW165" s="10"/>
      <c r="AX165" s="10"/>
      <c r="AY165" s="68"/>
      <c r="AZ165" s="10"/>
      <c r="BA165" s="10"/>
      <c r="BB165" s="10"/>
      <c r="BC165" s="10"/>
      <c r="BD165" s="10"/>
      <c r="BE165" s="10"/>
      <c r="BF165" s="10"/>
      <c r="BG165" s="10"/>
      <c r="BH165" s="10"/>
      <c r="BI165" s="69"/>
      <c r="BJ165" s="10"/>
      <c r="BK165" s="10"/>
      <c r="BL165" s="10"/>
      <c r="BM165" s="10"/>
      <c r="BN165" s="10"/>
      <c r="BO165" s="72"/>
    </row>
    <row r="166" ht="15.75" customHeight="1">
      <c r="A166" s="98"/>
      <c r="B166" s="68"/>
      <c r="C166" s="10"/>
      <c r="D166" s="10"/>
      <c r="E166" s="10"/>
      <c r="F166" s="10"/>
      <c r="G166" s="10"/>
      <c r="H166" s="10"/>
      <c r="I166" s="10"/>
      <c r="J166" s="10"/>
      <c r="K166" s="10"/>
      <c r="L166" s="69"/>
      <c r="M166" s="10"/>
      <c r="N166" s="10"/>
      <c r="O166" s="10"/>
      <c r="P166" s="10"/>
      <c r="Q166" s="10"/>
      <c r="R166" s="10"/>
      <c r="S166" s="68"/>
      <c r="T166" s="10"/>
      <c r="U166" s="10"/>
      <c r="V166" s="10"/>
      <c r="W166" s="10"/>
      <c r="X166" s="10"/>
      <c r="Y166" s="10"/>
      <c r="Z166" s="10"/>
      <c r="AA166" s="10"/>
      <c r="AB166" s="10"/>
      <c r="AC166" s="10"/>
      <c r="AD166" s="10"/>
      <c r="AE166" s="69"/>
      <c r="AF166" s="10"/>
      <c r="AG166" s="10"/>
      <c r="AH166" s="10"/>
      <c r="AI166" s="68"/>
      <c r="AJ166" s="10"/>
      <c r="AK166" s="10"/>
      <c r="AL166" s="10"/>
      <c r="AM166" s="10"/>
      <c r="AN166" s="10"/>
      <c r="AO166" s="10"/>
      <c r="AP166" s="10"/>
      <c r="AQ166" s="10"/>
      <c r="AR166" s="10"/>
      <c r="AS166" s="10"/>
      <c r="AT166" s="10"/>
      <c r="AU166" s="10"/>
      <c r="AV166" s="10"/>
      <c r="AW166" s="10"/>
      <c r="AX166" s="10"/>
      <c r="AY166" s="68"/>
      <c r="AZ166" s="10"/>
      <c r="BA166" s="10"/>
      <c r="BB166" s="10"/>
      <c r="BC166" s="10"/>
      <c r="BD166" s="10"/>
      <c r="BE166" s="10"/>
      <c r="BF166" s="10"/>
      <c r="BG166" s="10"/>
      <c r="BH166" s="10"/>
      <c r="BI166" s="69"/>
      <c r="BJ166" s="10"/>
      <c r="BK166" s="10"/>
      <c r="BL166" s="10"/>
      <c r="BM166" s="10"/>
      <c r="BN166" s="10"/>
      <c r="BO166" s="72"/>
    </row>
    <row r="167" ht="15.75" customHeight="1">
      <c r="A167" s="98"/>
      <c r="B167" s="68"/>
      <c r="C167" s="10"/>
      <c r="D167" s="10"/>
      <c r="E167" s="10"/>
      <c r="F167" s="10"/>
      <c r="G167" s="10"/>
      <c r="H167" s="10"/>
      <c r="I167" s="10"/>
      <c r="J167" s="10"/>
      <c r="K167" s="10"/>
      <c r="L167" s="69"/>
      <c r="M167" s="10"/>
      <c r="N167" s="10"/>
      <c r="O167" s="10"/>
      <c r="P167" s="10"/>
      <c r="Q167" s="10"/>
      <c r="R167" s="10"/>
      <c r="S167" s="68"/>
      <c r="T167" s="10"/>
      <c r="U167" s="10"/>
      <c r="V167" s="10"/>
      <c r="W167" s="10"/>
      <c r="X167" s="10"/>
      <c r="Y167" s="10"/>
      <c r="Z167" s="10"/>
      <c r="AA167" s="10"/>
      <c r="AB167" s="10"/>
      <c r="AC167" s="10"/>
      <c r="AD167" s="10"/>
      <c r="AE167" s="69"/>
      <c r="AF167" s="10"/>
      <c r="AG167" s="10"/>
      <c r="AH167" s="10"/>
      <c r="AI167" s="68"/>
      <c r="AJ167" s="10"/>
      <c r="AK167" s="10"/>
      <c r="AL167" s="10"/>
      <c r="AM167" s="10"/>
      <c r="AN167" s="10"/>
      <c r="AO167" s="10"/>
      <c r="AP167" s="10"/>
      <c r="AQ167" s="10"/>
      <c r="AR167" s="10"/>
      <c r="AS167" s="10"/>
      <c r="AT167" s="10"/>
      <c r="AU167" s="10"/>
      <c r="AV167" s="10"/>
      <c r="AW167" s="10"/>
      <c r="AX167" s="10"/>
      <c r="AY167" s="68"/>
      <c r="AZ167" s="10"/>
      <c r="BA167" s="10"/>
      <c r="BB167" s="10"/>
      <c r="BC167" s="10"/>
      <c r="BD167" s="10"/>
      <c r="BE167" s="10"/>
      <c r="BF167" s="10"/>
      <c r="BG167" s="10"/>
      <c r="BH167" s="10"/>
      <c r="BI167" s="69"/>
      <c r="BJ167" s="10"/>
      <c r="BK167" s="10"/>
      <c r="BL167" s="10"/>
      <c r="BM167" s="10"/>
      <c r="BN167" s="10"/>
      <c r="BO167" s="72"/>
    </row>
    <row r="168" ht="15.75" customHeight="1">
      <c r="A168" s="98"/>
      <c r="B168" s="68"/>
      <c r="C168" s="10"/>
      <c r="D168" s="10"/>
      <c r="E168" s="10"/>
      <c r="F168" s="10"/>
      <c r="G168" s="10"/>
      <c r="H168" s="10"/>
      <c r="I168" s="10"/>
      <c r="J168" s="10"/>
      <c r="K168" s="10"/>
      <c r="L168" s="69"/>
      <c r="M168" s="10"/>
      <c r="N168" s="10"/>
      <c r="O168" s="10"/>
      <c r="P168" s="10"/>
      <c r="Q168" s="10"/>
      <c r="R168" s="10"/>
      <c r="S168" s="68"/>
      <c r="T168" s="10"/>
      <c r="U168" s="10"/>
      <c r="V168" s="10"/>
      <c r="W168" s="10"/>
      <c r="X168" s="10"/>
      <c r="Y168" s="10"/>
      <c r="Z168" s="10"/>
      <c r="AA168" s="10"/>
      <c r="AB168" s="10"/>
      <c r="AC168" s="10"/>
      <c r="AD168" s="10"/>
      <c r="AE168" s="69"/>
      <c r="AF168" s="10"/>
      <c r="AG168" s="10"/>
      <c r="AH168" s="10"/>
      <c r="AI168" s="68"/>
      <c r="AJ168" s="10"/>
      <c r="AK168" s="10"/>
      <c r="AL168" s="10"/>
      <c r="AM168" s="10"/>
      <c r="AN168" s="10"/>
      <c r="AO168" s="10"/>
      <c r="AP168" s="10"/>
      <c r="AQ168" s="10"/>
      <c r="AR168" s="10"/>
      <c r="AS168" s="10"/>
      <c r="AT168" s="10"/>
      <c r="AU168" s="10"/>
      <c r="AV168" s="10"/>
      <c r="AW168" s="10"/>
      <c r="AX168" s="10"/>
      <c r="AY168" s="68"/>
      <c r="AZ168" s="10"/>
      <c r="BA168" s="10"/>
      <c r="BB168" s="10"/>
      <c r="BC168" s="10"/>
      <c r="BD168" s="10"/>
      <c r="BE168" s="10"/>
      <c r="BF168" s="10"/>
      <c r="BG168" s="10"/>
      <c r="BH168" s="10"/>
      <c r="BI168" s="69"/>
      <c r="BJ168" s="10"/>
      <c r="BK168" s="10"/>
      <c r="BL168" s="10"/>
      <c r="BM168" s="10"/>
      <c r="BN168" s="10"/>
      <c r="BO168" s="72"/>
    </row>
    <row r="169" ht="15.75" customHeight="1">
      <c r="A169" s="98"/>
      <c r="B169" s="68"/>
      <c r="C169" s="10"/>
      <c r="D169" s="10"/>
      <c r="E169" s="10"/>
      <c r="F169" s="10"/>
      <c r="G169" s="10"/>
      <c r="H169" s="10"/>
      <c r="I169" s="10"/>
      <c r="J169" s="10"/>
      <c r="K169" s="10"/>
      <c r="L169" s="69"/>
      <c r="M169" s="10"/>
      <c r="N169" s="10"/>
      <c r="O169" s="10"/>
      <c r="P169" s="10"/>
      <c r="Q169" s="10"/>
      <c r="R169" s="10"/>
      <c r="S169" s="68"/>
      <c r="T169" s="10"/>
      <c r="U169" s="10"/>
      <c r="V169" s="10"/>
      <c r="W169" s="10"/>
      <c r="X169" s="10"/>
      <c r="Y169" s="10"/>
      <c r="Z169" s="10"/>
      <c r="AA169" s="10"/>
      <c r="AB169" s="10"/>
      <c r="AC169" s="10"/>
      <c r="AD169" s="10"/>
      <c r="AE169" s="69"/>
      <c r="AF169" s="10"/>
      <c r="AG169" s="10"/>
      <c r="AH169" s="10"/>
      <c r="AI169" s="68"/>
      <c r="AJ169" s="10"/>
      <c r="AK169" s="10"/>
      <c r="AL169" s="10"/>
      <c r="AM169" s="10"/>
      <c r="AN169" s="10"/>
      <c r="AO169" s="10"/>
      <c r="AP169" s="10"/>
      <c r="AQ169" s="10"/>
      <c r="AR169" s="10"/>
      <c r="AS169" s="10"/>
      <c r="AT169" s="10"/>
      <c r="AU169" s="10"/>
      <c r="AV169" s="10"/>
      <c r="AW169" s="10"/>
      <c r="AX169" s="10"/>
      <c r="AY169" s="68"/>
      <c r="AZ169" s="10"/>
      <c r="BA169" s="10"/>
      <c r="BB169" s="10"/>
      <c r="BC169" s="10"/>
      <c r="BD169" s="10"/>
      <c r="BE169" s="10"/>
      <c r="BF169" s="10"/>
      <c r="BG169" s="10"/>
      <c r="BH169" s="10"/>
      <c r="BI169" s="69"/>
      <c r="BJ169" s="10"/>
      <c r="BK169" s="10"/>
      <c r="BL169" s="10"/>
      <c r="BM169" s="10"/>
      <c r="BN169" s="10"/>
      <c r="BO169" s="72"/>
    </row>
    <row r="170" ht="15.75" customHeight="1">
      <c r="A170" s="98"/>
      <c r="B170" s="68"/>
      <c r="C170" s="10"/>
      <c r="D170" s="10"/>
      <c r="E170" s="10"/>
      <c r="F170" s="10"/>
      <c r="G170" s="10"/>
      <c r="H170" s="10"/>
      <c r="I170" s="10"/>
      <c r="J170" s="10"/>
      <c r="K170" s="10"/>
      <c r="L170" s="69"/>
      <c r="M170" s="10"/>
      <c r="N170" s="10"/>
      <c r="O170" s="10"/>
      <c r="P170" s="10"/>
      <c r="Q170" s="10"/>
      <c r="R170" s="10"/>
      <c r="S170" s="68"/>
      <c r="T170" s="10"/>
      <c r="U170" s="10"/>
      <c r="V170" s="10"/>
      <c r="W170" s="10"/>
      <c r="X170" s="10"/>
      <c r="Y170" s="10"/>
      <c r="Z170" s="10"/>
      <c r="AA170" s="10"/>
      <c r="AB170" s="10"/>
      <c r="AC170" s="10"/>
      <c r="AD170" s="10"/>
      <c r="AE170" s="69"/>
      <c r="AF170" s="10"/>
      <c r="AG170" s="10"/>
      <c r="AH170" s="10"/>
      <c r="AI170" s="68"/>
      <c r="AJ170" s="10"/>
      <c r="AK170" s="10"/>
      <c r="AL170" s="10"/>
      <c r="AM170" s="10"/>
      <c r="AN170" s="10"/>
      <c r="AO170" s="10"/>
      <c r="AP170" s="10"/>
      <c r="AQ170" s="10"/>
      <c r="AR170" s="10"/>
      <c r="AS170" s="10"/>
      <c r="AT170" s="10"/>
      <c r="AU170" s="10"/>
      <c r="AV170" s="10"/>
      <c r="AW170" s="10"/>
      <c r="AX170" s="10"/>
      <c r="AY170" s="68"/>
      <c r="AZ170" s="10"/>
      <c r="BA170" s="10"/>
      <c r="BB170" s="10"/>
      <c r="BC170" s="10"/>
      <c r="BD170" s="10"/>
      <c r="BE170" s="10"/>
      <c r="BF170" s="10"/>
      <c r="BG170" s="10"/>
      <c r="BH170" s="10"/>
      <c r="BI170" s="69"/>
      <c r="BJ170" s="10"/>
      <c r="BK170" s="10"/>
      <c r="BL170" s="10"/>
      <c r="BM170" s="10"/>
      <c r="BN170" s="10"/>
      <c r="BO170" s="72"/>
    </row>
    <row r="171" ht="15.75" customHeight="1">
      <c r="A171" s="98"/>
      <c r="B171" s="68"/>
      <c r="C171" s="10"/>
      <c r="D171" s="10"/>
      <c r="E171" s="10"/>
      <c r="F171" s="10"/>
      <c r="G171" s="10"/>
      <c r="H171" s="10"/>
      <c r="I171" s="10"/>
      <c r="J171" s="10"/>
      <c r="K171" s="10"/>
      <c r="L171" s="69"/>
      <c r="M171" s="10"/>
      <c r="N171" s="10"/>
      <c r="O171" s="10"/>
      <c r="P171" s="10"/>
      <c r="Q171" s="10"/>
      <c r="R171" s="10"/>
      <c r="S171" s="68"/>
      <c r="T171" s="10"/>
      <c r="U171" s="10"/>
      <c r="V171" s="10"/>
      <c r="W171" s="10"/>
      <c r="X171" s="10"/>
      <c r="Y171" s="10"/>
      <c r="Z171" s="10"/>
      <c r="AA171" s="10"/>
      <c r="AB171" s="10"/>
      <c r="AC171" s="10"/>
      <c r="AD171" s="10"/>
      <c r="AE171" s="69"/>
      <c r="AF171" s="10"/>
      <c r="AG171" s="10"/>
      <c r="AH171" s="10"/>
      <c r="AI171" s="68"/>
      <c r="AJ171" s="10"/>
      <c r="AK171" s="10"/>
      <c r="AL171" s="10"/>
      <c r="AM171" s="10"/>
      <c r="AN171" s="10"/>
      <c r="AO171" s="10"/>
      <c r="AP171" s="10"/>
      <c r="AQ171" s="10"/>
      <c r="AR171" s="10"/>
      <c r="AS171" s="10"/>
      <c r="AT171" s="10"/>
      <c r="AU171" s="10"/>
      <c r="AV171" s="10"/>
      <c r="AW171" s="10"/>
      <c r="AX171" s="10"/>
      <c r="AY171" s="68"/>
      <c r="AZ171" s="10"/>
      <c r="BA171" s="10"/>
      <c r="BB171" s="10"/>
      <c r="BC171" s="10"/>
      <c r="BD171" s="10"/>
      <c r="BE171" s="10"/>
      <c r="BF171" s="10"/>
      <c r="BG171" s="10"/>
      <c r="BH171" s="10"/>
      <c r="BI171" s="69"/>
      <c r="BJ171" s="10"/>
      <c r="BK171" s="10"/>
      <c r="BL171" s="10"/>
      <c r="BM171" s="10"/>
      <c r="BN171" s="10"/>
      <c r="BO171" s="72"/>
    </row>
    <row r="172" ht="15.75" customHeight="1">
      <c r="A172" s="98"/>
      <c r="B172" s="68"/>
      <c r="C172" s="10"/>
      <c r="D172" s="10"/>
      <c r="E172" s="10"/>
      <c r="F172" s="10"/>
      <c r="G172" s="10"/>
      <c r="H172" s="10"/>
      <c r="I172" s="10"/>
      <c r="J172" s="10"/>
      <c r="K172" s="10"/>
      <c r="L172" s="69"/>
      <c r="M172" s="10"/>
      <c r="N172" s="10"/>
      <c r="O172" s="10"/>
      <c r="P172" s="10"/>
      <c r="Q172" s="10"/>
      <c r="R172" s="10"/>
      <c r="S172" s="68"/>
      <c r="T172" s="10"/>
      <c r="U172" s="10"/>
      <c r="V172" s="10"/>
      <c r="W172" s="10"/>
      <c r="X172" s="10"/>
      <c r="Y172" s="10"/>
      <c r="Z172" s="10"/>
      <c r="AA172" s="10"/>
      <c r="AB172" s="10"/>
      <c r="AC172" s="10"/>
      <c r="AD172" s="10"/>
      <c r="AE172" s="69"/>
      <c r="AF172" s="10"/>
      <c r="AG172" s="10"/>
      <c r="AH172" s="10"/>
      <c r="AI172" s="68"/>
      <c r="AJ172" s="10"/>
      <c r="AK172" s="10"/>
      <c r="AL172" s="10"/>
      <c r="AM172" s="10"/>
      <c r="AN172" s="10"/>
      <c r="AO172" s="10"/>
      <c r="AP172" s="10"/>
      <c r="AQ172" s="10"/>
      <c r="AR172" s="10"/>
      <c r="AS172" s="10"/>
      <c r="AT172" s="10"/>
      <c r="AU172" s="10"/>
      <c r="AV172" s="10"/>
      <c r="AW172" s="10"/>
      <c r="AX172" s="10"/>
      <c r="AY172" s="68"/>
      <c r="AZ172" s="10"/>
      <c r="BA172" s="10"/>
      <c r="BB172" s="10"/>
      <c r="BC172" s="10"/>
      <c r="BD172" s="10"/>
      <c r="BE172" s="10"/>
      <c r="BF172" s="10"/>
      <c r="BG172" s="10"/>
      <c r="BH172" s="10"/>
      <c r="BI172" s="69"/>
      <c r="BJ172" s="10"/>
      <c r="BK172" s="10"/>
      <c r="BL172" s="10"/>
      <c r="BM172" s="10"/>
      <c r="BN172" s="10"/>
      <c r="BO172" s="72"/>
    </row>
    <row r="173" ht="15.75" customHeight="1">
      <c r="A173" s="98"/>
      <c r="B173" s="68"/>
      <c r="C173" s="10"/>
      <c r="D173" s="10"/>
      <c r="E173" s="10"/>
      <c r="F173" s="10"/>
      <c r="G173" s="10"/>
      <c r="H173" s="10"/>
      <c r="I173" s="10"/>
      <c r="J173" s="10"/>
      <c r="K173" s="10"/>
      <c r="L173" s="69"/>
      <c r="M173" s="10"/>
      <c r="N173" s="10"/>
      <c r="O173" s="10"/>
      <c r="P173" s="10"/>
      <c r="Q173" s="10"/>
      <c r="R173" s="10"/>
      <c r="S173" s="68"/>
      <c r="T173" s="10"/>
      <c r="U173" s="10"/>
      <c r="V173" s="10"/>
      <c r="W173" s="10"/>
      <c r="X173" s="10"/>
      <c r="Y173" s="10"/>
      <c r="Z173" s="10"/>
      <c r="AA173" s="10"/>
      <c r="AB173" s="10"/>
      <c r="AC173" s="10"/>
      <c r="AD173" s="10"/>
      <c r="AE173" s="69"/>
      <c r="AF173" s="10"/>
      <c r="AG173" s="10"/>
      <c r="AH173" s="10"/>
      <c r="AI173" s="68"/>
      <c r="AJ173" s="10"/>
      <c r="AK173" s="10"/>
      <c r="AL173" s="10"/>
      <c r="AM173" s="10"/>
      <c r="AN173" s="10"/>
      <c r="AO173" s="10"/>
      <c r="AP173" s="10"/>
      <c r="AQ173" s="10"/>
      <c r="AR173" s="10"/>
      <c r="AS173" s="10"/>
      <c r="AT173" s="10"/>
      <c r="AU173" s="10"/>
      <c r="AV173" s="10"/>
      <c r="AW173" s="10"/>
      <c r="AX173" s="10"/>
      <c r="AY173" s="68"/>
      <c r="AZ173" s="10"/>
      <c r="BA173" s="10"/>
      <c r="BB173" s="10"/>
      <c r="BC173" s="10"/>
      <c r="BD173" s="10"/>
      <c r="BE173" s="10"/>
      <c r="BF173" s="10"/>
      <c r="BG173" s="10"/>
      <c r="BH173" s="10"/>
      <c r="BI173" s="69"/>
      <c r="BJ173" s="10"/>
      <c r="BK173" s="10"/>
      <c r="BL173" s="10"/>
      <c r="BM173" s="10"/>
      <c r="BN173" s="10"/>
      <c r="BO173" s="72"/>
    </row>
    <row r="174" ht="15.75" customHeight="1">
      <c r="A174" s="98"/>
      <c r="B174" s="68"/>
      <c r="C174" s="10"/>
      <c r="D174" s="10"/>
      <c r="E174" s="10"/>
      <c r="F174" s="10"/>
      <c r="G174" s="10"/>
      <c r="H174" s="10"/>
      <c r="I174" s="10"/>
      <c r="J174" s="10"/>
      <c r="K174" s="10"/>
      <c r="L174" s="69"/>
      <c r="M174" s="10"/>
      <c r="N174" s="10"/>
      <c r="O174" s="10"/>
      <c r="P174" s="10"/>
      <c r="Q174" s="10"/>
      <c r="R174" s="10"/>
      <c r="S174" s="68"/>
      <c r="T174" s="10"/>
      <c r="U174" s="10"/>
      <c r="V174" s="10"/>
      <c r="W174" s="10"/>
      <c r="X174" s="10"/>
      <c r="Y174" s="10"/>
      <c r="Z174" s="10"/>
      <c r="AA174" s="10"/>
      <c r="AB174" s="10"/>
      <c r="AC174" s="10"/>
      <c r="AD174" s="10"/>
      <c r="AE174" s="69"/>
      <c r="AF174" s="10"/>
      <c r="AG174" s="10"/>
      <c r="AH174" s="10"/>
      <c r="AI174" s="68"/>
      <c r="AJ174" s="10"/>
      <c r="AK174" s="10"/>
      <c r="AL174" s="10"/>
      <c r="AM174" s="10"/>
      <c r="AN174" s="10"/>
      <c r="AO174" s="10"/>
      <c r="AP174" s="10"/>
      <c r="AQ174" s="10"/>
      <c r="AR174" s="10"/>
      <c r="AS174" s="10"/>
      <c r="AT174" s="10"/>
      <c r="AU174" s="10"/>
      <c r="AV174" s="10"/>
      <c r="AW174" s="10"/>
      <c r="AX174" s="10"/>
      <c r="AY174" s="68"/>
      <c r="AZ174" s="10"/>
      <c r="BA174" s="10"/>
      <c r="BB174" s="10"/>
      <c r="BC174" s="10"/>
      <c r="BD174" s="10"/>
      <c r="BE174" s="10"/>
      <c r="BF174" s="10"/>
      <c r="BG174" s="10"/>
      <c r="BH174" s="10"/>
      <c r="BI174" s="69"/>
      <c r="BJ174" s="10"/>
      <c r="BK174" s="10"/>
      <c r="BL174" s="10"/>
      <c r="BM174" s="10"/>
      <c r="BN174" s="10"/>
      <c r="BO174" s="72"/>
    </row>
    <row r="175" ht="15.75" customHeight="1">
      <c r="A175" s="98"/>
      <c r="B175" s="68"/>
      <c r="C175" s="10"/>
      <c r="D175" s="10"/>
      <c r="E175" s="10"/>
      <c r="F175" s="10"/>
      <c r="G175" s="10"/>
      <c r="H175" s="10"/>
      <c r="I175" s="10"/>
      <c r="J175" s="10"/>
      <c r="K175" s="10"/>
      <c r="L175" s="69"/>
      <c r="M175" s="10"/>
      <c r="N175" s="10"/>
      <c r="O175" s="10"/>
      <c r="P175" s="10"/>
      <c r="Q175" s="10"/>
      <c r="R175" s="10"/>
      <c r="S175" s="68"/>
      <c r="T175" s="10"/>
      <c r="U175" s="10"/>
      <c r="V175" s="10"/>
      <c r="W175" s="10"/>
      <c r="X175" s="10"/>
      <c r="Y175" s="10"/>
      <c r="Z175" s="10"/>
      <c r="AA175" s="10"/>
      <c r="AB175" s="10"/>
      <c r="AC175" s="10"/>
      <c r="AD175" s="10"/>
      <c r="AE175" s="69"/>
      <c r="AF175" s="10"/>
      <c r="AG175" s="10"/>
      <c r="AH175" s="10"/>
      <c r="AI175" s="68"/>
      <c r="AJ175" s="10"/>
      <c r="AK175" s="10"/>
      <c r="AL175" s="10"/>
      <c r="AM175" s="10"/>
      <c r="AN175" s="10"/>
      <c r="AO175" s="10"/>
      <c r="AP175" s="10"/>
      <c r="AQ175" s="10"/>
      <c r="AR175" s="10"/>
      <c r="AS175" s="10"/>
      <c r="AT175" s="10"/>
      <c r="AU175" s="10"/>
      <c r="AV175" s="10"/>
      <c r="AW175" s="10"/>
      <c r="AX175" s="10"/>
      <c r="AY175" s="68"/>
      <c r="AZ175" s="10"/>
      <c r="BA175" s="10"/>
      <c r="BB175" s="10"/>
      <c r="BC175" s="10"/>
      <c r="BD175" s="10"/>
      <c r="BE175" s="10"/>
      <c r="BF175" s="10"/>
      <c r="BG175" s="10"/>
      <c r="BH175" s="10"/>
      <c r="BI175" s="69"/>
      <c r="BJ175" s="10"/>
      <c r="BK175" s="10"/>
      <c r="BL175" s="10"/>
      <c r="BM175" s="10"/>
      <c r="BN175" s="10"/>
      <c r="BO175" s="72"/>
    </row>
    <row r="176" ht="15.75" customHeight="1">
      <c r="A176" s="98"/>
      <c r="B176" s="68"/>
      <c r="C176" s="10"/>
      <c r="D176" s="10"/>
      <c r="E176" s="10"/>
      <c r="F176" s="10"/>
      <c r="G176" s="10"/>
      <c r="H176" s="10"/>
      <c r="I176" s="10"/>
      <c r="J176" s="10"/>
      <c r="K176" s="10"/>
      <c r="L176" s="69"/>
      <c r="M176" s="10"/>
      <c r="N176" s="10"/>
      <c r="O176" s="10"/>
      <c r="P176" s="10"/>
      <c r="Q176" s="10"/>
      <c r="R176" s="10"/>
      <c r="S176" s="68"/>
      <c r="T176" s="10"/>
      <c r="U176" s="10"/>
      <c r="V176" s="10"/>
      <c r="W176" s="10"/>
      <c r="X176" s="10"/>
      <c r="Y176" s="10"/>
      <c r="Z176" s="10"/>
      <c r="AA176" s="10"/>
      <c r="AB176" s="10"/>
      <c r="AC176" s="10"/>
      <c r="AD176" s="10"/>
      <c r="AE176" s="69"/>
      <c r="AF176" s="10"/>
      <c r="AG176" s="10"/>
      <c r="AH176" s="10"/>
      <c r="AI176" s="68"/>
      <c r="AJ176" s="10"/>
      <c r="AK176" s="10"/>
      <c r="AL176" s="10"/>
      <c r="AM176" s="10"/>
      <c r="AN176" s="10"/>
      <c r="AO176" s="10"/>
      <c r="AP176" s="10"/>
      <c r="AQ176" s="10"/>
      <c r="AR176" s="10"/>
      <c r="AS176" s="10"/>
      <c r="AT176" s="10"/>
      <c r="AU176" s="10"/>
      <c r="AV176" s="10"/>
      <c r="AW176" s="10"/>
      <c r="AX176" s="10"/>
      <c r="AY176" s="68"/>
      <c r="AZ176" s="10"/>
      <c r="BA176" s="10"/>
      <c r="BB176" s="10"/>
      <c r="BC176" s="10"/>
      <c r="BD176" s="10"/>
      <c r="BE176" s="10"/>
      <c r="BF176" s="10"/>
      <c r="BG176" s="10"/>
      <c r="BH176" s="10"/>
      <c r="BI176" s="69"/>
      <c r="BJ176" s="10"/>
      <c r="BK176" s="10"/>
      <c r="BL176" s="10"/>
      <c r="BM176" s="10"/>
      <c r="BN176" s="10"/>
      <c r="BO176" s="72"/>
    </row>
    <row r="177" ht="15.75" customHeight="1">
      <c r="A177" s="98"/>
      <c r="B177" s="68"/>
      <c r="C177" s="10"/>
      <c r="D177" s="10"/>
      <c r="E177" s="10"/>
      <c r="F177" s="10"/>
      <c r="G177" s="10"/>
      <c r="H177" s="10"/>
      <c r="I177" s="10"/>
      <c r="J177" s="10"/>
      <c r="K177" s="10"/>
      <c r="L177" s="69"/>
      <c r="M177" s="10"/>
      <c r="N177" s="10"/>
      <c r="O177" s="10"/>
      <c r="P177" s="10"/>
      <c r="Q177" s="10"/>
      <c r="R177" s="10"/>
      <c r="S177" s="68"/>
      <c r="T177" s="10"/>
      <c r="U177" s="10"/>
      <c r="V177" s="10"/>
      <c r="W177" s="10"/>
      <c r="X177" s="10"/>
      <c r="Y177" s="10"/>
      <c r="Z177" s="10"/>
      <c r="AA177" s="10"/>
      <c r="AB177" s="10"/>
      <c r="AC177" s="10"/>
      <c r="AD177" s="10"/>
      <c r="AE177" s="69"/>
      <c r="AF177" s="10"/>
      <c r="AG177" s="10"/>
      <c r="AH177" s="10"/>
      <c r="AI177" s="68"/>
      <c r="AJ177" s="10"/>
      <c r="AK177" s="10"/>
      <c r="AL177" s="10"/>
      <c r="AM177" s="10"/>
      <c r="AN177" s="10"/>
      <c r="AO177" s="10"/>
      <c r="AP177" s="10"/>
      <c r="AQ177" s="10"/>
      <c r="AR177" s="10"/>
      <c r="AS177" s="10"/>
      <c r="AT177" s="10"/>
      <c r="AU177" s="10"/>
      <c r="AV177" s="10"/>
      <c r="AW177" s="10"/>
      <c r="AX177" s="10"/>
      <c r="AY177" s="68"/>
      <c r="AZ177" s="10"/>
      <c r="BA177" s="10"/>
      <c r="BB177" s="10"/>
      <c r="BC177" s="10"/>
      <c r="BD177" s="10"/>
      <c r="BE177" s="10"/>
      <c r="BF177" s="10"/>
      <c r="BG177" s="10"/>
      <c r="BH177" s="10"/>
      <c r="BI177" s="69"/>
      <c r="BJ177" s="10"/>
      <c r="BK177" s="10"/>
      <c r="BL177" s="10"/>
      <c r="BM177" s="10"/>
      <c r="BN177" s="10"/>
      <c r="BO177" s="72"/>
    </row>
    <row r="178" ht="15.75" customHeight="1">
      <c r="A178" s="98"/>
      <c r="B178" s="68"/>
      <c r="C178" s="10"/>
      <c r="D178" s="10"/>
      <c r="E178" s="10"/>
      <c r="F178" s="10"/>
      <c r="G178" s="10"/>
      <c r="H178" s="10"/>
      <c r="I178" s="10"/>
      <c r="J178" s="10"/>
      <c r="K178" s="10"/>
      <c r="L178" s="69"/>
      <c r="M178" s="10"/>
      <c r="N178" s="10"/>
      <c r="O178" s="10"/>
      <c r="P178" s="10"/>
      <c r="Q178" s="10"/>
      <c r="R178" s="10"/>
      <c r="S178" s="68"/>
      <c r="T178" s="10"/>
      <c r="U178" s="10"/>
      <c r="V178" s="10"/>
      <c r="W178" s="10"/>
      <c r="X178" s="10"/>
      <c r="Y178" s="10"/>
      <c r="Z178" s="10"/>
      <c r="AA178" s="10"/>
      <c r="AB178" s="10"/>
      <c r="AC178" s="10"/>
      <c r="AD178" s="10"/>
      <c r="AE178" s="69"/>
      <c r="AF178" s="10"/>
      <c r="AG178" s="10"/>
      <c r="AH178" s="10"/>
      <c r="AI178" s="68"/>
      <c r="AJ178" s="10"/>
      <c r="AK178" s="10"/>
      <c r="AL178" s="10"/>
      <c r="AM178" s="10"/>
      <c r="AN178" s="10"/>
      <c r="AO178" s="10"/>
      <c r="AP178" s="10"/>
      <c r="AQ178" s="10"/>
      <c r="AR178" s="10"/>
      <c r="AS178" s="10"/>
      <c r="AT178" s="10"/>
      <c r="AU178" s="10"/>
      <c r="AV178" s="10"/>
      <c r="AW178" s="10"/>
      <c r="AX178" s="10"/>
      <c r="AY178" s="68"/>
      <c r="AZ178" s="10"/>
      <c r="BA178" s="10"/>
      <c r="BB178" s="10"/>
      <c r="BC178" s="10"/>
      <c r="BD178" s="10"/>
      <c r="BE178" s="10"/>
      <c r="BF178" s="10"/>
      <c r="BG178" s="10"/>
      <c r="BH178" s="10"/>
      <c r="BI178" s="69"/>
      <c r="BJ178" s="10"/>
      <c r="BK178" s="10"/>
      <c r="BL178" s="10"/>
      <c r="BM178" s="10"/>
      <c r="BN178" s="10"/>
      <c r="BO178" s="72"/>
    </row>
    <row r="179" ht="15.75" customHeight="1">
      <c r="A179" s="98"/>
      <c r="B179" s="68"/>
      <c r="C179" s="10"/>
      <c r="D179" s="10"/>
      <c r="E179" s="10"/>
      <c r="F179" s="10"/>
      <c r="G179" s="10"/>
      <c r="H179" s="10"/>
      <c r="I179" s="10"/>
      <c r="J179" s="10"/>
      <c r="K179" s="10"/>
      <c r="L179" s="69"/>
      <c r="M179" s="10"/>
      <c r="N179" s="10"/>
      <c r="O179" s="10"/>
      <c r="P179" s="10"/>
      <c r="Q179" s="10"/>
      <c r="R179" s="10"/>
      <c r="S179" s="68"/>
      <c r="T179" s="10"/>
      <c r="U179" s="10"/>
      <c r="V179" s="10"/>
      <c r="W179" s="10"/>
      <c r="X179" s="10"/>
      <c r="Y179" s="10"/>
      <c r="Z179" s="10"/>
      <c r="AA179" s="10"/>
      <c r="AB179" s="10"/>
      <c r="AC179" s="10"/>
      <c r="AD179" s="10"/>
      <c r="AE179" s="69"/>
      <c r="AF179" s="10"/>
      <c r="AG179" s="10"/>
      <c r="AH179" s="10"/>
      <c r="AI179" s="68"/>
      <c r="AJ179" s="10"/>
      <c r="AK179" s="10"/>
      <c r="AL179" s="10"/>
      <c r="AM179" s="10"/>
      <c r="AN179" s="10"/>
      <c r="AO179" s="10"/>
      <c r="AP179" s="10"/>
      <c r="AQ179" s="10"/>
      <c r="AR179" s="10"/>
      <c r="AS179" s="10"/>
      <c r="AT179" s="10"/>
      <c r="AU179" s="10"/>
      <c r="AV179" s="10"/>
      <c r="AW179" s="10"/>
      <c r="AX179" s="10"/>
      <c r="AY179" s="68"/>
      <c r="AZ179" s="10"/>
      <c r="BA179" s="10"/>
      <c r="BB179" s="10"/>
      <c r="BC179" s="10"/>
      <c r="BD179" s="10"/>
      <c r="BE179" s="10"/>
      <c r="BF179" s="10"/>
      <c r="BG179" s="10"/>
      <c r="BH179" s="10"/>
      <c r="BI179" s="69"/>
      <c r="BJ179" s="10"/>
      <c r="BK179" s="10"/>
      <c r="BL179" s="10"/>
      <c r="BM179" s="10"/>
      <c r="BN179" s="10"/>
      <c r="BO179" s="72"/>
    </row>
    <row r="180" ht="15.75" customHeight="1">
      <c r="A180" s="98"/>
      <c r="B180" s="68"/>
      <c r="C180" s="10"/>
      <c r="D180" s="10"/>
      <c r="E180" s="10"/>
      <c r="F180" s="10"/>
      <c r="G180" s="10"/>
      <c r="H180" s="10"/>
      <c r="I180" s="10"/>
      <c r="J180" s="10"/>
      <c r="K180" s="10"/>
      <c r="L180" s="69"/>
      <c r="M180" s="10"/>
      <c r="N180" s="10"/>
      <c r="O180" s="10"/>
      <c r="P180" s="10"/>
      <c r="Q180" s="10"/>
      <c r="R180" s="10"/>
      <c r="S180" s="68"/>
      <c r="T180" s="10"/>
      <c r="U180" s="10"/>
      <c r="V180" s="10"/>
      <c r="W180" s="10"/>
      <c r="X180" s="10"/>
      <c r="Y180" s="10"/>
      <c r="Z180" s="10"/>
      <c r="AA180" s="10"/>
      <c r="AB180" s="10"/>
      <c r="AC180" s="10"/>
      <c r="AD180" s="10"/>
      <c r="AE180" s="69"/>
      <c r="AF180" s="10"/>
      <c r="AG180" s="10"/>
      <c r="AH180" s="10"/>
      <c r="AI180" s="68"/>
      <c r="AJ180" s="10"/>
      <c r="AK180" s="10"/>
      <c r="AL180" s="10"/>
      <c r="AM180" s="10"/>
      <c r="AN180" s="10"/>
      <c r="AO180" s="10"/>
      <c r="AP180" s="10"/>
      <c r="AQ180" s="10"/>
      <c r="AR180" s="10"/>
      <c r="AS180" s="10"/>
      <c r="AT180" s="10"/>
      <c r="AU180" s="10"/>
      <c r="AV180" s="10"/>
      <c r="AW180" s="10"/>
      <c r="AX180" s="10"/>
      <c r="AY180" s="68"/>
      <c r="AZ180" s="10"/>
      <c r="BA180" s="10"/>
      <c r="BB180" s="10"/>
      <c r="BC180" s="10"/>
      <c r="BD180" s="10"/>
      <c r="BE180" s="10"/>
      <c r="BF180" s="10"/>
      <c r="BG180" s="10"/>
      <c r="BH180" s="10"/>
      <c r="BI180" s="69"/>
      <c r="BJ180" s="10"/>
      <c r="BK180" s="10"/>
      <c r="BL180" s="10"/>
      <c r="BM180" s="10"/>
      <c r="BN180" s="10"/>
      <c r="BO180" s="72"/>
    </row>
    <row r="181" ht="15.75" customHeight="1">
      <c r="A181" s="98"/>
      <c r="B181" s="68"/>
      <c r="C181" s="10"/>
      <c r="D181" s="10"/>
      <c r="E181" s="10"/>
      <c r="F181" s="10"/>
      <c r="G181" s="10"/>
      <c r="H181" s="10"/>
      <c r="I181" s="10"/>
      <c r="J181" s="10"/>
      <c r="K181" s="10"/>
      <c r="L181" s="69"/>
      <c r="M181" s="10"/>
      <c r="N181" s="10"/>
      <c r="O181" s="10"/>
      <c r="P181" s="10"/>
      <c r="Q181" s="10"/>
      <c r="R181" s="10"/>
      <c r="S181" s="68"/>
      <c r="T181" s="10"/>
      <c r="U181" s="10"/>
      <c r="V181" s="10"/>
      <c r="W181" s="10"/>
      <c r="X181" s="10"/>
      <c r="Y181" s="10"/>
      <c r="Z181" s="10"/>
      <c r="AA181" s="10"/>
      <c r="AB181" s="10"/>
      <c r="AC181" s="10"/>
      <c r="AD181" s="10"/>
      <c r="AE181" s="69"/>
      <c r="AF181" s="10"/>
      <c r="AG181" s="10"/>
      <c r="AH181" s="10"/>
      <c r="AI181" s="68"/>
      <c r="AJ181" s="10"/>
      <c r="AK181" s="10"/>
      <c r="AL181" s="10"/>
      <c r="AM181" s="10"/>
      <c r="AN181" s="10"/>
      <c r="AO181" s="10"/>
      <c r="AP181" s="10"/>
      <c r="AQ181" s="10"/>
      <c r="AR181" s="10"/>
      <c r="AS181" s="10"/>
      <c r="AT181" s="10"/>
      <c r="AU181" s="10"/>
      <c r="AV181" s="10"/>
      <c r="AW181" s="10"/>
      <c r="AX181" s="10"/>
      <c r="AY181" s="68"/>
      <c r="AZ181" s="10"/>
      <c r="BA181" s="10"/>
      <c r="BB181" s="10"/>
      <c r="BC181" s="10"/>
      <c r="BD181" s="10"/>
      <c r="BE181" s="10"/>
      <c r="BF181" s="10"/>
      <c r="BG181" s="10"/>
      <c r="BH181" s="10"/>
      <c r="BI181" s="69"/>
      <c r="BJ181" s="10"/>
      <c r="BK181" s="10"/>
      <c r="BL181" s="10"/>
      <c r="BM181" s="10"/>
      <c r="BN181" s="10"/>
      <c r="BO181" s="72"/>
    </row>
    <row r="182" ht="15.75" customHeight="1">
      <c r="A182" s="98"/>
      <c r="B182" s="68"/>
      <c r="C182" s="10"/>
      <c r="D182" s="10"/>
      <c r="E182" s="10"/>
      <c r="F182" s="10"/>
      <c r="G182" s="10"/>
      <c r="H182" s="10"/>
      <c r="I182" s="10"/>
      <c r="J182" s="10"/>
      <c r="K182" s="10"/>
      <c r="L182" s="69"/>
      <c r="M182" s="10"/>
      <c r="N182" s="10"/>
      <c r="O182" s="10"/>
      <c r="P182" s="10"/>
      <c r="Q182" s="10"/>
      <c r="R182" s="10"/>
      <c r="S182" s="68"/>
      <c r="T182" s="10"/>
      <c r="U182" s="10"/>
      <c r="V182" s="10"/>
      <c r="W182" s="10"/>
      <c r="X182" s="10"/>
      <c r="Y182" s="10"/>
      <c r="Z182" s="10"/>
      <c r="AA182" s="10"/>
      <c r="AB182" s="10"/>
      <c r="AC182" s="10"/>
      <c r="AD182" s="10"/>
      <c r="AE182" s="69"/>
      <c r="AF182" s="10"/>
      <c r="AG182" s="10"/>
      <c r="AH182" s="10"/>
      <c r="AI182" s="68"/>
      <c r="AJ182" s="10"/>
      <c r="AK182" s="10"/>
      <c r="AL182" s="10"/>
      <c r="AM182" s="10"/>
      <c r="AN182" s="10"/>
      <c r="AO182" s="10"/>
      <c r="AP182" s="10"/>
      <c r="AQ182" s="10"/>
      <c r="AR182" s="10"/>
      <c r="AS182" s="10"/>
      <c r="AT182" s="10"/>
      <c r="AU182" s="10"/>
      <c r="AV182" s="10"/>
      <c r="AW182" s="10"/>
      <c r="AX182" s="10"/>
      <c r="AY182" s="68"/>
      <c r="AZ182" s="10"/>
      <c r="BA182" s="10"/>
      <c r="BB182" s="10"/>
      <c r="BC182" s="10"/>
      <c r="BD182" s="10"/>
      <c r="BE182" s="10"/>
      <c r="BF182" s="10"/>
      <c r="BG182" s="10"/>
      <c r="BH182" s="10"/>
      <c r="BI182" s="69"/>
      <c r="BJ182" s="10"/>
      <c r="BK182" s="10"/>
      <c r="BL182" s="10"/>
      <c r="BM182" s="10"/>
      <c r="BN182" s="10"/>
      <c r="BO182" s="72"/>
    </row>
    <row r="183" ht="15.75" customHeight="1">
      <c r="A183" s="98"/>
      <c r="B183" s="68"/>
      <c r="C183" s="10"/>
      <c r="D183" s="10"/>
      <c r="E183" s="10"/>
      <c r="F183" s="10"/>
      <c r="G183" s="10"/>
      <c r="H183" s="10"/>
      <c r="I183" s="10"/>
      <c r="J183" s="10"/>
      <c r="K183" s="10"/>
      <c r="L183" s="69"/>
      <c r="M183" s="10"/>
      <c r="N183" s="10"/>
      <c r="O183" s="10"/>
      <c r="P183" s="10"/>
      <c r="Q183" s="10"/>
      <c r="R183" s="10"/>
      <c r="S183" s="68"/>
      <c r="T183" s="10"/>
      <c r="U183" s="10"/>
      <c r="V183" s="10"/>
      <c r="W183" s="10"/>
      <c r="X183" s="10"/>
      <c r="Y183" s="10"/>
      <c r="Z183" s="10"/>
      <c r="AA183" s="10"/>
      <c r="AB183" s="10"/>
      <c r="AC183" s="10"/>
      <c r="AD183" s="10"/>
      <c r="AE183" s="69"/>
      <c r="AF183" s="10"/>
      <c r="AG183" s="10"/>
      <c r="AH183" s="10"/>
      <c r="AI183" s="68"/>
      <c r="AJ183" s="10"/>
      <c r="AK183" s="10"/>
      <c r="AL183" s="10"/>
      <c r="AM183" s="10"/>
      <c r="AN183" s="10"/>
      <c r="AO183" s="10"/>
      <c r="AP183" s="10"/>
      <c r="AQ183" s="10"/>
      <c r="AR183" s="10"/>
      <c r="AS183" s="10"/>
      <c r="AT183" s="10"/>
      <c r="AU183" s="10"/>
      <c r="AV183" s="10"/>
      <c r="AW183" s="10"/>
      <c r="AX183" s="10"/>
      <c r="AY183" s="68"/>
      <c r="AZ183" s="10"/>
      <c r="BA183" s="10"/>
      <c r="BB183" s="10"/>
      <c r="BC183" s="10"/>
      <c r="BD183" s="10"/>
      <c r="BE183" s="10"/>
      <c r="BF183" s="10"/>
      <c r="BG183" s="10"/>
      <c r="BH183" s="10"/>
      <c r="BI183" s="69"/>
      <c r="BJ183" s="10"/>
      <c r="BK183" s="10"/>
      <c r="BL183" s="10"/>
      <c r="BM183" s="10"/>
      <c r="BN183" s="10"/>
      <c r="BO183" s="72"/>
    </row>
    <row r="184" ht="15.75" customHeight="1">
      <c r="A184" s="98"/>
      <c r="B184" s="68"/>
      <c r="C184" s="10"/>
      <c r="D184" s="10"/>
      <c r="E184" s="10"/>
      <c r="F184" s="10"/>
      <c r="G184" s="10"/>
      <c r="H184" s="10"/>
      <c r="I184" s="10"/>
      <c r="J184" s="10"/>
      <c r="K184" s="10"/>
      <c r="L184" s="69"/>
      <c r="M184" s="10"/>
      <c r="N184" s="10"/>
      <c r="O184" s="10"/>
      <c r="P184" s="10"/>
      <c r="Q184" s="10"/>
      <c r="R184" s="10"/>
      <c r="S184" s="68"/>
      <c r="T184" s="10"/>
      <c r="U184" s="10"/>
      <c r="V184" s="10"/>
      <c r="W184" s="10"/>
      <c r="X184" s="10"/>
      <c r="Y184" s="10"/>
      <c r="Z184" s="10"/>
      <c r="AA184" s="10"/>
      <c r="AB184" s="10"/>
      <c r="AC184" s="10"/>
      <c r="AD184" s="10"/>
      <c r="AE184" s="69"/>
      <c r="AF184" s="10"/>
      <c r="AG184" s="10"/>
      <c r="AH184" s="10"/>
      <c r="AI184" s="68"/>
      <c r="AJ184" s="10"/>
      <c r="AK184" s="10"/>
      <c r="AL184" s="10"/>
      <c r="AM184" s="10"/>
      <c r="AN184" s="10"/>
      <c r="AO184" s="10"/>
      <c r="AP184" s="10"/>
      <c r="AQ184" s="10"/>
      <c r="AR184" s="10"/>
      <c r="AS184" s="10"/>
      <c r="AT184" s="10"/>
      <c r="AU184" s="10"/>
      <c r="AV184" s="10"/>
      <c r="AW184" s="10"/>
      <c r="AX184" s="10"/>
      <c r="AY184" s="68"/>
      <c r="AZ184" s="10"/>
      <c r="BA184" s="10"/>
      <c r="BB184" s="10"/>
      <c r="BC184" s="10"/>
      <c r="BD184" s="10"/>
      <c r="BE184" s="10"/>
      <c r="BF184" s="10"/>
      <c r="BG184" s="10"/>
      <c r="BH184" s="10"/>
      <c r="BI184" s="69"/>
      <c r="BJ184" s="10"/>
      <c r="BK184" s="10"/>
      <c r="BL184" s="10"/>
      <c r="BM184" s="10"/>
      <c r="BN184" s="10"/>
      <c r="BO184" s="72"/>
    </row>
    <row r="185" ht="15.75" customHeight="1">
      <c r="A185" s="98"/>
      <c r="B185" s="68"/>
      <c r="C185" s="10"/>
      <c r="D185" s="10"/>
      <c r="E185" s="10"/>
      <c r="F185" s="10"/>
      <c r="G185" s="10"/>
      <c r="H185" s="10"/>
      <c r="I185" s="10"/>
      <c r="J185" s="10"/>
      <c r="K185" s="10"/>
      <c r="L185" s="69"/>
      <c r="M185" s="10"/>
      <c r="N185" s="10"/>
      <c r="O185" s="10"/>
      <c r="P185" s="10"/>
      <c r="Q185" s="10"/>
      <c r="R185" s="10"/>
      <c r="S185" s="68"/>
      <c r="T185" s="10"/>
      <c r="U185" s="10"/>
      <c r="V185" s="10"/>
      <c r="W185" s="10"/>
      <c r="X185" s="10"/>
      <c r="Y185" s="10"/>
      <c r="Z185" s="10"/>
      <c r="AA185" s="10"/>
      <c r="AB185" s="10"/>
      <c r="AC185" s="10"/>
      <c r="AD185" s="10"/>
      <c r="AE185" s="69"/>
      <c r="AF185" s="10"/>
      <c r="AG185" s="10"/>
      <c r="AH185" s="10"/>
      <c r="AI185" s="68"/>
      <c r="AJ185" s="10"/>
      <c r="AK185" s="10"/>
      <c r="AL185" s="10"/>
      <c r="AM185" s="10"/>
      <c r="AN185" s="10"/>
      <c r="AO185" s="10"/>
      <c r="AP185" s="10"/>
      <c r="AQ185" s="10"/>
      <c r="AR185" s="10"/>
      <c r="AS185" s="10"/>
      <c r="AT185" s="10"/>
      <c r="AU185" s="10"/>
      <c r="AV185" s="10"/>
      <c r="AW185" s="10"/>
      <c r="AX185" s="10"/>
      <c r="AY185" s="68"/>
      <c r="AZ185" s="10"/>
      <c r="BA185" s="10"/>
      <c r="BB185" s="10"/>
      <c r="BC185" s="10"/>
      <c r="BD185" s="10"/>
      <c r="BE185" s="10"/>
      <c r="BF185" s="10"/>
      <c r="BG185" s="10"/>
      <c r="BH185" s="10"/>
      <c r="BI185" s="69"/>
      <c r="BJ185" s="10"/>
      <c r="BK185" s="10"/>
      <c r="BL185" s="10"/>
      <c r="BM185" s="10"/>
      <c r="BN185" s="10"/>
      <c r="BO185" s="72"/>
    </row>
    <row r="186" ht="15.75" customHeight="1">
      <c r="A186" s="98"/>
      <c r="B186" s="68"/>
      <c r="C186" s="10"/>
      <c r="D186" s="10"/>
      <c r="E186" s="10"/>
      <c r="F186" s="10"/>
      <c r="G186" s="10"/>
      <c r="H186" s="10"/>
      <c r="I186" s="10"/>
      <c r="J186" s="10"/>
      <c r="K186" s="10"/>
      <c r="L186" s="69"/>
      <c r="M186" s="10"/>
      <c r="N186" s="10"/>
      <c r="O186" s="10"/>
      <c r="P186" s="10"/>
      <c r="Q186" s="10"/>
      <c r="R186" s="10"/>
      <c r="S186" s="68"/>
      <c r="T186" s="10"/>
      <c r="U186" s="10"/>
      <c r="V186" s="10"/>
      <c r="W186" s="10"/>
      <c r="X186" s="10"/>
      <c r="Y186" s="10"/>
      <c r="Z186" s="10"/>
      <c r="AA186" s="10"/>
      <c r="AB186" s="10"/>
      <c r="AC186" s="10"/>
      <c r="AD186" s="10"/>
      <c r="AE186" s="69"/>
      <c r="AF186" s="10"/>
      <c r="AG186" s="10"/>
      <c r="AH186" s="10"/>
      <c r="AI186" s="68"/>
      <c r="AJ186" s="10"/>
      <c r="AK186" s="10"/>
      <c r="AL186" s="10"/>
      <c r="AM186" s="10"/>
      <c r="AN186" s="10"/>
      <c r="AO186" s="10"/>
      <c r="AP186" s="10"/>
      <c r="AQ186" s="10"/>
      <c r="AR186" s="10"/>
      <c r="AS186" s="10"/>
      <c r="AT186" s="10"/>
      <c r="AU186" s="10"/>
      <c r="AV186" s="10"/>
      <c r="AW186" s="10"/>
      <c r="AX186" s="10"/>
      <c r="AY186" s="68"/>
      <c r="AZ186" s="10"/>
      <c r="BA186" s="10"/>
      <c r="BB186" s="10"/>
      <c r="BC186" s="10"/>
      <c r="BD186" s="10"/>
      <c r="BE186" s="10"/>
      <c r="BF186" s="10"/>
      <c r="BG186" s="10"/>
      <c r="BH186" s="10"/>
      <c r="BI186" s="69"/>
      <c r="BJ186" s="10"/>
      <c r="BK186" s="10"/>
      <c r="BL186" s="10"/>
      <c r="BM186" s="10"/>
      <c r="BN186" s="10"/>
      <c r="BO186" s="72"/>
    </row>
    <row r="187" ht="15.75" customHeight="1">
      <c r="A187" s="98"/>
      <c r="B187" s="68"/>
      <c r="C187" s="10"/>
      <c r="D187" s="10"/>
      <c r="E187" s="10"/>
      <c r="F187" s="10"/>
      <c r="G187" s="10"/>
      <c r="H187" s="10"/>
      <c r="I187" s="10"/>
      <c r="J187" s="10"/>
      <c r="K187" s="10"/>
      <c r="L187" s="69"/>
      <c r="M187" s="10"/>
      <c r="N187" s="10"/>
      <c r="O187" s="10"/>
      <c r="P187" s="10"/>
      <c r="Q187" s="10"/>
      <c r="R187" s="10"/>
      <c r="S187" s="68"/>
      <c r="T187" s="10"/>
      <c r="U187" s="10"/>
      <c r="V187" s="10"/>
      <c r="W187" s="10"/>
      <c r="X187" s="10"/>
      <c r="Y187" s="10"/>
      <c r="Z187" s="10"/>
      <c r="AA187" s="10"/>
      <c r="AB187" s="10"/>
      <c r="AC187" s="10"/>
      <c r="AD187" s="10"/>
      <c r="AE187" s="69"/>
      <c r="AF187" s="10"/>
      <c r="AG187" s="10"/>
      <c r="AH187" s="10"/>
      <c r="AI187" s="68"/>
      <c r="AJ187" s="10"/>
      <c r="AK187" s="10"/>
      <c r="AL187" s="10"/>
      <c r="AM187" s="10"/>
      <c r="AN187" s="10"/>
      <c r="AO187" s="10"/>
      <c r="AP187" s="10"/>
      <c r="AQ187" s="10"/>
      <c r="AR187" s="10"/>
      <c r="AS187" s="10"/>
      <c r="AT187" s="10"/>
      <c r="AU187" s="10"/>
      <c r="AV187" s="10"/>
      <c r="AW187" s="10"/>
      <c r="AX187" s="10"/>
      <c r="AY187" s="68"/>
      <c r="AZ187" s="10"/>
      <c r="BA187" s="10"/>
      <c r="BB187" s="10"/>
      <c r="BC187" s="10"/>
      <c r="BD187" s="10"/>
      <c r="BE187" s="10"/>
      <c r="BF187" s="10"/>
      <c r="BG187" s="10"/>
      <c r="BH187" s="10"/>
      <c r="BI187" s="69"/>
      <c r="BJ187" s="10"/>
      <c r="BK187" s="10"/>
      <c r="BL187" s="10"/>
      <c r="BM187" s="10"/>
      <c r="BN187" s="10"/>
      <c r="BO187" s="72"/>
    </row>
    <row r="188" ht="15.75" customHeight="1">
      <c r="A188" s="98"/>
      <c r="B188" s="68"/>
      <c r="C188" s="10"/>
      <c r="D188" s="10"/>
      <c r="E188" s="10"/>
      <c r="F188" s="10"/>
      <c r="G188" s="10"/>
      <c r="H188" s="10"/>
      <c r="I188" s="10"/>
      <c r="J188" s="10"/>
      <c r="K188" s="10"/>
      <c r="L188" s="69"/>
      <c r="M188" s="10"/>
      <c r="N188" s="10"/>
      <c r="O188" s="10"/>
      <c r="P188" s="10"/>
      <c r="Q188" s="10"/>
      <c r="R188" s="10"/>
      <c r="S188" s="68"/>
      <c r="T188" s="10"/>
      <c r="U188" s="10"/>
      <c r="V188" s="10"/>
      <c r="W188" s="10"/>
      <c r="X188" s="10"/>
      <c r="Y188" s="10"/>
      <c r="Z188" s="10"/>
      <c r="AA188" s="10"/>
      <c r="AB188" s="10"/>
      <c r="AC188" s="10"/>
      <c r="AD188" s="10"/>
      <c r="AE188" s="69"/>
      <c r="AF188" s="10"/>
      <c r="AG188" s="10"/>
      <c r="AH188" s="10"/>
      <c r="AI188" s="68"/>
      <c r="AJ188" s="10"/>
      <c r="AK188" s="10"/>
      <c r="AL188" s="10"/>
      <c r="AM188" s="10"/>
      <c r="AN188" s="10"/>
      <c r="AO188" s="10"/>
      <c r="AP188" s="10"/>
      <c r="AQ188" s="10"/>
      <c r="AR188" s="10"/>
      <c r="AS188" s="10"/>
      <c r="AT188" s="10"/>
      <c r="AU188" s="10"/>
      <c r="AV188" s="10"/>
      <c r="AW188" s="10"/>
      <c r="AX188" s="10"/>
      <c r="AY188" s="68"/>
      <c r="AZ188" s="10"/>
      <c r="BA188" s="10"/>
      <c r="BB188" s="10"/>
      <c r="BC188" s="10"/>
      <c r="BD188" s="10"/>
      <c r="BE188" s="10"/>
      <c r="BF188" s="10"/>
      <c r="BG188" s="10"/>
      <c r="BH188" s="10"/>
      <c r="BI188" s="69"/>
      <c r="BJ188" s="10"/>
      <c r="BK188" s="10"/>
      <c r="BL188" s="10"/>
      <c r="BM188" s="10"/>
      <c r="BN188" s="10"/>
      <c r="BO188" s="72"/>
    </row>
    <row r="189" ht="15.75" customHeight="1">
      <c r="A189" s="98"/>
      <c r="B189" s="68"/>
      <c r="C189" s="10"/>
      <c r="D189" s="10"/>
      <c r="E189" s="10"/>
      <c r="F189" s="10"/>
      <c r="G189" s="10"/>
      <c r="H189" s="10"/>
      <c r="I189" s="10"/>
      <c r="J189" s="10"/>
      <c r="K189" s="10"/>
      <c r="L189" s="69"/>
      <c r="M189" s="10"/>
      <c r="N189" s="10"/>
      <c r="O189" s="10"/>
      <c r="P189" s="10"/>
      <c r="Q189" s="10"/>
      <c r="R189" s="10"/>
      <c r="S189" s="68"/>
      <c r="T189" s="10"/>
      <c r="U189" s="10"/>
      <c r="V189" s="10"/>
      <c r="W189" s="10"/>
      <c r="X189" s="10"/>
      <c r="Y189" s="10"/>
      <c r="Z189" s="10"/>
      <c r="AA189" s="10"/>
      <c r="AB189" s="10"/>
      <c r="AC189" s="10"/>
      <c r="AD189" s="10"/>
      <c r="AE189" s="69"/>
      <c r="AF189" s="10"/>
      <c r="AG189" s="10"/>
      <c r="AH189" s="10"/>
      <c r="AI189" s="68"/>
      <c r="AJ189" s="10"/>
      <c r="AK189" s="10"/>
      <c r="AL189" s="10"/>
      <c r="AM189" s="10"/>
      <c r="AN189" s="10"/>
      <c r="AO189" s="10"/>
      <c r="AP189" s="10"/>
      <c r="AQ189" s="10"/>
      <c r="AR189" s="10"/>
      <c r="AS189" s="10"/>
      <c r="AT189" s="10"/>
      <c r="AU189" s="10"/>
      <c r="AV189" s="10"/>
      <c r="AW189" s="10"/>
      <c r="AX189" s="10"/>
      <c r="AY189" s="68"/>
      <c r="AZ189" s="10"/>
      <c r="BA189" s="10"/>
      <c r="BB189" s="10"/>
      <c r="BC189" s="10"/>
      <c r="BD189" s="10"/>
      <c r="BE189" s="10"/>
      <c r="BF189" s="10"/>
      <c r="BG189" s="10"/>
      <c r="BH189" s="10"/>
      <c r="BI189" s="69"/>
      <c r="BJ189" s="10"/>
      <c r="BK189" s="10"/>
      <c r="BL189" s="10"/>
      <c r="BM189" s="10"/>
      <c r="BN189" s="10"/>
      <c r="BO189" s="72"/>
    </row>
    <row r="190" ht="15.75" customHeight="1">
      <c r="A190" s="98"/>
      <c r="B190" s="68"/>
      <c r="C190" s="10"/>
      <c r="D190" s="10"/>
      <c r="E190" s="10"/>
      <c r="F190" s="10"/>
      <c r="G190" s="10"/>
      <c r="H190" s="10"/>
      <c r="I190" s="10"/>
      <c r="J190" s="10"/>
      <c r="K190" s="10"/>
      <c r="L190" s="69"/>
      <c r="M190" s="10"/>
      <c r="N190" s="10"/>
      <c r="O190" s="10"/>
      <c r="P190" s="10"/>
      <c r="Q190" s="10"/>
      <c r="R190" s="10"/>
      <c r="S190" s="68"/>
      <c r="T190" s="10"/>
      <c r="U190" s="10"/>
      <c r="V190" s="10"/>
      <c r="W190" s="10"/>
      <c r="X190" s="10"/>
      <c r="Y190" s="10"/>
      <c r="Z190" s="10"/>
      <c r="AA190" s="10"/>
      <c r="AB190" s="10"/>
      <c r="AC190" s="10"/>
      <c r="AD190" s="10"/>
      <c r="AE190" s="69"/>
      <c r="AF190" s="10"/>
      <c r="AG190" s="10"/>
      <c r="AH190" s="10"/>
      <c r="AI190" s="68"/>
      <c r="AJ190" s="10"/>
      <c r="AK190" s="10"/>
      <c r="AL190" s="10"/>
      <c r="AM190" s="10"/>
      <c r="AN190" s="10"/>
      <c r="AO190" s="10"/>
      <c r="AP190" s="10"/>
      <c r="AQ190" s="10"/>
      <c r="AR190" s="10"/>
      <c r="AS190" s="10"/>
      <c r="AT190" s="10"/>
      <c r="AU190" s="10"/>
      <c r="AV190" s="10"/>
      <c r="AW190" s="10"/>
      <c r="AX190" s="10"/>
      <c r="AY190" s="68"/>
      <c r="AZ190" s="10"/>
      <c r="BA190" s="10"/>
      <c r="BB190" s="10"/>
      <c r="BC190" s="10"/>
      <c r="BD190" s="10"/>
      <c r="BE190" s="10"/>
      <c r="BF190" s="10"/>
      <c r="BG190" s="10"/>
      <c r="BH190" s="10"/>
      <c r="BI190" s="69"/>
      <c r="BJ190" s="10"/>
      <c r="BK190" s="10"/>
      <c r="BL190" s="10"/>
      <c r="BM190" s="10"/>
      <c r="BN190" s="10"/>
      <c r="BO190" s="72"/>
    </row>
    <row r="191" ht="15.75" customHeight="1">
      <c r="A191" s="98"/>
      <c r="B191" s="68"/>
      <c r="C191" s="10"/>
      <c r="D191" s="10"/>
      <c r="E191" s="10"/>
      <c r="F191" s="10"/>
      <c r="G191" s="10"/>
      <c r="H191" s="10"/>
      <c r="I191" s="10"/>
      <c r="J191" s="10"/>
      <c r="K191" s="10"/>
      <c r="L191" s="69"/>
      <c r="M191" s="10"/>
      <c r="N191" s="10"/>
      <c r="O191" s="10"/>
      <c r="P191" s="10"/>
      <c r="Q191" s="10"/>
      <c r="R191" s="10"/>
      <c r="S191" s="68"/>
      <c r="T191" s="10"/>
      <c r="U191" s="10"/>
      <c r="V191" s="10"/>
      <c r="W191" s="10"/>
      <c r="X191" s="10"/>
      <c r="Y191" s="10"/>
      <c r="Z191" s="10"/>
      <c r="AA191" s="10"/>
      <c r="AB191" s="10"/>
      <c r="AC191" s="10"/>
      <c r="AD191" s="10"/>
      <c r="AE191" s="69"/>
      <c r="AF191" s="10"/>
      <c r="AG191" s="10"/>
      <c r="AH191" s="10"/>
      <c r="AI191" s="68"/>
      <c r="AJ191" s="10"/>
      <c r="AK191" s="10"/>
      <c r="AL191" s="10"/>
      <c r="AM191" s="10"/>
      <c r="AN191" s="10"/>
      <c r="AO191" s="10"/>
      <c r="AP191" s="10"/>
      <c r="AQ191" s="10"/>
      <c r="AR191" s="10"/>
      <c r="AS191" s="10"/>
      <c r="AT191" s="10"/>
      <c r="AU191" s="10"/>
      <c r="AV191" s="10"/>
      <c r="AW191" s="10"/>
      <c r="AX191" s="10"/>
      <c r="AY191" s="68"/>
      <c r="AZ191" s="10"/>
      <c r="BA191" s="10"/>
      <c r="BB191" s="10"/>
      <c r="BC191" s="10"/>
      <c r="BD191" s="10"/>
      <c r="BE191" s="10"/>
      <c r="BF191" s="10"/>
      <c r="BG191" s="10"/>
      <c r="BH191" s="10"/>
      <c r="BI191" s="69"/>
      <c r="BJ191" s="10"/>
      <c r="BK191" s="10"/>
      <c r="BL191" s="10"/>
      <c r="BM191" s="10"/>
      <c r="BN191" s="10"/>
      <c r="BO191" s="72"/>
    </row>
    <row r="192" ht="15.75" customHeight="1">
      <c r="A192" s="98"/>
      <c r="B192" s="68"/>
      <c r="C192" s="10"/>
      <c r="D192" s="10"/>
      <c r="E192" s="10"/>
      <c r="F192" s="10"/>
      <c r="G192" s="10"/>
      <c r="H192" s="10"/>
      <c r="I192" s="10"/>
      <c r="J192" s="10"/>
      <c r="K192" s="10"/>
      <c r="L192" s="69"/>
      <c r="M192" s="10"/>
      <c r="N192" s="10"/>
      <c r="O192" s="10"/>
      <c r="P192" s="10"/>
      <c r="Q192" s="10"/>
      <c r="R192" s="10"/>
      <c r="S192" s="68"/>
      <c r="T192" s="10"/>
      <c r="U192" s="10"/>
      <c r="V192" s="10"/>
      <c r="W192" s="10"/>
      <c r="X192" s="10"/>
      <c r="Y192" s="10"/>
      <c r="Z192" s="10"/>
      <c r="AA192" s="10"/>
      <c r="AB192" s="10"/>
      <c r="AC192" s="10"/>
      <c r="AD192" s="10"/>
      <c r="AE192" s="69"/>
      <c r="AF192" s="10"/>
      <c r="AG192" s="10"/>
      <c r="AH192" s="10"/>
      <c r="AI192" s="68"/>
      <c r="AJ192" s="10"/>
      <c r="AK192" s="10"/>
      <c r="AL192" s="10"/>
      <c r="AM192" s="10"/>
      <c r="AN192" s="10"/>
      <c r="AO192" s="10"/>
      <c r="AP192" s="10"/>
      <c r="AQ192" s="10"/>
      <c r="AR192" s="10"/>
      <c r="AS192" s="10"/>
      <c r="AT192" s="10"/>
      <c r="AU192" s="10"/>
      <c r="AV192" s="10"/>
      <c r="AW192" s="10"/>
      <c r="AX192" s="10"/>
      <c r="AY192" s="68"/>
      <c r="AZ192" s="10"/>
      <c r="BA192" s="10"/>
      <c r="BB192" s="10"/>
      <c r="BC192" s="10"/>
      <c r="BD192" s="10"/>
      <c r="BE192" s="10"/>
      <c r="BF192" s="10"/>
      <c r="BG192" s="10"/>
      <c r="BH192" s="10"/>
      <c r="BI192" s="69"/>
      <c r="BJ192" s="10"/>
      <c r="BK192" s="10"/>
      <c r="BL192" s="10"/>
      <c r="BM192" s="10"/>
      <c r="BN192" s="10"/>
      <c r="BO192" s="72"/>
    </row>
    <row r="193" ht="15.75" customHeight="1">
      <c r="A193" s="98"/>
      <c r="B193" s="68"/>
      <c r="C193" s="10"/>
      <c r="D193" s="10"/>
      <c r="E193" s="10"/>
      <c r="F193" s="10"/>
      <c r="G193" s="10"/>
      <c r="H193" s="10"/>
      <c r="I193" s="10"/>
      <c r="J193" s="10"/>
      <c r="K193" s="10"/>
      <c r="L193" s="69"/>
      <c r="M193" s="10"/>
      <c r="N193" s="10"/>
      <c r="O193" s="10"/>
      <c r="P193" s="10"/>
      <c r="Q193" s="10"/>
      <c r="R193" s="10"/>
      <c r="S193" s="68"/>
      <c r="T193" s="10"/>
      <c r="U193" s="10"/>
      <c r="V193" s="10"/>
      <c r="W193" s="10"/>
      <c r="X193" s="10"/>
      <c r="Y193" s="10"/>
      <c r="Z193" s="10"/>
      <c r="AA193" s="10"/>
      <c r="AB193" s="10"/>
      <c r="AC193" s="10"/>
      <c r="AD193" s="10"/>
      <c r="AE193" s="69"/>
      <c r="AF193" s="10"/>
      <c r="AG193" s="10"/>
      <c r="AH193" s="10"/>
      <c r="AI193" s="68"/>
      <c r="AJ193" s="10"/>
      <c r="AK193" s="10"/>
      <c r="AL193" s="10"/>
      <c r="AM193" s="10"/>
      <c r="AN193" s="10"/>
      <c r="AO193" s="10"/>
      <c r="AP193" s="10"/>
      <c r="AQ193" s="10"/>
      <c r="AR193" s="10"/>
      <c r="AS193" s="10"/>
      <c r="AT193" s="10"/>
      <c r="AU193" s="10"/>
      <c r="AV193" s="10"/>
      <c r="AW193" s="10"/>
      <c r="AX193" s="10"/>
      <c r="AY193" s="68"/>
      <c r="AZ193" s="10"/>
      <c r="BA193" s="10"/>
      <c r="BB193" s="10"/>
      <c r="BC193" s="10"/>
      <c r="BD193" s="10"/>
      <c r="BE193" s="10"/>
      <c r="BF193" s="10"/>
      <c r="BG193" s="10"/>
      <c r="BH193" s="10"/>
      <c r="BI193" s="69"/>
      <c r="BJ193" s="10"/>
      <c r="BK193" s="10"/>
      <c r="BL193" s="10"/>
      <c r="BM193" s="10"/>
      <c r="BN193" s="10"/>
      <c r="BO193" s="72"/>
    </row>
    <row r="194" ht="15.75" customHeight="1">
      <c r="A194" s="98"/>
      <c r="B194" s="68"/>
      <c r="C194" s="10"/>
      <c r="D194" s="10"/>
      <c r="E194" s="10"/>
      <c r="F194" s="10"/>
      <c r="G194" s="10"/>
      <c r="H194" s="10"/>
      <c r="I194" s="10"/>
      <c r="J194" s="10"/>
      <c r="K194" s="10"/>
      <c r="L194" s="69"/>
      <c r="M194" s="10"/>
      <c r="N194" s="10"/>
      <c r="O194" s="10"/>
      <c r="P194" s="10"/>
      <c r="Q194" s="10"/>
      <c r="R194" s="10"/>
      <c r="S194" s="68"/>
      <c r="T194" s="10"/>
      <c r="U194" s="10"/>
      <c r="V194" s="10"/>
      <c r="W194" s="10"/>
      <c r="X194" s="10"/>
      <c r="Y194" s="10"/>
      <c r="Z194" s="10"/>
      <c r="AA194" s="10"/>
      <c r="AB194" s="10"/>
      <c r="AC194" s="10"/>
      <c r="AD194" s="10"/>
      <c r="AE194" s="69"/>
      <c r="AF194" s="10"/>
      <c r="AG194" s="10"/>
      <c r="AH194" s="10"/>
      <c r="AI194" s="68"/>
      <c r="AJ194" s="10"/>
      <c r="AK194" s="10"/>
      <c r="AL194" s="10"/>
      <c r="AM194" s="10"/>
      <c r="AN194" s="10"/>
      <c r="AO194" s="10"/>
      <c r="AP194" s="10"/>
      <c r="AQ194" s="10"/>
      <c r="AR194" s="10"/>
      <c r="AS194" s="10"/>
      <c r="AT194" s="10"/>
      <c r="AU194" s="10"/>
      <c r="AV194" s="10"/>
      <c r="AW194" s="10"/>
      <c r="AX194" s="10"/>
      <c r="AY194" s="68"/>
      <c r="AZ194" s="10"/>
      <c r="BA194" s="10"/>
      <c r="BB194" s="10"/>
      <c r="BC194" s="10"/>
      <c r="BD194" s="10"/>
      <c r="BE194" s="10"/>
      <c r="BF194" s="10"/>
      <c r="BG194" s="10"/>
      <c r="BH194" s="10"/>
      <c r="BI194" s="69"/>
      <c r="BJ194" s="10"/>
      <c r="BK194" s="10"/>
      <c r="BL194" s="10"/>
      <c r="BM194" s="10"/>
      <c r="BN194" s="10"/>
      <c r="BO194" s="72"/>
    </row>
    <row r="195" ht="15.75" customHeight="1">
      <c r="A195" s="98"/>
      <c r="B195" s="68"/>
      <c r="C195" s="10"/>
      <c r="D195" s="10"/>
      <c r="E195" s="10"/>
      <c r="F195" s="10"/>
      <c r="G195" s="10"/>
      <c r="H195" s="10"/>
      <c r="I195" s="10"/>
      <c r="J195" s="10"/>
      <c r="K195" s="10"/>
      <c r="L195" s="69"/>
      <c r="M195" s="10"/>
      <c r="N195" s="10"/>
      <c r="O195" s="10"/>
      <c r="P195" s="10"/>
      <c r="Q195" s="10"/>
      <c r="R195" s="10"/>
      <c r="S195" s="68"/>
      <c r="T195" s="10"/>
      <c r="U195" s="10"/>
      <c r="V195" s="10"/>
      <c r="W195" s="10"/>
      <c r="X195" s="10"/>
      <c r="Y195" s="10"/>
      <c r="Z195" s="10"/>
      <c r="AA195" s="10"/>
      <c r="AB195" s="10"/>
      <c r="AC195" s="10"/>
      <c r="AD195" s="10"/>
      <c r="AE195" s="69"/>
      <c r="AF195" s="10"/>
      <c r="AG195" s="10"/>
      <c r="AH195" s="10"/>
      <c r="AI195" s="68"/>
      <c r="AJ195" s="10"/>
      <c r="AK195" s="10"/>
      <c r="AL195" s="10"/>
      <c r="AM195" s="10"/>
      <c r="AN195" s="10"/>
      <c r="AO195" s="10"/>
      <c r="AP195" s="10"/>
      <c r="AQ195" s="10"/>
      <c r="AR195" s="10"/>
      <c r="AS195" s="10"/>
      <c r="AT195" s="10"/>
      <c r="AU195" s="10"/>
      <c r="AV195" s="10"/>
      <c r="AW195" s="10"/>
      <c r="AX195" s="10"/>
      <c r="AY195" s="68"/>
      <c r="AZ195" s="10"/>
      <c r="BA195" s="10"/>
      <c r="BB195" s="10"/>
      <c r="BC195" s="10"/>
      <c r="BD195" s="10"/>
      <c r="BE195" s="10"/>
      <c r="BF195" s="10"/>
      <c r="BG195" s="10"/>
      <c r="BH195" s="10"/>
      <c r="BI195" s="69"/>
      <c r="BJ195" s="10"/>
      <c r="BK195" s="10"/>
      <c r="BL195" s="10"/>
      <c r="BM195" s="10"/>
      <c r="BN195" s="10"/>
      <c r="BO195" s="72"/>
    </row>
    <row r="196" ht="15.75" customHeight="1">
      <c r="A196" s="98"/>
      <c r="B196" s="68"/>
      <c r="C196" s="10"/>
      <c r="D196" s="10"/>
      <c r="E196" s="10"/>
      <c r="F196" s="10"/>
      <c r="G196" s="10"/>
      <c r="H196" s="10"/>
      <c r="I196" s="10"/>
      <c r="J196" s="10"/>
      <c r="K196" s="10"/>
      <c r="L196" s="69"/>
      <c r="M196" s="10"/>
      <c r="N196" s="10"/>
      <c r="O196" s="10"/>
      <c r="P196" s="10"/>
      <c r="Q196" s="10"/>
      <c r="R196" s="10"/>
      <c r="S196" s="68"/>
      <c r="T196" s="10"/>
      <c r="U196" s="10"/>
      <c r="V196" s="10"/>
      <c r="W196" s="10"/>
      <c r="X196" s="10"/>
      <c r="Y196" s="10"/>
      <c r="Z196" s="10"/>
      <c r="AA196" s="10"/>
      <c r="AB196" s="10"/>
      <c r="AC196" s="10"/>
      <c r="AD196" s="10"/>
      <c r="AE196" s="69"/>
      <c r="AF196" s="10"/>
      <c r="AG196" s="10"/>
      <c r="AH196" s="10"/>
      <c r="AI196" s="68"/>
      <c r="AJ196" s="10"/>
      <c r="AK196" s="10"/>
      <c r="AL196" s="10"/>
      <c r="AM196" s="10"/>
      <c r="AN196" s="10"/>
      <c r="AO196" s="10"/>
      <c r="AP196" s="10"/>
      <c r="AQ196" s="10"/>
      <c r="AR196" s="10"/>
      <c r="AS196" s="10"/>
      <c r="AT196" s="10"/>
      <c r="AU196" s="10"/>
      <c r="AV196" s="10"/>
      <c r="AW196" s="10"/>
      <c r="AX196" s="10"/>
      <c r="AY196" s="68"/>
      <c r="AZ196" s="10"/>
      <c r="BA196" s="10"/>
      <c r="BB196" s="10"/>
      <c r="BC196" s="10"/>
      <c r="BD196" s="10"/>
      <c r="BE196" s="10"/>
      <c r="BF196" s="10"/>
      <c r="BG196" s="10"/>
      <c r="BH196" s="10"/>
      <c r="BI196" s="69"/>
      <c r="BJ196" s="10"/>
      <c r="BK196" s="10"/>
      <c r="BL196" s="10"/>
      <c r="BM196" s="10"/>
      <c r="BN196" s="10"/>
      <c r="BO196" s="72"/>
    </row>
    <row r="197" ht="15.75" customHeight="1">
      <c r="A197" s="98"/>
      <c r="B197" s="68"/>
      <c r="C197" s="10"/>
      <c r="D197" s="10"/>
      <c r="E197" s="10"/>
      <c r="F197" s="10"/>
      <c r="G197" s="10"/>
      <c r="H197" s="10"/>
      <c r="I197" s="10"/>
      <c r="J197" s="10"/>
      <c r="K197" s="10"/>
      <c r="L197" s="69"/>
      <c r="M197" s="10"/>
      <c r="N197" s="10"/>
      <c r="O197" s="10"/>
      <c r="P197" s="10"/>
      <c r="Q197" s="10"/>
      <c r="R197" s="10"/>
      <c r="S197" s="68"/>
      <c r="T197" s="10"/>
      <c r="U197" s="10"/>
      <c r="V197" s="10"/>
      <c r="W197" s="10"/>
      <c r="X197" s="10"/>
      <c r="Y197" s="10"/>
      <c r="Z197" s="10"/>
      <c r="AA197" s="10"/>
      <c r="AB197" s="10"/>
      <c r="AC197" s="10"/>
      <c r="AD197" s="10"/>
      <c r="AE197" s="69"/>
      <c r="AF197" s="10"/>
      <c r="AG197" s="10"/>
      <c r="AH197" s="10"/>
      <c r="AI197" s="68"/>
      <c r="AJ197" s="10"/>
      <c r="AK197" s="10"/>
      <c r="AL197" s="10"/>
      <c r="AM197" s="10"/>
      <c r="AN197" s="10"/>
      <c r="AO197" s="10"/>
      <c r="AP197" s="10"/>
      <c r="AQ197" s="10"/>
      <c r="AR197" s="10"/>
      <c r="AS197" s="10"/>
      <c r="AT197" s="10"/>
      <c r="AU197" s="10"/>
      <c r="AV197" s="10"/>
      <c r="AW197" s="10"/>
      <c r="AX197" s="10"/>
      <c r="AY197" s="68"/>
      <c r="AZ197" s="10"/>
      <c r="BA197" s="10"/>
      <c r="BB197" s="10"/>
      <c r="BC197" s="10"/>
      <c r="BD197" s="10"/>
      <c r="BE197" s="10"/>
      <c r="BF197" s="10"/>
      <c r="BG197" s="10"/>
      <c r="BH197" s="10"/>
      <c r="BI197" s="69"/>
      <c r="BJ197" s="10"/>
      <c r="BK197" s="10"/>
      <c r="BL197" s="10"/>
      <c r="BM197" s="10"/>
      <c r="BN197" s="10"/>
      <c r="BO197" s="72"/>
    </row>
    <row r="198" ht="15.75" customHeight="1">
      <c r="A198" s="98"/>
      <c r="B198" s="68"/>
      <c r="C198" s="10"/>
      <c r="D198" s="10"/>
      <c r="E198" s="10"/>
      <c r="F198" s="10"/>
      <c r="G198" s="10"/>
      <c r="H198" s="10"/>
      <c r="I198" s="10"/>
      <c r="J198" s="10"/>
      <c r="K198" s="10"/>
      <c r="L198" s="69"/>
      <c r="M198" s="10"/>
      <c r="N198" s="10"/>
      <c r="O198" s="10"/>
      <c r="P198" s="10"/>
      <c r="Q198" s="10"/>
      <c r="R198" s="10"/>
      <c r="S198" s="68"/>
      <c r="T198" s="10"/>
      <c r="U198" s="10"/>
      <c r="V198" s="10"/>
      <c r="W198" s="10"/>
      <c r="X198" s="10"/>
      <c r="Y198" s="10"/>
      <c r="Z198" s="10"/>
      <c r="AA198" s="10"/>
      <c r="AB198" s="10"/>
      <c r="AC198" s="10"/>
      <c r="AD198" s="10"/>
      <c r="AE198" s="69"/>
      <c r="AF198" s="10"/>
      <c r="AG198" s="10"/>
      <c r="AH198" s="10"/>
      <c r="AI198" s="68"/>
      <c r="AJ198" s="10"/>
      <c r="AK198" s="10"/>
      <c r="AL198" s="10"/>
      <c r="AM198" s="10"/>
      <c r="AN198" s="10"/>
      <c r="AO198" s="10"/>
      <c r="AP198" s="10"/>
      <c r="AQ198" s="10"/>
      <c r="AR198" s="10"/>
      <c r="AS198" s="10"/>
      <c r="AT198" s="10"/>
      <c r="AU198" s="10"/>
      <c r="AV198" s="10"/>
      <c r="AW198" s="10"/>
      <c r="AX198" s="10"/>
      <c r="AY198" s="68"/>
      <c r="AZ198" s="10"/>
      <c r="BA198" s="10"/>
      <c r="BB198" s="10"/>
      <c r="BC198" s="10"/>
      <c r="BD198" s="10"/>
      <c r="BE198" s="10"/>
      <c r="BF198" s="10"/>
      <c r="BG198" s="10"/>
      <c r="BH198" s="10"/>
      <c r="BI198" s="69"/>
      <c r="BJ198" s="10"/>
      <c r="BK198" s="10"/>
      <c r="BL198" s="10"/>
      <c r="BM198" s="10"/>
      <c r="BN198" s="10"/>
      <c r="BO198" s="72"/>
    </row>
    <row r="199" ht="15.75" customHeight="1">
      <c r="A199" s="98"/>
      <c r="B199" s="68"/>
      <c r="C199" s="10"/>
      <c r="D199" s="10"/>
      <c r="E199" s="10"/>
      <c r="F199" s="10"/>
      <c r="G199" s="10"/>
      <c r="H199" s="10"/>
      <c r="I199" s="10"/>
      <c r="J199" s="10"/>
      <c r="K199" s="10"/>
      <c r="L199" s="69"/>
      <c r="M199" s="10"/>
      <c r="N199" s="10"/>
      <c r="O199" s="10"/>
      <c r="P199" s="10"/>
      <c r="Q199" s="10"/>
      <c r="R199" s="10"/>
      <c r="S199" s="68"/>
      <c r="T199" s="10"/>
      <c r="U199" s="10"/>
      <c r="V199" s="10"/>
      <c r="W199" s="10"/>
      <c r="X199" s="10"/>
      <c r="Y199" s="10"/>
      <c r="Z199" s="10"/>
      <c r="AA199" s="10"/>
      <c r="AB199" s="10"/>
      <c r="AC199" s="10"/>
      <c r="AD199" s="10"/>
      <c r="AE199" s="69"/>
      <c r="AF199" s="10"/>
      <c r="AG199" s="10"/>
      <c r="AH199" s="10"/>
      <c r="AI199" s="68"/>
      <c r="AJ199" s="10"/>
      <c r="AK199" s="10"/>
      <c r="AL199" s="10"/>
      <c r="AM199" s="10"/>
      <c r="AN199" s="10"/>
      <c r="AO199" s="10"/>
      <c r="AP199" s="10"/>
      <c r="AQ199" s="10"/>
      <c r="AR199" s="10"/>
      <c r="AS199" s="10"/>
      <c r="AT199" s="10"/>
      <c r="AU199" s="10"/>
      <c r="AV199" s="10"/>
      <c r="AW199" s="10"/>
      <c r="AX199" s="10"/>
      <c r="AY199" s="68"/>
      <c r="AZ199" s="10"/>
      <c r="BA199" s="10"/>
      <c r="BB199" s="10"/>
      <c r="BC199" s="10"/>
      <c r="BD199" s="10"/>
      <c r="BE199" s="10"/>
      <c r="BF199" s="10"/>
      <c r="BG199" s="10"/>
      <c r="BH199" s="10"/>
      <c r="BI199" s="69"/>
      <c r="BJ199" s="10"/>
      <c r="BK199" s="10"/>
      <c r="BL199" s="10"/>
      <c r="BM199" s="10"/>
      <c r="BN199" s="10"/>
      <c r="BO199" s="72"/>
    </row>
    <row r="200" ht="15.75" customHeight="1">
      <c r="A200" s="98"/>
      <c r="B200" s="68"/>
      <c r="C200" s="10"/>
      <c r="D200" s="10"/>
      <c r="E200" s="10"/>
      <c r="F200" s="10"/>
      <c r="G200" s="10"/>
      <c r="H200" s="10"/>
      <c r="I200" s="10"/>
      <c r="J200" s="10"/>
      <c r="K200" s="10"/>
      <c r="L200" s="69"/>
      <c r="M200" s="10"/>
      <c r="N200" s="10"/>
      <c r="O200" s="10"/>
      <c r="P200" s="10"/>
      <c r="Q200" s="10"/>
      <c r="R200" s="10"/>
      <c r="S200" s="68"/>
      <c r="T200" s="10"/>
      <c r="U200" s="10"/>
      <c r="V200" s="10"/>
      <c r="W200" s="10"/>
      <c r="X200" s="10"/>
      <c r="Y200" s="10"/>
      <c r="Z200" s="10"/>
      <c r="AA200" s="10"/>
      <c r="AB200" s="10"/>
      <c r="AC200" s="10"/>
      <c r="AD200" s="10"/>
      <c r="AE200" s="69"/>
      <c r="AF200" s="10"/>
      <c r="AG200" s="10"/>
      <c r="AH200" s="10"/>
      <c r="AI200" s="68"/>
      <c r="AJ200" s="10"/>
      <c r="AK200" s="10"/>
      <c r="AL200" s="10"/>
      <c r="AM200" s="10"/>
      <c r="AN200" s="10"/>
      <c r="AO200" s="10"/>
      <c r="AP200" s="10"/>
      <c r="AQ200" s="10"/>
      <c r="AR200" s="10"/>
      <c r="AS200" s="10"/>
      <c r="AT200" s="10"/>
      <c r="AU200" s="10"/>
      <c r="AV200" s="10"/>
      <c r="AW200" s="10"/>
      <c r="AX200" s="10"/>
      <c r="AY200" s="68"/>
      <c r="AZ200" s="10"/>
      <c r="BA200" s="10"/>
      <c r="BB200" s="10"/>
      <c r="BC200" s="10"/>
      <c r="BD200" s="10"/>
      <c r="BE200" s="10"/>
      <c r="BF200" s="10"/>
      <c r="BG200" s="10"/>
      <c r="BH200" s="10"/>
      <c r="BI200" s="69"/>
      <c r="BJ200" s="10"/>
      <c r="BK200" s="10"/>
      <c r="BL200" s="10"/>
      <c r="BM200" s="10"/>
      <c r="BN200" s="10"/>
      <c r="BO200" s="72"/>
    </row>
    <row r="201" ht="15.75" customHeight="1">
      <c r="A201" s="98"/>
      <c r="B201" s="68"/>
      <c r="C201" s="10"/>
      <c r="D201" s="10"/>
      <c r="E201" s="10"/>
      <c r="F201" s="10"/>
      <c r="G201" s="10"/>
      <c r="H201" s="10"/>
      <c r="I201" s="10"/>
      <c r="J201" s="10"/>
      <c r="K201" s="10"/>
      <c r="L201" s="69"/>
      <c r="M201" s="10"/>
      <c r="N201" s="10"/>
      <c r="O201" s="10"/>
      <c r="P201" s="10"/>
      <c r="Q201" s="10"/>
      <c r="R201" s="10"/>
      <c r="S201" s="68"/>
      <c r="T201" s="10"/>
      <c r="U201" s="10"/>
      <c r="V201" s="10"/>
      <c r="W201" s="10"/>
      <c r="X201" s="10"/>
      <c r="Y201" s="10"/>
      <c r="Z201" s="10"/>
      <c r="AA201" s="10"/>
      <c r="AB201" s="10"/>
      <c r="AC201" s="10"/>
      <c r="AD201" s="10"/>
      <c r="AE201" s="69"/>
      <c r="AF201" s="10"/>
      <c r="AG201" s="10"/>
      <c r="AH201" s="10"/>
      <c r="AI201" s="68"/>
      <c r="AJ201" s="10"/>
      <c r="AK201" s="10"/>
      <c r="AL201" s="10"/>
      <c r="AM201" s="10"/>
      <c r="AN201" s="10"/>
      <c r="AO201" s="10"/>
      <c r="AP201" s="10"/>
      <c r="AQ201" s="10"/>
      <c r="AR201" s="10"/>
      <c r="AS201" s="10"/>
      <c r="AT201" s="10"/>
      <c r="AU201" s="10"/>
      <c r="AV201" s="10"/>
      <c r="AW201" s="10"/>
      <c r="AX201" s="10"/>
      <c r="AY201" s="68"/>
      <c r="AZ201" s="10"/>
      <c r="BA201" s="10"/>
      <c r="BB201" s="10"/>
      <c r="BC201" s="10"/>
      <c r="BD201" s="10"/>
      <c r="BE201" s="10"/>
      <c r="BF201" s="10"/>
      <c r="BG201" s="10"/>
      <c r="BH201" s="10"/>
      <c r="BI201" s="69"/>
      <c r="BJ201" s="10"/>
      <c r="BK201" s="10"/>
      <c r="BL201" s="10"/>
      <c r="BM201" s="10"/>
      <c r="BN201" s="10"/>
      <c r="BO201" s="72"/>
    </row>
    <row r="202" ht="15.75" customHeight="1">
      <c r="A202" s="98"/>
      <c r="B202" s="68"/>
      <c r="C202" s="10"/>
      <c r="D202" s="10"/>
      <c r="E202" s="10"/>
      <c r="F202" s="10"/>
      <c r="G202" s="10"/>
      <c r="H202" s="10"/>
      <c r="I202" s="10"/>
      <c r="J202" s="10"/>
      <c r="K202" s="10"/>
      <c r="L202" s="69"/>
      <c r="M202" s="10"/>
      <c r="N202" s="10"/>
      <c r="O202" s="10"/>
      <c r="P202" s="10"/>
      <c r="Q202" s="10"/>
      <c r="R202" s="10"/>
      <c r="S202" s="68"/>
      <c r="T202" s="10"/>
      <c r="U202" s="10"/>
      <c r="V202" s="10"/>
      <c r="W202" s="10"/>
      <c r="X202" s="10"/>
      <c r="Y202" s="10"/>
      <c r="Z202" s="10"/>
      <c r="AA202" s="10"/>
      <c r="AB202" s="10"/>
      <c r="AC202" s="10"/>
      <c r="AD202" s="10"/>
      <c r="AE202" s="69"/>
      <c r="AF202" s="10"/>
      <c r="AG202" s="10"/>
      <c r="AH202" s="10"/>
      <c r="AI202" s="68"/>
      <c r="AJ202" s="10"/>
      <c r="AK202" s="10"/>
      <c r="AL202" s="10"/>
      <c r="AM202" s="10"/>
      <c r="AN202" s="10"/>
      <c r="AO202" s="10"/>
      <c r="AP202" s="10"/>
      <c r="AQ202" s="10"/>
      <c r="AR202" s="10"/>
      <c r="AS202" s="10"/>
      <c r="AT202" s="10"/>
      <c r="AU202" s="10"/>
      <c r="AV202" s="10"/>
      <c r="AW202" s="10"/>
      <c r="AX202" s="10"/>
      <c r="AY202" s="68"/>
      <c r="AZ202" s="10"/>
      <c r="BA202" s="10"/>
      <c r="BB202" s="10"/>
      <c r="BC202" s="10"/>
      <c r="BD202" s="10"/>
      <c r="BE202" s="10"/>
      <c r="BF202" s="10"/>
      <c r="BG202" s="10"/>
      <c r="BH202" s="10"/>
      <c r="BI202" s="69"/>
      <c r="BJ202" s="10"/>
      <c r="BK202" s="10"/>
      <c r="BL202" s="10"/>
      <c r="BM202" s="10"/>
      <c r="BN202" s="10"/>
      <c r="BO202" s="72"/>
    </row>
    <row r="203" ht="15.75" customHeight="1">
      <c r="A203" s="98"/>
      <c r="B203" s="68"/>
      <c r="C203" s="10"/>
      <c r="D203" s="10"/>
      <c r="E203" s="10"/>
      <c r="F203" s="10"/>
      <c r="G203" s="10"/>
      <c r="H203" s="10"/>
      <c r="I203" s="10"/>
      <c r="J203" s="10"/>
      <c r="K203" s="10"/>
      <c r="L203" s="69"/>
      <c r="M203" s="10"/>
      <c r="N203" s="10"/>
      <c r="O203" s="10"/>
      <c r="P203" s="10"/>
      <c r="Q203" s="10"/>
      <c r="R203" s="10"/>
      <c r="S203" s="68"/>
      <c r="T203" s="10"/>
      <c r="U203" s="10"/>
      <c r="V203" s="10"/>
      <c r="W203" s="10"/>
      <c r="X203" s="10"/>
      <c r="Y203" s="10"/>
      <c r="Z203" s="10"/>
      <c r="AA203" s="10"/>
      <c r="AB203" s="10"/>
      <c r="AC203" s="10"/>
      <c r="AD203" s="10"/>
      <c r="AE203" s="69"/>
      <c r="AF203" s="10"/>
      <c r="AG203" s="10"/>
      <c r="AH203" s="10"/>
      <c r="AI203" s="68"/>
      <c r="AJ203" s="10"/>
      <c r="AK203" s="10"/>
      <c r="AL203" s="10"/>
      <c r="AM203" s="10"/>
      <c r="AN203" s="10"/>
      <c r="AO203" s="10"/>
      <c r="AP203" s="10"/>
      <c r="AQ203" s="10"/>
      <c r="AR203" s="10"/>
      <c r="AS203" s="10"/>
      <c r="AT203" s="10"/>
      <c r="AU203" s="10"/>
      <c r="AV203" s="10"/>
      <c r="AW203" s="10"/>
      <c r="AX203" s="10"/>
      <c r="AY203" s="68"/>
      <c r="AZ203" s="10"/>
      <c r="BA203" s="10"/>
      <c r="BB203" s="10"/>
      <c r="BC203" s="10"/>
      <c r="BD203" s="10"/>
      <c r="BE203" s="10"/>
      <c r="BF203" s="10"/>
      <c r="BG203" s="10"/>
      <c r="BH203" s="10"/>
      <c r="BI203" s="69"/>
      <c r="BJ203" s="10"/>
      <c r="BK203" s="10"/>
      <c r="BL203" s="10"/>
      <c r="BM203" s="10"/>
      <c r="BN203" s="10"/>
      <c r="BO203" s="72"/>
    </row>
    <row r="204" ht="15.75" customHeight="1">
      <c r="A204" s="98"/>
      <c r="B204" s="68"/>
      <c r="C204" s="10"/>
      <c r="D204" s="10"/>
      <c r="E204" s="10"/>
      <c r="F204" s="10"/>
      <c r="G204" s="10"/>
      <c r="H204" s="10"/>
      <c r="I204" s="10"/>
      <c r="J204" s="10"/>
      <c r="K204" s="10"/>
      <c r="L204" s="69"/>
      <c r="M204" s="10"/>
      <c r="N204" s="10"/>
      <c r="O204" s="10"/>
      <c r="P204" s="10"/>
      <c r="Q204" s="10"/>
      <c r="R204" s="10"/>
      <c r="S204" s="68"/>
      <c r="T204" s="10"/>
      <c r="U204" s="10"/>
      <c r="V204" s="10"/>
      <c r="W204" s="10"/>
      <c r="X204" s="10"/>
      <c r="Y204" s="10"/>
      <c r="Z204" s="10"/>
      <c r="AA204" s="10"/>
      <c r="AB204" s="10"/>
      <c r="AC204" s="10"/>
      <c r="AD204" s="10"/>
      <c r="AE204" s="69"/>
      <c r="AF204" s="10"/>
      <c r="AG204" s="10"/>
      <c r="AH204" s="10"/>
      <c r="AI204" s="68"/>
      <c r="AJ204" s="10"/>
      <c r="AK204" s="10"/>
      <c r="AL204" s="10"/>
      <c r="AM204" s="10"/>
      <c r="AN204" s="10"/>
      <c r="AO204" s="10"/>
      <c r="AP204" s="10"/>
      <c r="AQ204" s="10"/>
      <c r="AR204" s="10"/>
      <c r="AS204" s="10"/>
      <c r="AT204" s="10"/>
      <c r="AU204" s="10"/>
      <c r="AV204" s="10"/>
      <c r="AW204" s="10"/>
      <c r="AX204" s="10"/>
      <c r="AY204" s="68"/>
      <c r="AZ204" s="10"/>
      <c r="BA204" s="10"/>
      <c r="BB204" s="10"/>
      <c r="BC204" s="10"/>
      <c r="BD204" s="10"/>
      <c r="BE204" s="10"/>
      <c r="BF204" s="10"/>
      <c r="BG204" s="10"/>
      <c r="BH204" s="10"/>
      <c r="BI204" s="69"/>
      <c r="BJ204" s="10"/>
      <c r="BK204" s="10"/>
      <c r="BL204" s="10"/>
      <c r="BM204" s="10"/>
      <c r="BN204" s="10"/>
      <c r="BO204" s="72"/>
    </row>
    <row r="205" ht="15.75" customHeight="1">
      <c r="A205" s="98"/>
      <c r="B205" s="68"/>
      <c r="C205" s="10"/>
      <c r="D205" s="10"/>
      <c r="E205" s="10"/>
      <c r="F205" s="10"/>
      <c r="G205" s="10"/>
      <c r="H205" s="10"/>
      <c r="I205" s="10"/>
      <c r="J205" s="10"/>
      <c r="K205" s="10"/>
      <c r="L205" s="69"/>
      <c r="M205" s="10"/>
      <c r="N205" s="10"/>
      <c r="O205" s="10"/>
      <c r="P205" s="10"/>
      <c r="Q205" s="10"/>
      <c r="R205" s="10"/>
      <c r="S205" s="68"/>
      <c r="T205" s="10"/>
      <c r="U205" s="10"/>
      <c r="V205" s="10"/>
      <c r="W205" s="10"/>
      <c r="X205" s="10"/>
      <c r="Y205" s="10"/>
      <c r="Z205" s="10"/>
      <c r="AA205" s="10"/>
      <c r="AB205" s="10"/>
      <c r="AC205" s="10"/>
      <c r="AD205" s="10"/>
      <c r="AE205" s="69"/>
      <c r="AF205" s="10"/>
      <c r="AG205" s="10"/>
      <c r="AH205" s="10"/>
      <c r="AI205" s="68"/>
      <c r="AJ205" s="10"/>
      <c r="AK205" s="10"/>
      <c r="AL205" s="10"/>
      <c r="AM205" s="10"/>
      <c r="AN205" s="10"/>
      <c r="AO205" s="10"/>
      <c r="AP205" s="10"/>
      <c r="AQ205" s="10"/>
      <c r="AR205" s="10"/>
      <c r="AS205" s="10"/>
      <c r="AT205" s="10"/>
      <c r="AU205" s="10"/>
      <c r="AV205" s="10"/>
      <c r="AW205" s="10"/>
      <c r="AX205" s="10"/>
      <c r="AY205" s="68"/>
      <c r="AZ205" s="10"/>
      <c r="BA205" s="10"/>
      <c r="BB205" s="10"/>
      <c r="BC205" s="10"/>
      <c r="BD205" s="10"/>
      <c r="BE205" s="10"/>
      <c r="BF205" s="10"/>
      <c r="BG205" s="10"/>
      <c r="BH205" s="10"/>
      <c r="BI205" s="69"/>
      <c r="BJ205" s="10"/>
      <c r="BK205" s="10"/>
      <c r="BL205" s="10"/>
      <c r="BM205" s="10"/>
      <c r="BN205" s="10"/>
      <c r="BO205" s="72"/>
    </row>
    <row r="206" ht="15.75" customHeight="1">
      <c r="A206" s="98"/>
      <c r="B206" s="68"/>
      <c r="C206" s="10"/>
      <c r="D206" s="10"/>
      <c r="E206" s="10"/>
      <c r="F206" s="10"/>
      <c r="G206" s="10"/>
      <c r="H206" s="10"/>
      <c r="I206" s="10"/>
      <c r="J206" s="10"/>
      <c r="K206" s="10"/>
      <c r="L206" s="69"/>
      <c r="M206" s="10"/>
      <c r="N206" s="10"/>
      <c r="O206" s="10"/>
      <c r="P206" s="10"/>
      <c r="Q206" s="10"/>
      <c r="R206" s="10"/>
      <c r="S206" s="68"/>
      <c r="T206" s="10"/>
      <c r="U206" s="10"/>
      <c r="V206" s="10"/>
      <c r="W206" s="10"/>
      <c r="X206" s="10"/>
      <c r="Y206" s="10"/>
      <c r="Z206" s="10"/>
      <c r="AA206" s="10"/>
      <c r="AB206" s="10"/>
      <c r="AC206" s="10"/>
      <c r="AD206" s="10"/>
      <c r="AE206" s="69"/>
      <c r="AF206" s="10"/>
      <c r="AG206" s="10"/>
      <c r="AH206" s="10"/>
      <c r="AI206" s="68"/>
      <c r="AJ206" s="10"/>
      <c r="AK206" s="10"/>
      <c r="AL206" s="10"/>
      <c r="AM206" s="10"/>
      <c r="AN206" s="10"/>
      <c r="AO206" s="10"/>
      <c r="AP206" s="10"/>
      <c r="AQ206" s="10"/>
      <c r="AR206" s="10"/>
      <c r="AS206" s="10"/>
      <c r="AT206" s="10"/>
      <c r="AU206" s="10"/>
      <c r="AV206" s="10"/>
      <c r="AW206" s="10"/>
      <c r="AX206" s="10"/>
      <c r="AY206" s="68"/>
      <c r="AZ206" s="10"/>
      <c r="BA206" s="10"/>
      <c r="BB206" s="10"/>
      <c r="BC206" s="10"/>
      <c r="BD206" s="10"/>
      <c r="BE206" s="10"/>
      <c r="BF206" s="10"/>
      <c r="BG206" s="10"/>
      <c r="BH206" s="10"/>
      <c r="BI206" s="69"/>
      <c r="BJ206" s="10"/>
      <c r="BK206" s="10"/>
      <c r="BL206" s="10"/>
      <c r="BM206" s="10"/>
      <c r="BN206" s="10"/>
      <c r="BO206" s="72"/>
    </row>
    <row r="207" ht="15.75" customHeight="1">
      <c r="A207" s="98"/>
      <c r="B207" s="68"/>
      <c r="C207" s="10"/>
      <c r="D207" s="10"/>
      <c r="E207" s="10"/>
      <c r="F207" s="10"/>
      <c r="G207" s="10"/>
      <c r="H207" s="10"/>
      <c r="I207" s="10"/>
      <c r="J207" s="10"/>
      <c r="K207" s="10"/>
      <c r="L207" s="69"/>
      <c r="M207" s="10"/>
      <c r="N207" s="10"/>
      <c r="O207" s="10"/>
      <c r="P207" s="10"/>
      <c r="Q207" s="10"/>
      <c r="R207" s="10"/>
      <c r="S207" s="68"/>
      <c r="T207" s="10"/>
      <c r="U207" s="10"/>
      <c r="V207" s="10"/>
      <c r="W207" s="10"/>
      <c r="X207" s="10"/>
      <c r="Y207" s="10"/>
      <c r="Z207" s="10"/>
      <c r="AA207" s="10"/>
      <c r="AB207" s="10"/>
      <c r="AC207" s="10"/>
      <c r="AD207" s="10"/>
      <c r="AE207" s="69"/>
      <c r="AF207" s="10"/>
      <c r="AG207" s="10"/>
      <c r="AH207" s="10"/>
      <c r="AI207" s="68"/>
      <c r="AJ207" s="10"/>
      <c r="AK207" s="10"/>
      <c r="AL207" s="10"/>
      <c r="AM207" s="10"/>
      <c r="AN207" s="10"/>
      <c r="AO207" s="10"/>
      <c r="AP207" s="10"/>
      <c r="AQ207" s="10"/>
      <c r="AR207" s="10"/>
      <c r="AS207" s="10"/>
      <c r="AT207" s="10"/>
      <c r="AU207" s="10"/>
      <c r="AV207" s="10"/>
      <c r="AW207" s="10"/>
      <c r="AX207" s="10"/>
      <c r="AY207" s="68"/>
      <c r="AZ207" s="10"/>
      <c r="BA207" s="10"/>
      <c r="BB207" s="10"/>
      <c r="BC207" s="10"/>
      <c r="BD207" s="10"/>
      <c r="BE207" s="10"/>
      <c r="BF207" s="10"/>
      <c r="BG207" s="10"/>
      <c r="BH207" s="10"/>
      <c r="BI207" s="69"/>
      <c r="BJ207" s="10"/>
      <c r="BK207" s="10"/>
      <c r="BL207" s="10"/>
      <c r="BM207" s="10"/>
      <c r="BN207" s="10"/>
      <c r="BO207" s="72"/>
    </row>
    <row r="208" ht="15.75" customHeight="1">
      <c r="A208" s="98"/>
      <c r="B208" s="68"/>
      <c r="C208" s="10"/>
      <c r="D208" s="10"/>
      <c r="E208" s="10"/>
      <c r="F208" s="10"/>
      <c r="G208" s="10"/>
      <c r="H208" s="10"/>
      <c r="I208" s="10"/>
      <c r="J208" s="10"/>
      <c r="K208" s="10"/>
      <c r="L208" s="69"/>
      <c r="M208" s="10"/>
      <c r="N208" s="10"/>
      <c r="O208" s="10"/>
      <c r="P208" s="10"/>
      <c r="Q208" s="10"/>
      <c r="R208" s="10"/>
      <c r="S208" s="68"/>
      <c r="T208" s="10"/>
      <c r="U208" s="10"/>
      <c r="V208" s="10"/>
      <c r="W208" s="10"/>
      <c r="X208" s="10"/>
      <c r="Y208" s="10"/>
      <c r="Z208" s="10"/>
      <c r="AA208" s="10"/>
      <c r="AB208" s="10"/>
      <c r="AC208" s="10"/>
      <c r="AD208" s="10"/>
      <c r="AE208" s="69"/>
      <c r="AF208" s="10"/>
      <c r="AG208" s="10"/>
      <c r="AH208" s="10"/>
      <c r="AI208" s="68"/>
      <c r="AJ208" s="10"/>
      <c r="AK208" s="10"/>
      <c r="AL208" s="10"/>
      <c r="AM208" s="10"/>
      <c r="AN208" s="10"/>
      <c r="AO208" s="10"/>
      <c r="AP208" s="10"/>
      <c r="AQ208" s="10"/>
      <c r="AR208" s="10"/>
      <c r="AS208" s="10"/>
      <c r="AT208" s="10"/>
      <c r="AU208" s="10"/>
      <c r="AV208" s="10"/>
      <c r="AW208" s="10"/>
      <c r="AX208" s="10"/>
      <c r="AY208" s="68"/>
      <c r="AZ208" s="10"/>
      <c r="BA208" s="10"/>
      <c r="BB208" s="10"/>
      <c r="BC208" s="10"/>
      <c r="BD208" s="10"/>
      <c r="BE208" s="10"/>
      <c r="BF208" s="10"/>
      <c r="BG208" s="10"/>
      <c r="BH208" s="10"/>
      <c r="BI208" s="69"/>
      <c r="BJ208" s="10"/>
      <c r="BK208" s="10"/>
      <c r="BL208" s="10"/>
      <c r="BM208" s="10"/>
      <c r="BN208" s="10"/>
      <c r="BO208" s="72"/>
    </row>
    <row r="209" ht="15.75" customHeight="1">
      <c r="A209" s="98"/>
      <c r="B209" s="68"/>
      <c r="C209" s="10"/>
      <c r="D209" s="10"/>
      <c r="E209" s="10"/>
      <c r="F209" s="10"/>
      <c r="G209" s="10"/>
      <c r="H209" s="10"/>
      <c r="I209" s="10"/>
      <c r="J209" s="10"/>
      <c r="K209" s="10"/>
      <c r="L209" s="69"/>
      <c r="M209" s="10"/>
      <c r="N209" s="10"/>
      <c r="O209" s="10"/>
      <c r="P209" s="10"/>
      <c r="Q209" s="10"/>
      <c r="R209" s="10"/>
      <c r="S209" s="68"/>
      <c r="T209" s="10"/>
      <c r="U209" s="10"/>
      <c r="V209" s="10"/>
      <c r="W209" s="10"/>
      <c r="X209" s="10"/>
      <c r="Y209" s="10"/>
      <c r="Z209" s="10"/>
      <c r="AA209" s="10"/>
      <c r="AB209" s="10"/>
      <c r="AC209" s="10"/>
      <c r="AD209" s="10"/>
      <c r="AE209" s="69"/>
      <c r="AF209" s="10"/>
      <c r="AG209" s="10"/>
      <c r="AH209" s="10"/>
      <c r="AI209" s="68"/>
      <c r="AJ209" s="10"/>
      <c r="AK209" s="10"/>
      <c r="AL209" s="10"/>
      <c r="AM209" s="10"/>
      <c r="AN209" s="10"/>
      <c r="AO209" s="10"/>
      <c r="AP209" s="10"/>
      <c r="AQ209" s="10"/>
      <c r="AR209" s="10"/>
      <c r="AS209" s="10"/>
      <c r="AT209" s="10"/>
      <c r="AU209" s="10"/>
      <c r="AV209" s="10"/>
      <c r="AW209" s="10"/>
      <c r="AX209" s="10"/>
      <c r="AY209" s="68"/>
      <c r="AZ209" s="10"/>
      <c r="BA209" s="10"/>
      <c r="BB209" s="10"/>
      <c r="BC209" s="10"/>
      <c r="BD209" s="10"/>
      <c r="BE209" s="10"/>
      <c r="BF209" s="10"/>
      <c r="BG209" s="10"/>
      <c r="BH209" s="10"/>
      <c r="BI209" s="69"/>
      <c r="BJ209" s="10"/>
      <c r="BK209" s="10"/>
      <c r="BL209" s="10"/>
      <c r="BM209" s="10"/>
      <c r="BN209" s="10"/>
      <c r="BO209" s="72"/>
    </row>
    <row r="210" ht="15.75" customHeight="1">
      <c r="A210" s="98"/>
      <c r="B210" s="68"/>
      <c r="C210" s="10"/>
      <c r="D210" s="10"/>
      <c r="E210" s="10"/>
      <c r="F210" s="10"/>
      <c r="G210" s="10"/>
      <c r="H210" s="10"/>
      <c r="I210" s="10"/>
      <c r="J210" s="10"/>
      <c r="K210" s="10"/>
      <c r="L210" s="69"/>
      <c r="M210" s="10"/>
      <c r="N210" s="10"/>
      <c r="O210" s="10"/>
      <c r="P210" s="10"/>
      <c r="Q210" s="10"/>
      <c r="R210" s="10"/>
      <c r="S210" s="68"/>
      <c r="T210" s="10"/>
      <c r="U210" s="10"/>
      <c r="V210" s="10"/>
      <c r="W210" s="10"/>
      <c r="X210" s="10"/>
      <c r="Y210" s="10"/>
      <c r="Z210" s="10"/>
      <c r="AA210" s="10"/>
      <c r="AB210" s="10"/>
      <c r="AC210" s="10"/>
      <c r="AD210" s="10"/>
      <c r="AE210" s="69"/>
      <c r="AF210" s="10"/>
      <c r="AG210" s="10"/>
      <c r="AH210" s="10"/>
      <c r="AI210" s="68"/>
      <c r="AJ210" s="10"/>
      <c r="AK210" s="10"/>
      <c r="AL210" s="10"/>
      <c r="AM210" s="10"/>
      <c r="AN210" s="10"/>
      <c r="AO210" s="10"/>
      <c r="AP210" s="10"/>
      <c r="AQ210" s="10"/>
      <c r="AR210" s="10"/>
      <c r="AS210" s="10"/>
      <c r="AT210" s="10"/>
      <c r="AU210" s="10"/>
      <c r="AV210" s="10"/>
      <c r="AW210" s="10"/>
      <c r="AX210" s="10"/>
      <c r="AY210" s="68"/>
      <c r="AZ210" s="10"/>
      <c r="BA210" s="10"/>
      <c r="BB210" s="10"/>
      <c r="BC210" s="10"/>
      <c r="BD210" s="10"/>
      <c r="BE210" s="10"/>
      <c r="BF210" s="10"/>
      <c r="BG210" s="10"/>
      <c r="BH210" s="10"/>
      <c r="BI210" s="69"/>
      <c r="BJ210" s="10"/>
      <c r="BK210" s="10"/>
      <c r="BL210" s="10"/>
      <c r="BM210" s="10"/>
      <c r="BN210" s="10"/>
      <c r="BO210" s="72"/>
    </row>
    <row r="211" ht="15.75" customHeight="1">
      <c r="A211" s="98"/>
      <c r="B211" s="68"/>
      <c r="C211" s="10"/>
      <c r="D211" s="10"/>
      <c r="E211" s="10"/>
      <c r="F211" s="10"/>
      <c r="G211" s="10"/>
      <c r="H211" s="10"/>
      <c r="I211" s="10"/>
      <c r="J211" s="10"/>
      <c r="K211" s="10"/>
      <c r="L211" s="69"/>
      <c r="M211" s="10"/>
      <c r="N211" s="10"/>
      <c r="O211" s="10"/>
      <c r="P211" s="10"/>
      <c r="Q211" s="10"/>
      <c r="R211" s="10"/>
      <c r="S211" s="68"/>
      <c r="T211" s="10"/>
      <c r="U211" s="10"/>
      <c r="V211" s="10"/>
      <c r="W211" s="10"/>
      <c r="X211" s="10"/>
      <c r="Y211" s="10"/>
      <c r="Z211" s="10"/>
      <c r="AA211" s="10"/>
      <c r="AB211" s="10"/>
      <c r="AC211" s="10"/>
      <c r="AD211" s="10"/>
      <c r="AE211" s="69"/>
      <c r="AF211" s="10"/>
      <c r="AG211" s="10"/>
      <c r="AH211" s="10"/>
      <c r="AI211" s="68"/>
      <c r="AJ211" s="10"/>
      <c r="AK211" s="10"/>
      <c r="AL211" s="10"/>
      <c r="AM211" s="10"/>
      <c r="AN211" s="10"/>
      <c r="AO211" s="10"/>
      <c r="AP211" s="10"/>
      <c r="AQ211" s="10"/>
      <c r="AR211" s="10"/>
      <c r="AS211" s="10"/>
      <c r="AT211" s="10"/>
      <c r="AU211" s="10"/>
      <c r="AV211" s="10"/>
      <c r="AW211" s="10"/>
      <c r="AX211" s="10"/>
      <c r="AY211" s="68"/>
      <c r="AZ211" s="10"/>
      <c r="BA211" s="10"/>
      <c r="BB211" s="10"/>
      <c r="BC211" s="10"/>
      <c r="BD211" s="10"/>
      <c r="BE211" s="10"/>
      <c r="BF211" s="10"/>
      <c r="BG211" s="10"/>
      <c r="BH211" s="10"/>
      <c r="BI211" s="69"/>
      <c r="BJ211" s="10"/>
      <c r="BK211" s="10"/>
      <c r="BL211" s="10"/>
      <c r="BM211" s="10"/>
      <c r="BN211" s="10"/>
      <c r="BO211" s="72"/>
    </row>
    <row r="212" ht="15.75" customHeight="1">
      <c r="A212" s="98"/>
      <c r="B212" s="68"/>
      <c r="C212" s="10"/>
      <c r="D212" s="10"/>
      <c r="E212" s="10"/>
      <c r="F212" s="10"/>
      <c r="G212" s="10"/>
      <c r="H212" s="10"/>
      <c r="I212" s="10"/>
      <c r="J212" s="10"/>
      <c r="K212" s="10"/>
      <c r="L212" s="69"/>
      <c r="M212" s="10"/>
      <c r="N212" s="10"/>
      <c r="O212" s="10"/>
      <c r="P212" s="10"/>
      <c r="Q212" s="10"/>
      <c r="R212" s="10"/>
      <c r="S212" s="68"/>
      <c r="T212" s="10"/>
      <c r="U212" s="10"/>
      <c r="V212" s="10"/>
      <c r="W212" s="10"/>
      <c r="X212" s="10"/>
      <c r="Y212" s="10"/>
      <c r="Z212" s="10"/>
      <c r="AA212" s="10"/>
      <c r="AB212" s="10"/>
      <c r="AC212" s="10"/>
      <c r="AD212" s="10"/>
      <c r="AE212" s="69"/>
      <c r="AF212" s="10"/>
      <c r="AG212" s="10"/>
      <c r="AH212" s="10"/>
      <c r="AI212" s="68"/>
      <c r="AJ212" s="10"/>
      <c r="AK212" s="10"/>
      <c r="AL212" s="10"/>
      <c r="AM212" s="10"/>
      <c r="AN212" s="10"/>
      <c r="AO212" s="10"/>
      <c r="AP212" s="10"/>
      <c r="AQ212" s="10"/>
      <c r="AR212" s="10"/>
      <c r="AS212" s="10"/>
      <c r="AT212" s="10"/>
      <c r="AU212" s="10"/>
      <c r="AV212" s="10"/>
      <c r="AW212" s="10"/>
      <c r="AX212" s="10"/>
      <c r="AY212" s="68"/>
      <c r="AZ212" s="10"/>
      <c r="BA212" s="10"/>
      <c r="BB212" s="10"/>
      <c r="BC212" s="10"/>
      <c r="BD212" s="10"/>
      <c r="BE212" s="10"/>
      <c r="BF212" s="10"/>
      <c r="BG212" s="10"/>
      <c r="BH212" s="10"/>
      <c r="BI212" s="69"/>
      <c r="BJ212" s="10"/>
      <c r="BK212" s="10"/>
      <c r="BL212" s="10"/>
      <c r="BM212" s="10"/>
      <c r="BN212" s="10"/>
      <c r="BO212" s="72"/>
    </row>
    <row r="213" ht="15.75" customHeight="1">
      <c r="A213" s="98"/>
      <c r="B213" s="68"/>
      <c r="C213" s="10"/>
      <c r="D213" s="10"/>
      <c r="E213" s="10"/>
      <c r="F213" s="10"/>
      <c r="G213" s="10"/>
      <c r="H213" s="10"/>
      <c r="I213" s="10"/>
      <c r="J213" s="10"/>
      <c r="K213" s="10"/>
      <c r="L213" s="69"/>
      <c r="M213" s="10"/>
      <c r="N213" s="10"/>
      <c r="O213" s="10"/>
      <c r="P213" s="10"/>
      <c r="Q213" s="10"/>
      <c r="R213" s="10"/>
      <c r="S213" s="68"/>
      <c r="T213" s="10"/>
      <c r="U213" s="10"/>
      <c r="V213" s="10"/>
      <c r="W213" s="10"/>
      <c r="X213" s="10"/>
      <c r="Y213" s="10"/>
      <c r="Z213" s="10"/>
      <c r="AA213" s="10"/>
      <c r="AB213" s="10"/>
      <c r="AC213" s="10"/>
      <c r="AD213" s="10"/>
      <c r="AE213" s="69"/>
      <c r="AF213" s="10"/>
      <c r="AG213" s="10"/>
      <c r="AH213" s="10"/>
      <c r="AI213" s="68"/>
      <c r="AJ213" s="10"/>
      <c r="AK213" s="10"/>
      <c r="AL213" s="10"/>
      <c r="AM213" s="10"/>
      <c r="AN213" s="10"/>
      <c r="AO213" s="10"/>
      <c r="AP213" s="10"/>
      <c r="AQ213" s="10"/>
      <c r="AR213" s="10"/>
      <c r="AS213" s="10"/>
      <c r="AT213" s="10"/>
      <c r="AU213" s="10"/>
      <c r="AV213" s="10"/>
      <c r="AW213" s="10"/>
      <c r="AX213" s="10"/>
      <c r="AY213" s="68"/>
      <c r="AZ213" s="10"/>
      <c r="BA213" s="10"/>
      <c r="BB213" s="10"/>
      <c r="BC213" s="10"/>
      <c r="BD213" s="10"/>
      <c r="BE213" s="10"/>
      <c r="BF213" s="10"/>
      <c r="BG213" s="10"/>
      <c r="BH213" s="10"/>
      <c r="BI213" s="69"/>
      <c r="BJ213" s="10"/>
      <c r="BK213" s="10"/>
      <c r="BL213" s="10"/>
      <c r="BM213" s="10"/>
      <c r="BN213" s="10"/>
      <c r="BO213" s="72"/>
    </row>
    <row r="214" ht="15.75" customHeight="1">
      <c r="A214" s="98"/>
      <c r="B214" s="68"/>
      <c r="C214" s="10"/>
      <c r="D214" s="10"/>
      <c r="E214" s="10"/>
      <c r="F214" s="10"/>
      <c r="G214" s="10"/>
      <c r="H214" s="10"/>
      <c r="I214" s="10"/>
      <c r="J214" s="10"/>
      <c r="K214" s="10"/>
      <c r="L214" s="69"/>
      <c r="M214" s="10"/>
      <c r="N214" s="10"/>
      <c r="O214" s="10"/>
      <c r="P214" s="10"/>
      <c r="Q214" s="10"/>
      <c r="R214" s="10"/>
      <c r="S214" s="68"/>
      <c r="T214" s="10"/>
      <c r="U214" s="10"/>
      <c r="V214" s="10"/>
      <c r="W214" s="10"/>
      <c r="X214" s="10"/>
      <c r="Y214" s="10"/>
      <c r="Z214" s="10"/>
      <c r="AA214" s="10"/>
      <c r="AB214" s="10"/>
      <c r="AC214" s="10"/>
      <c r="AD214" s="10"/>
      <c r="AE214" s="69"/>
      <c r="AF214" s="10"/>
      <c r="AG214" s="10"/>
      <c r="AH214" s="10"/>
      <c r="AI214" s="68"/>
      <c r="AJ214" s="10"/>
      <c r="AK214" s="10"/>
      <c r="AL214" s="10"/>
      <c r="AM214" s="10"/>
      <c r="AN214" s="10"/>
      <c r="AO214" s="10"/>
      <c r="AP214" s="10"/>
      <c r="AQ214" s="10"/>
      <c r="AR214" s="10"/>
      <c r="AS214" s="10"/>
      <c r="AT214" s="10"/>
      <c r="AU214" s="10"/>
      <c r="AV214" s="10"/>
      <c r="AW214" s="10"/>
      <c r="AX214" s="10"/>
      <c r="AY214" s="68"/>
      <c r="AZ214" s="10"/>
      <c r="BA214" s="10"/>
      <c r="BB214" s="10"/>
      <c r="BC214" s="10"/>
      <c r="BD214" s="10"/>
      <c r="BE214" s="10"/>
      <c r="BF214" s="10"/>
      <c r="BG214" s="10"/>
      <c r="BH214" s="10"/>
      <c r="BI214" s="69"/>
      <c r="BJ214" s="10"/>
      <c r="BK214" s="10"/>
      <c r="BL214" s="10"/>
      <c r="BM214" s="10"/>
      <c r="BN214" s="10"/>
      <c r="BO214" s="72"/>
    </row>
    <row r="215" ht="15.75" customHeight="1">
      <c r="A215" s="98"/>
      <c r="B215" s="68"/>
      <c r="C215" s="10"/>
      <c r="D215" s="10"/>
      <c r="E215" s="10"/>
      <c r="F215" s="10"/>
      <c r="G215" s="10"/>
      <c r="H215" s="10"/>
      <c r="I215" s="10"/>
      <c r="J215" s="10"/>
      <c r="K215" s="10"/>
      <c r="L215" s="69"/>
      <c r="M215" s="10"/>
      <c r="N215" s="10"/>
      <c r="O215" s="10"/>
      <c r="P215" s="10"/>
      <c r="Q215" s="10"/>
      <c r="R215" s="10"/>
      <c r="S215" s="68"/>
      <c r="T215" s="10"/>
      <c r="U215" s="10"/>
      <c r="V215" s="10"/>
      <c r="W215" s="10"/>
      <c r="X215" s="10"/>
      <c r="Y215" s="10"/>
      <c r="Z215" s="10"/>
      <c r="AA215" s="10"/>
      <c r="AB215" s="10"/>
      <c r="AC215" s="10"/>
      <c r="AD215" s="10"/>
      <c r="AE215" s="69"/>
      <c r="AF215" s="10"/>
      <c r="AG215" s="10"/>
      <c r="AH215" s="10"/>
      <c r="AI215" s="68"/>
      <c r="AJ215" s="10"/>
      <c r="AK215" s="10"/>
      <c r="AL215" s="10"/>
      <c r="AM215" s="10"/>
      <c r="AN215" s="10"/>
      <c r="AO215" s="10"/>
      <c r="AP215" s="10"/>
      <c r="AQ215" s="10"/>
      <c r="AR215" s="10"/>
      <c r="AS215" s="10"/>
      <c r="AT215" s="10"/>
      <c r="AU215" s="10"/>
      <c r="AV215" s="10"/>
      <c r="AW215" s="10"/>
      <c r="AX215" s="10"/>
      <c r="AY215" s="68"/>
      <c r="AZ215" s="10"/>
      <c r="BA215" s="10"/>
      <c r="BB215" s="10"/>
      <c r="BC215" s="10"/>
      <c r="BD215" s="10"/>
      <c r="BE215" s="10"/>
      <c r="BF215" s="10"/>
      <c r="BG215" s="10"/>
      <c r="BH215" s="10"/>
      <c r="BI215" s="69"/>
      <c r="BJ215" s="10"/>
      <c r="BK215" s="10"/>
      <c r="BL215" s="10"/>
      <c r="BM215" s="10"/>
      <c r="BN215" s="10"/>
      <c r="BO215" s="72"/>
    </row>
    <row r="216" ht="15.75" customHeight="1">
      <c r="A216" s="98"/>
      <c r="B216" s="68"/>
      <c r="C216" s="10"/>
      <c r="D216" s="10"/>
      <c r="E216" s="10"/>
      <c r="F216" s="10"/>
      <c r="G216" s="10"/>
      <c r="H216" s="10"/>
      <c r="I216" s="10"/>
      <c r="J216" s="10"/>
      <c r="K216" s="10"/>
      <c r="L216" s="69"/>
      <c r="M216" s="10"/>
      <c r="N216" s="10"/>
      <c r="O216" s="10"/>
      <c r="P216" s="10"/>
      <c r="Q216" s="10"/>
      <c r="R216" s="10"/>
      <c r="S216" s="68"/>
      <c r="T216" s="10"/>
      <c r="U216" s="10"/>
      <c r="V216" s="10"/>
      <c r="W216" s="10"/>
      <c r="X216" s="10"/>
      <c r="Y216" s="10"/>
      <c r="Z216" s="10"/>
      <c r="AA216" s="10"/>
      <c r="AB216" s="10"/>
      <c r="AC216" s="10"/>
      <c r="AD216" s="10"/>
      <c r="AE216" s="69"/>
      <c r="AF216" s="10"/>
      <c r="AG216" s="10"/>
      <c r="AH216" s="10"/>
      <c r="AI216" s="68"/>
      <c r="AJ216" s="10"/>
      <c r="AK216" s="10"/>
      <c r="AL216" s="10"/>
      <c r="AM216" s="10"/>
      <c r="AN216" s="10"/>
      <c r="AO216" s="10"/>
      <c r="AP216" s="10"/>
      <c r="AQ216" s="10"/>
      <c r="AR216" s="10"/>
      <c r="AS216" s="10"/>
      <c r="AT216" s="10"/>
      <c r="AU216" s="10"/>
      <c r="AV216" s="10"/>
      <c r="AW216" s="10"/>
      <c r="AX216" s="10"/>
      <c r="AY216" s="68"/>
      <c r="AZ216" s="10"/>
      <c r="BA216" s="10"/>
      <c r="BB216" s="10"/>
      <c r="BC216" s="10"/>
      <c r="BD216" s="10"/>
      <c r="BE216" s="10"/>
      <c r="BF216" s="10"/>
      <c r="BG216" s="10"/>
      <c r="BH216" s="10"/>
      <c r="BI216" s="69"/>
      <c r="BJ216" s="10"/>
      <c r="BK216" s="10"/>
      <c r="BL216" s="10"/>
      <c r="BM216" s="10"/>
      <c r="BN216" s="10"/>
      <c r="BO216" s="72"/>
    </row>
    <row r="217" ht="15.75" customHeight="1">
      <c r="A217" s="98"/>
      <c r="B217" s="68"/>
      <c r="C217" s="10"/>
      <c r="D217" s="10"/>
      <c r="E217" s="10"/>
      <c r="F217" s="10"/>
      <c r="G217" s="10"/>
      <c r="H217" s="10"/>
      <c r="I217" s="10"/>
      <c r="J217" s="10"/>
      <c r="K217" s="10"/>
      <c r="L217" s="69"/>
      <c r="M217" s="10"/>
      <c r="N217" s="10"/>
      <c r="O217" s="10"/>
      <c r="P217" s="10"/>
      <c r="Q217" s="10"/>
      <c r="R217" s="10"/>
      <c r="S217" s="68"/>
      <c r="T217" s="10"/>
      <c r="U217" s="10"/>
      <c r="V217" s="10"/>
      <c r="W217" s="10"/>
      <c r="X217" s="10"/>
      <c r="Y217" s="10"/>
      <c r="Z217" s="10"/>
      <c r="AA217" s="10"/>
      <c r="AB217" s="10"/>
      <c r="AC217" s="10"/>
      <c r="AD217" s="10"/>
      <c r="AE217" s="69"/>
      <c r="AF217" s="10"/>
      <c r="AG217" s="10"/>
      <c r="AH217" s="10"/>
      <c r="AI217" s="68"/>
      <c r="AJ217" s="10"/>
      <c r="AK217" s="10"/>
      <c r="AL217" s="10"/>
      <c r="AM217" s="10"/>
      <c r="AN217" s="10"/>
      <c r="AO217" s="10"/>
      <c r="AP217" s="10"/>
      <c r="AQ217" s="10"/>
      <c r="AR217" s="10"/>
      <c r="AS217" s="10"/>
      <c r="AT217" s="10"/>
      <c r="AU217" s="10"/>
      <c r="AV217" s="10"/>
      <c r="AW217" s="10"/>
      <c r="AX217" s="10"/>
      <c r="AY217" s="68"/>
      <c r="AZ217" s="10"/>
      <c r="BA217" s="10"/>
      <c r="BB217" s="10"/>
      <c r="BC217" s="10"/>
      <c r="BD217" s="10"/>
      <c r="BE217" s="10"/>
      <c r="BF217" s="10"/>
      <c r="BG217" s="10"/>
      <c r="BH217" s="10"/>
      <c r="BI217" s="69"/>
      <c r="BJ217" s="10"/>
      <c r="BK217" s="10"/>
      <c r="BL217" s="10"/>
      <c r="BM217" s="10"/>
      <c r="BN217" s="10"/>
      <c r="BO217" s="72"/>
    </row>
    <row r="218" ht="15.75" customHeight="1">
      <c r="A218" s="98"/>
      <c r="B218" s="68"/>
      <c r="C218" s="10"/>
      <c r="D218" s="10"/>
      <c r="E218" s="10"/>
      <c r="F218" s="10"/>
      <c r="G218" s="10"/>
      <c r="H218" s="10"/>
      <c r="I218" s="10"/>
      <c r="J218" s="10"/>
      <c r="K218" s="10"/>
      <c r="L218" s="69"/>
      <c r="M218" s="10"/>
      <c r="N218" s="10"/>
      <c r="O218" s="10"/>
      <c r="P218" s="10"/>
      <c r="Q218" s="10"/>
      <c r="R218" s="10"/>
      <c r="S218" s="68"/>
      <c r="T218" s="10"/>
      <c r="U218" s="10"/>
      <c r="V218" s="10"/>
      <c r="W218" s="10"/>
      <c r="X218" s="10"/>
      <c r="Y218" s="10"/>
      <c r="Z218" s="10"/>
      <c r="AA218" s="10"/>
      <c r="AB218" s="10"/>
      <c r="AC218" s="10"/>
      <c r="AD218" s="10"/>
      <c r="AE218" s="69"/>
      <c r="AF218" s="10"/>
      <c r="AG218" s="10"/>
      <c r="AH218" s="10"/>
      <c r="AI218" s="68"/>
      <c r="AJ218" s="10"/>
      <c r="AK218" s="10"/>
      <c r="AL218" s="10"/>
      <c r="AM218" s="10"/>
      <c r="AN218" s="10"/>
      <c r="AO218" s="10"/>
      <c r="AP218" s="10"/>
      <c r="AQ218" s="10"/>
      <c r="AR218" s="10"/>
      <c r="AS218" s="10"/>
      <c r="AT218" s="10"/>
      <c r="AU218" s="10"/>
      <c r="AV218" s="10"/>
      <c r="AW218" s="10"/>
      <c r="AX218" s="10"/>
      <c r="AY218" s="68"/>
      <c r="AZ218" s="10"/>
      <c r="BA218" s="10"/>
      <c r="BB218" s="10"/>
      <c r="BC218" s="10"/>
      <c r="BD218" s="10"/>
      <c r="BE218" s="10"/>
      <c r="BF218" s="10"/>
      <c r="BG218" s="10"/>
      <c r="BH218" s="10"/>
      <c r="BI218" s="69"/>
      <c r="BJ218" s="10"/>
      <c r="BK218" s="10"/>
      <c r="BL218" s="10"/>
      <c r="BM218" s="10"/>
      <c r="BN218" s="10"/>
      <c r="BO218" s="72"/>
    </row>
    <row r="219" ht="15.75" customHeight="1">
      <c r="A219" s="98"/>
      <c r="B219" s="68"/>
      <c r="C219" s="10"/>
      <c r="D219" s="10"/>
      <c r="E219" s="10"/>
      <c r="F219" s="10"/>
      <c r="G219" s="10"/>
      <c r="H219" s="10"/>
      <c r="I219" s="10"/>
      <c r="J219" s="10"/>
      <c r="K219" s="10"/>
      <c r="L219" s="69"/>
      <c r="M219" s="10"/>
      <c r="N219" s="10"/>
      <c r="O219" s="10"/>
      <c r="P219" s="10"/>
      <c r="Q219" s="10"/>
      <c r="R219" s="10"/>
      <c r="S219" s="68"/>
      <c r="T219" s="10"/>
      <c r="U219" s="10"/>
      <c r="V219" s="10"/>
      <c r="W219" s="10"/>
      <c r="X219" s="10"/>
      <c r="Y219" s="10"/>
      <c r="Z219" s="10"/>
      <c r="AA219" s="10"/>
      <c r="AB219" s="10"/>
      <c r="AC219" s="10"/>
      <c r="AD219" s="10"/>
      <c r="AE219" s="69"/>
      <c r="AF219" s="10"/>
      <c r="AG219" s="10"/>
      <c r="AH219" s="10"/>
      <c r="AI219" s="68"/>
      <c r="AJ219" s="10"/>
      <c r="AK219" s="10"/>
      <c r="AL219" s="10"/>
      <c r="AM219" s="10"/>
      <c r="AN219" s="10"/>
      <c r="AO219" s="10"/>
      <c r="AP219" s="10"/>
      <c r="AQ219" s="10"/>
      <c r="AR219" s="10"/>
      <c r="AS219" s="10"/>
      <c r="AT219" s="10"/>
      <c r="AU219" s="10"/>
      <c r="AV219" s="10"/>
      <c r="AW219" s="10"/>
      <c r="AX219" s="10"/>
      <c r="AY219" s="68"/>
      <c r="AZ219" s="10"/>
      <c r="BA219" s="10"/>
      <c r="BB219" s="10"/>
      <c r="BC219" s="10"/>
      <c r="BD219" s="10"/>
      <c r="BE219" s="10"/>
      <c r="BF219" s="10"/>
      <c r="BG219" s="10"/>
      <c r="BH219" s="10"/>
      <c r="BI219" s="69"/>
      <c r="BJ219" s="10"/>
      <c r="BK219" s="10"/>
      <c r="BL219" s="10"/>
      <c r="BM219" s="10"/>
      <c r="BN219" s="10"/>
      <c r="BO219" s="72"/>
    </row>
    <row r="220" ht="15.75" customHeight="1">
      <c r="A220" s="98"/>
      <c r="B220" s="68"/>
      <c r="C220" s="10"/>
      <c r="D220" s="10"/>
      <c r="E220" s="10"/>
      <c r="F220" s="10"/>
      <c r="G220" s="10"/>
      <c r="H220" s="10"/>
      <c r="I220" s="10"/>
      <c r="J220" s="10"/>
      <c r="K220" s="10"/>
      <c r="L220" s="69"/>
      <c r="M220" s="10"/>
      <c r="N220" s="10"/>
      <c r="O220" s="10"/>
      <c r="P220" s="10"/>
      <c r="Q220" s="10"/>
      <c r="R220" s="10"/>
      <c r="S220" s="68"/>
      <c r="T220" s="10"/>
      <c r="U220" s="10"/>
      <c r="V220" s="10"/>
      <c r="W220" s="10"/>
      <c r="X220" s="10"/>
      <c r="Y220" s="10"/>
      <c r="Z220" s="10"/>
      <c r="AA220" s="10"/>
      <c r="AB220" s="10"/>
      <c r="AC220" s="10"/>
      <c r="AD220" s="10"/>
      <c r="AE220" s="69"/>
      <c r="AF220" s="10"/>
      <c r="AG220" s="10"/>
      <c r="AH220" s="10"/>
      <c r="AI220" s="68"/>
      <c r="AJ220" s="10"/>
      <c r="AK220" s="10"/>
      <c r="AL220" s="10"/>
      <c r="AM220" s="10"/>
      <c r="AN220" s="10"/>
      <c r="AO220" s="10"/>
      <c r="AP220" s="10"/>
      <c r="AQ220" s="10"/>
      <c r="AR220" s="10"/>
      <c r="AS220" s="10"/>
      <c r="AT220" s="10"/>
      <c r="AU220" s="10"/>
      <c r="AV220" s="10"/>
      <c r="AW220" s="10"/>
      <c r="AX220" s="10"/>
      <c r="AY220" s="68"/>
      <c r="AZ220" s="10"/>
      <c r="BA220" s="10"/>
      <c r="BB220" s="10"/>
      <c r="BC220" s="10"/>
      <c r="BD220" s="10"/>
      <c r="BE220" s="10"/>
      <c r="BF220" s="10"/>
      <c r="BG220" s="10"/>
      <c r="BH220" s="10"/>
      <c r="BI220" s="69"/>
      <c r="BJ220" s="10"/>
      <c r="BK220" s="10"/>
      <c r="BL220" s="10"/>
      <c r="BM220" s="10"/>
      <c r="BN220" s="10"/>
      <c r="BO220" s="72"/>
    </row>
    <row r="221" ht="15.75" customHeight="1">
      <c r="A221" s="98"/>
      <c r="B221" s="68"/>
      <c r="C221" s="10"/>
      <c r="D221" s="10"/>
      <c r="E221" s="10"/>
      <c r="F221" s="10"/>
      <c r="G221" s="10"/>
      <c r="H221" s="10"/>
      <c r="I221" s="10"/>
      <c r="J221" s="10"/>
      <c r="K221" s="10"/>
      <c r="L221" s="69"/>
      <c r="M221" s="10"/>
      <c r="N221" s="10"/>
      <c r="O221" s="10"/>
      <c r="P221" s="10"/>
      <c r="Q221" s="10"/>
      <c r="R221" s="10"/>
      <c r="S221" s="68"/>
      <c r="T221" s="10"/>
      <c r="U221" s="10"/>
      <c r="V221" s="10"/>
      <c r="W221" s="10"/>
      <c r="X221" s="10"/>
      <c r="Y221" s="10"/>
      <c r="Z221" s="10"/>
      <c r="AA221" s="10"/>
      <c r="AB221" s="10"/>
      <c r="AC221" s="10"/>
      <c r="AD221" s="10"/>
      <c r="AE221" s="69"/>
      <c r="AF221" s="10"/>
      <c r="AG221" s="10"/>
      <c r="AH221" s="10"/>
      <c r="AI221" s="68"/>
      <c r="AJ221" s="10"/>
      <c r="AK221" s="10"/>
      <c r="AL221" s="10"/>
      <c r="AM221" s="10"/>
      <c r="AN221" s="10"/>
      <c r="AO221" s="10"/>
      <c r="AP221" s="10"/>
      <c r="AQ221" s="10"/>
      <c r="AR221" s="10"/>
      <c r="AS221" s="10"/>
      <c r="AT221" s="10"/>
      <c r="AU221" s="10"/>
      <c r="AV221" s="10"/>
      <c r="AW221" s="10"/>
      <c r="AX221" s="10"/>
      <c r="AY221" s="68"/>
      <c r="AZ221" s="10"/>
      <c r="BA221" s="10"/>
      <c r="BB221" s="10"/>
      <c r="BC221" s="10"/>
      <c r="BD221" s="10"/>
      <c r="BE221" s="10"/>
      <c r="BF221" s="10"/>
      <c r="BG221" s="10"/>
      <c r="BH221" s="10"/>
      <c r="BI221" s="69"/>
      <c r="BJ221" s="10"/>
      <c r="BK221" s="10"/>
      <c r="BL221" s="10"/>
      <c r="BM221" s="10"/>
      <c r="BN221" s="10"/>
      <c r="BO221" s="72"/>
    </row>
    <row r="222" ht="15.75" customHeight="1">
      <c r="A222" s="98"/>
      <c r="B222" s="68"/>
      <c r="C222" s="10"/>
      <c r="D222" s="10"/>
      <c r="E222" s="10"/>
      <c r="F222" s="10"/>
      <c r="G222" s="10"/>
      <c r="H222" s="10"/>
      <c r="I222" s="10"/>
      <c r="J222" s="10"/>
      <c r="K222" s="10"/>
      <c r="L222" s="69"/>
      <c r="M222" s="10"/>
      <c r="N222" s="10"/>
      <c r="O222" s="10"/>
      <c r="P222" s="10"/>
      <c r="Q222" s="10"/>
      <c r="R222" s="10"/>
      <c r="S222" s="68"/>
      <c r="T222" s="10"/>
      <c r="U222" s="10"/>
      <c r="V222" s="10"/>
      <c r="W222" s="10"/>
      <c r="X222" s="10"/>
      <c r="Y222" s="10"/>
      <c r="Z222" s="10"/>
      <c r="AA222" s="10"/>
      <c r="AB222" s="10"/>
      <c r="AC222" s="10"/>
      <c r="AD222" s="10"/>
      <c r="AE222" s="69"/>
      <c r="AF222" s="10"/>
      <c r="AG222" s="10"/>
      <c r="AH222" s="10"/>
      <c r="AI222" s="68"/>
      <c r="AJ222" s="10"/>
      <c r="AK222" s="10"/>
      <c r="AL222" s="10"/>
      <c r="AM222" s="10"/>
      <c r="AN222" s="10"/>
      <c r="AO222" s="10"/>
      <c r="AP222" s="10"/>
      <c r="AQ222" s="10"/>
      <c r="AR222" s="10"/>
      <c r="AS222" s="10"/>
      <c r="AT222" s="10"/>
      <c r="AU222" s="10"/>
      <c r="AV222" s="10"/>
      <c r="AW222" s="10"/>
      <c r="AX222" s="10"/>
      <c r="AY222" s="68"/>
      <c r="AZ222" s="10"/>
      <c r="BA222" s="10"/>
      <c r="BB222" s="10"/>
      <c r="BC222" s="10"/>
      <c r="BD222" s="10"/>
      <c r="BE222" s="10"/>
      <c r="BF222" s="10"/>
      <c r="BG222" s="10"/>
      <c r="BH222" s="10"/>
      <c r="BI222" s="69"/>
      <c r="BJ222" s="10"/>
      <c r="BK222" s="10"/>
      <c r="BL222" s="10"/>
      <c r="BM222" s="10"/>
      <c r="BN222" s="10"/>
      <c r="BO222" s="72"/>
    </row>
    <row r="223" ht="15.75" customHeight="1">
      <c r="A223" s="98"/>
      <c r="B223" s="68"/>
      <c r="C223" s="10"/>
      <c r="D223" s="10"/>
      <c r="E223" s="10"/>
      <c r="F223" s="10"/>
      <c r="G223" s="10"/>
      <c r="H223" s="10"/>
      <c r="I223" s="10"/>
      <c r="J223" s="10"/>
      <c r="K223" s="10"/>
      <c r="L223" s="69"/>
      <c r="M223" s="10"/>
      <c r="N223" s="10"/>
      <c r="O223" s="10"/>
      <c r="P223" s="10"/>
      <c r="Q223" s="10"/>
      <c r="R223" s="10"/>
      <c r="S223" s="68"/>
      <c r="T223" s="10"/>
      <c r="U223" s="10"/>
      <c r="V223" s="10"/>
      <c r="W223" s="10"/>
      <c r="X223" s="10"/>
      <c r="Y223" s="10"/>
      <c r="Z223" s="10"/>
      <c r="AA223" s="10"/>
      <c r="AB223" s="10"/>
      <c r="AC223" s="10"/>
      <c r="AD223" s="10"/>
      <c r="AE223" s="69"/>
      <c r="AF223" s="10"/>
      <c r="AG223" s="10"/>
      <c r="AH223" s="10"/>
      <c r="AI223" s="68"/>
      <c r="AJ223" s="10"/>
      <c r="AK223" s="10"/>
      <c r="AL223" s="10"/>
      <c r="AM223" s="10"/>
      <c r="AN223" s="10"/>
      <c r="AO223" s="10"/>
      <c r="AP223" s="10"/>
      <c r="AQ223" s="10"/>
      <c r="AR223" s="10"/>
      <c r="AS223" s="10"/>
      <c r="AT223" s="10"/>
      <c r="AU223" s="10"/>
      <c r="AV223" s="10"/>
      <c r="AW223" s="10"/>
      <c r="AX223" s="10"/>
      <c r="AY223" s="68"/>
      <c r="AZ223" s="10"/>
      <c r="BA223" s="10"/>
      <c r="BB223" s="10"/>
      <c r="BC223" s="10"/>
      <c r="BD223" s="10"/>
      <c r="BE223" s="10"/>
      <c r="BF223" s="10"/>
      <c r="BG223" s="10"/>
      <c r="BH223" s="10"/>
      <c r="BI223" s="69"/>
      <c r="BJ223" s="10"/>
      <c r="BK223" s="10"/>
      <c r="BL223" s="10"/>
      <c r="BM223" s="10"/>
      <c r="BN223" s="10"/>
      <c r="BO223" s="72"/>
    </row>
    <row r="224" ht="15.75" customHeight="1">
      <c r="A224" s="98"/>
      <c r="B224" s="68"/>
      <c r="C224" s="10"/>
      <c r="D224" s="10"/>
      <c r="E224" s="10"/>
      <c r="F224" s="10"/>
      <c r="G224" s="10"/>
      <c r="H224" s="10"/>
      <c r="I224" s="10"/>
      <c r="J224" s="10"/>
      <c r="K224" s="10"/>
      <c r="L224" s="69"/>
      <c r="M224" s="10"/>
      <c r="N224" s="10"/>
      <c r="O224" s="10"/>
      <c r="P224" s="10"/>
      <c r="Q224" s="10"/>
      <c r="R224" s="10"/>
      <c r="S224" s="68"/>
      <c r="T224" s="10"/>
      <c r="U224" s="10"/>
      <c r="V224" s="10"/>
      <c r="W224" s="10"/>
      <c r="X224" s="10"/>
      <c r="Y224" s="10"/>
      <c r="Z224" s="10"/>
      <c r="AA224" s="10"/>
      <c r="AB224" s="10"/>
      <c r="AC224" s="10"/>
      <c r="AD224" s="10"/>
      <c r="AE224" s="69"/>
      <c r="AF224" s="10"/>
      <c r="AG224" s="10"/>
      <c r="AH224" s="10"/>
      <c r="AI224" s="68"/>
      <c r="AJ224" s="10"/>
      <c r="AK224" s="10"/>
      <c r="AL224" s="10"/>
      <c r="AM224" s="10"/>
      <c r="AN224" s="10"/>
      <c r="AO224" s="10"/>
      <c r="AP224" s="10"/>
      <c r="AQ224" s="10"/>
      <c r="AR224" s="10"/>
      <c r="AS224" s="10"/>
      <c r="AT224" s="10"/>
      <c r="AU224" s="10"/>
      <c r="AV224" s="10"/>
      <c r="AW224" s="10"/>
      <c r="AX224" s="10"/>
      <c r="AY224" s="68"/>
      <c r="AZ224" s="10"/>
      <c r="BA224" s="10"/>
      <c r="BB224" s="10"/>
      <c r="BC224" s="10"/>
      <c r="BD224" s="10"/>
      <c r="BE224" s="10"/>
      <c r="BF224" s="10"/>
      <c r="BG224" s="10"/>
      <c r="BH224" s="10"/>
      <c r="BI224" s="69"/>
      <c r="BJ224" s="10"/>
      <c r="BK224" s="10"/>
      <c r="BL224" s="10"/>
      <c r="BM224" s="10"/>
      <c r="BN224" s="10"/>
      <c r="BO224" s="72"/>
    </row>
    <row r="225" ht="15.75" customHeight="1">
      <c r="A225" s="98"/>
      <c r="B225" s="68"/>
      <c r="C225" s="10"/>
      <c r="D225" s="10"/>
      <c r="E225" s="10"/>
      <c r="F225" s="10"/>
      <c r="G225" s="10"/>
      <c r="H225" s="10"/>
      <c r="I225" s="10"/>
      <c r="J225" s="10"/>
      <c r="K225" s="10"/>
      <c r="L225" s="69"/>
      <c r="M225" s="10"/>
      <c r="N225" s="10"/>
      <c r="O225" s="10"/>
      <c r="P225" s="10"/>
      <c r="Q225" s="10"/>
      <c r="R225" s="10"/>
      <c r="S225" s="68"/>
      <c r="T225" s="10"/>
      <c r="U225" s="10"/>
      <c r="V225" s="10"/>
      <c r="W225" s="10"/>
      <c r="X225" s="10"/>
      <c r="Y225" s="10"/>
      <c r="Z225" s="10"/>
      <c r="AA225" s="10"/>
      <c r="AB225" s="10"/>
      <c r="AC225" s="10"/>
      <c r="AD225" s="10"/>
      <c r="AE225" s="69"/>
      <c r="AF225" s="10"/>
      <c r="AG225" s="10"/>
      <c r="AH225" s="10"/>
      <c r="AI225" s="68"/>
      <c r="AJ225" s="10"/>
      <c r="AK225" s="10"/>
      <c r="AL225" s="10"/>
      <c r="AM225" s="10"/>
      <c r="AN225" s="10"/>
      <c r="AO225" s="10"/>
      <c r="AP225" s="10"/>
      <c r="AQ225" s="10"/>
      <c r="AR225" s="10"/>
      <c r="AS225" s="10"/>
      <c r="AT225" s="10"/>
      <c r="AU225" s="10"/>
      <c r="AV225" s="10"/>
      <c r="AW225" s="10"/>
      <c r="AX225" s="10"/>
      <c r="AY225" s="68"/>
      <c r="AZ225" s="10"/>
      <c r="BA225" s="10"/>
      <c r="BB225" s="10"/>
      <c r="BC225" s="10"/>
      <c r="BD225" s="10"/>
      <c r="BE225" s="10"/>
      <c r="BF225" s="10"/>
      <c r="BG225" s="10"/>
      <c r="BH225" s="10"/>
      <c r="BI225" s="69"/>
      <c r="BJ225" s="10"/>
      <c r="BK225" s="10"/>
      <c r="BL225" s="10"/>
      <c r="BM225" s="10"/>
      <c r="BN225" s="10"/>
      <c r="BO225" s="72"/>
    </row>
    <row r="226" ht="15.75" customHeight="1">
      <c r="A226" s="98"/>
      <c r="B226" s="68"/>
      <c r="C226" s="10"/>
      <c r="D226" s="10"/>
      <c r="E226" s="10"/>
      <c r="F226" s="10"/>
      <c r="G226" s="10"/>
      <c r="H226" s="10"/>
      <c r="I226" s="10"/>
      <c r="J226" s="10"/>
      <c r="K226" s="10"/>
      <c r="L226" s="69"/>
      <c r="M226" s="10"/>
      <c r="N226" s="10"/>
      <c r="O226" s="10"/>
      <c r="P226" s="10"/>
      <c r="Q226" s="10"/>
      <c r="R226" s="10"/>
      <c r="S226" s="68"/>
      <c r="T226" s="10"/>
      <c r="U226" s="10"/>
      <c r="V226" s="10"/>
      <c r="W226" s="10"/>
      <c r="X226" s="10"/>
      <c r="Y226" s="10"/>
      <c r="Z226" s="10"/>
      <c r="AA226" s="10"/>
      <c r="AB226" s="10"/>
      <c r="AC226" s="10"/>
      <c r="AD226" s="10"/>
      <c r="AE226" s="69"/>
      <c r="AF226" s="10"/>
      <c r="AG226" s="10"/>
      <c r="AH226" s="10"/>
      <c r="AI226" s="68"/>
      <c r="AJ226" s="10"/>
      <c r="AK226" s="10"/>
      <c r="AL226" s="10"/>
      <c r="AM226" s="10"/>
      <c r="AN226" s="10"/>
      <c r="AO226" s="10"/>
      <c r="AP226" s="10"/>
      <c r="AQ226" s="10"/>
      <c r="AR226" s="10"/>
      <c r="AS226" s="10"/>
      <c r="AT226" s="10"/>
      <c r="AU226" s="10"/>
      <c r="AV226" s="10"/>
      <c r="AW226" s="10"/>
      <c r="AX226" s="10"/>
      <c r="AY226" s="68"/>
      <c r="AZ226" s="10"/>
      <c r="BA226" s="10"/>
      <c r="BB226" s="10"/>
      <c r="BC226" s="10"/>
      <c r="BD226" s="10"/>
      <c r="BE226" s="10"/>
      <c r="BF226" s="10"/>
      <c r="BG226" s="10"/>
      <c r="BH226" s="10"/>
      <c r="BI226" s="69"/>
      <c r="BJ226" s="10"/>
      <c r="BK226" s="10"/>
      <c r="BL226" s="10"/>
      <c r="BM226" s="10"/>
      <c r="BN226" s="10"/>
      <c r="BO226" s="72"/>
    </row>
    <row r="227" ht="15.75" customHeight="1">
      <c r="A227" s="98"/>
      <c r="B227" s="68"/>
      <c r="C227" s="10"/>
      <c r="D227" s="10"/>
      <c r="E227" s="10"/>
      <c r="F227" s="10"/>
      <c r="G227" s="10"/>
      <c r="H227" s="10"/>
      <c r="I227" s="10"/>
      <c r="J227" s="10"/>
      <c r="K227" s="10"/>
      <c r="L227" s="69"/>
      <c r="M227" s="10"/>
      <c r="N227" s="10"/>
      <c r="O227" s="10"/>
      <c r="P227" s="10"/>
      <c r="Q227" s="10"/>
      <c r="R227" s="10"/>
      <c r="S227" s="68"/>
      <c r="T227" s="10"/>
      <c r="U227" s="10"/>
      <c r="V227" s="10"/>
      <c r="W227" s="10"/>
      <c r="X227" s="10"/>
      <c r="Y227" s="10"/>
      <c r="Z227" s="10"/>
      <c r="AA227" s="10"/>
      <c r="AB227" s="10"/>
      <c r="AC227" s="10"/>
      <c r="AD227" s="10"/>
      <c r="AE227" s="69"/>
      <c r="AF227" s="10"/>
      <c r="AG227" s="10"/>
      <c r="AH227" s="10"/>
      <c r="AI227" s="68"/>
      <c r="AJ227" s="10"/>
      <c r="AK227" s="10"/>
      <c r="AL227" s="10"/>
      <c r="AM227" s="10"/>
      <c r="AN227" s="10"/>
      <c r="AO227" s="10"/>
      <c r="AP227" s="10"/>
      <c r="AQ227" s="10"/>
      <c r="AR227" s="10"/>
      <c r="AS227" s="10"/>
      <c r="AT227" s="10"/>
      <c r="AU227" s="10"/>
      <c r="AV227" s="10"/>
      <c r="AW227" s="10"/>
      <c r="AX227" s="10"/>
      <c r="AY227" s="68"/>
      <c r="AZ227" s="10"/>
      <c r="BA227" s="10"/>
      <c r="BB227" s="10"/>
      <c r="BC227" s="10"/>
      <c r="BD227" s="10"/>
      <c r="BE227" s="10"/>
      <c r="BF227" s="10"/>
      <c r="BG227" s="10"/>
      <c r="BH227" s="10"/>
      <c r="BI227" s="69"/>
      <c r="BJ227" s="10"/>
      <c r="BK227" s="10"/>
      <c r="BL227" s="10"/>
      <c r="BM227" s="10"/>
      <c r="BN227" s="10"/>
      <c r="BO227" s="72"/>
    </row>
    <row r="228" ht="15.75" customHeight="1">
      <c r="A228" s="98"/>
      <c r="B228" s="68"/>
      <c r="C228" s="10"/>
      <c r="D228" s="10"/>
      <c r="E228" s="10"/>
      <c r="F228" s="10"/>
      <c r="G228" s="10"/>
      <c r="H228" s="10"/>
      <c r="I228" s="10"/>
      <c r="J228" s="10"/>
      <c r="K228" s="10"/>
      <c r="L228" s="69"/>
      <c r="M228" s="10"/>
      <c r="N228" s="10"/>
      <c r="O228" s="10"/>
      <c r="P228" s="10"/>
      <c r="Q228" s="10"/>
      <c r="R228" s="10"/>
      <c r="S228" s="68"/>
      <c r="T228" s="10"/>
      <c r="U228" s="10"/>
      <c r="V228" s="10"/>
      <c r="W228" s="10"/>
      <c r="X228" s="10"/>
      <c r="Y228" s="10"/>
      <c r="Z228" s="10"/>
      <c r="AA228" s="10"/>
      <c r="AB228" s="10"/>
      <c r="AC228" s="10"/>
      <c r="AD228" s="10"/>
      <c r="AE228" s="69"/>
      <c r="AF228" s="10"/>
      <c r="AG228" s="10"/>
      <c r="AH228" s="10"/>
      <c r="AI228" s="68"/>
      <c r="AJ228" s="10"/>
      <c r="AK228" s="10"/>
      <c r="AL228" s="10"/>
      <c r="AM228" s="10"/>
      <c r="AN228" s="10"/>
      <c r="AO228" s="10"/>
      <c r="AP228" s="10"/>
      <c r="AQ228" s="10"/>
      <c r="AR228" s="10"/>
      <c r="AS228" s="10"/>
      <c r="AT228" s="10"/>
      <c r="AU228" s="10"/>
      <c r="AV228" s="10"/>
      <c r="AW228" s="10"/>
      <c r="AX228" s="10"/>
      <c r="AY228" s="68"/>
      <c r="AZ228" s="10"/>
      <c r="BA228" s="10"/>
      <c r="BB228" s="10"/>
      <c r="BC228" s="10"/>
      <c r="BD228" s="10"/>
      <c r="BE228" s="10"/>
      <c r="BF228" s="10"/>
      <c r="BG228" s="10"/>
      <c r="BH228" s="10"/>
      <c r="BI228" s="69"/>
      <c r="BJ228" s="10"/>
      <c r="BK228" s="10"/>
      <c r="BL228" s="10"/>
      <c r="BM228" s="10"/>
      <c r="BN228" s="10"/>
      <c r="BO228" s="72"/>
    </row>
    <row r="229" ht="15.75" customHeight="1">
      <c r="A229" s="98"/>
      <c r="B229" s="68"/>
      <c r="C229" s="10"/>
      <c r="D229" s="10"/>
      <c r="E229" s="10"/>
      <c r="F229" s="10"/>
      <c r="G229" s="10"/>
      <c r="H229" s="10"/>
      <c r="I229" s="10"/>
      <c r="J229" s="10"/>
      <c r="K229" s="10"/>
      <c r="L229" s="69"/>
      <c r="M229" s="10"/>
      <c r="N229" s="10"/>
      <c r="O229" s="10"/>
      <c r="P229" s="10"/>
      <c r="Q229" s="10"/>
      <c r="R229" s="10"/>
      <c r="S229" s="68"/>
      <c r="T229" s="10"/>
      <c r="U229" s="10"/>
      <c r="V229" s="10"/>
      <c r="W229" s="10"/>
      <c r="X229" s="10"/>
      <c r="Y229" s="10"/>
      <c r="Z229" s="10"/>
      <c r="AA229" s="10"/>
      <c r="AB229" s="10"/>
      <c r="AC229" s="10"/>
      <c r="AD229" s="10"/>
      <c r="AE229" s="69"/>
      <c r="AF229" s="10"/>
      <c r="AG229" s="10"/>
      <c r="AH229" s="10"/>
      <c r="AI229" s="68"/>
      <c r="AJ229" s="10"/>
      <c r="AK229" s="10"/>
      <c r="AL229" s="10"/>
      <c r="AM229" s="10"/>
      <c r="AN229" s="10"/>
      <c r="AO229" s="10"/>
      <c r="AP229" s="10"/>
      <c r="AQ229" s="10"/>
      <c r="AR229" s="10"/>
      <c r="AS229" s="10"/>
      <c r="AT229" s="10"/>
      <c r="AU229" s="10"/>
      <c r="AV229" s="10"/>
      <c r="AW229" s="10"/>
      <c r="AX229" s="10"/>
      <c r="AY229" s="68"/>
      <c r="AZ229" s="10"/>
      <c r="BA229" s="10"/>
      <c r="BB229" s="10"/>
      <c r="BC229" s="10"/>
      <c r="BD229" s="10"/>
      <c r="BE229" s="10"/>
      <c r="BF229" s="10"/>
      <c r="BG229" s="10"/>
      <c r="BH229" s="10"/>
      <c r="BI229" s="69"/>
      <c r="BJ229" s="10"/>
      <c r="BK229" s="10"/>
      <c r="BL229" s="10"/>
      <c r="BM229" s="10"/>
      <c r="BN229" s="10"/>
      <c r="BO229" s="72"/>
    </row>
    <row r="230" ht="15.75" customHeight="1">
      <c r="A230" s="98"/>
      <c r="B230" s="68"/>
      <c r="C230" s="10"/>
      <c r="D230" s="10"/>
      <c r="E230" s="10"/>
      <c r="F230" s="10"/>
      <c r="G230" s="10"/>
      <c r="H230" s="10"/>
      <c r="I230" s="10"/>
      <c r="J230" s="10"/>
      <c r="K230" s="10"/>
      <c r="L230" s="69"/>
      <c r="M230" s="10"/>
      <c r="N230" s="10"/>
      <c r="O230" s="10"/>
      <c r="P230" s="10"/>
      <c r="Q230" s="10"/>
      <c r="R230" s="10"/>
      <c r="S230" s="68"/>
      <c r="T230" s="10"/>
      <c r="U230" s="10"/>
      <c r="V230" s="10"/>
      <c r="W230" s="10"/>
      <c r="X230" s="10"/>
      <c r="Y230" s="10"/>
      <c r="Z230" s="10"/>
      <c r="AA230" s="10"/>
      <c r="AB230" s="10"/>
      <c r="AC230" s="10"/>
      <c r="AD230" s="10"/>
      <c r="AE230" s="69"/>
      <c r="AF230" s="10"/>
      <c r="AG230" s="10"/>
      <c r="AH230" s="10"/>
      <c r="AI230" s="68"/>
      <c r="AJ230" s="10"/>
      <c r="AK230" s="10"/>
      <c r="AL230" s="10"/>
      <c r="AM230" s="10"/>
      <c r="AN230" s="10"/>
      <c r="AO230" s="10"/>
      <c r="AP230" s="10"/>
      <c r="AQ230" s="10"/>
      <c r="AR230" s="10"/>
      <c r="AS230" s="10"/>
      <c r="AT230" s="10"/>
      <c r="AU230" s="10"/>
      <c r="AV230" s="10"/>
      <c r="AW230" s="10"/>
      <c r="AX230" s="10"/>
      <c r="AY230" s="68"/>
      <c r="AZ230" s="10"/>
      <c r="BA230" s="10"/>
      <c r="BB230" s="10"/>
      <c r="BC230" s="10"/>
      <c r="BD230" s="10"/>
      <c r="BE230" s="10"/>
      <c r="BF230" s="10"/>
      <c r="BG230" s="10"/>
      <c r="BH230" s="10"/>
      <c r="BI230" s="69"/>
      <c r="BJ230" s="10"/>
      <c r="BK230" s="10"/>
      <c r="BL230" s="10"/>
      <c r="BM230" s="10"/>
      <c r="BN230" s="10"/>
      <c r="BO230" s="72"/>
    </row>
    <row r="231" ht="15.75" customHeight="1">
      <c r="A231" s="98"/>
      <c r="B231" s="68"/>
      <c r="C231" s="10"/>
      <c r="D231" s="10"/>
      <c r="E231" s="10"/>
      <c r="F231" s="10"/>
      <c r="G231" s="10"/>
      <c r="H231" s="10"/>
      <c r="I231" s="10"/>
      <c r="J231" s="10"/>
      <c r="K231" s="10"/>
      <c r="L231" s="69"/>
      <c r="M231" s="10"/>
      <c r="N231" s="10"/>
      <c r="O231" s="10"/>
      <c r="P231" s="10"/>
      <c r="Q231" s="10"/>
      <c r="R231" s="10"/>
      <c r="S231" s="68"/>
      <c r="T231" s="10"/>
      <c r="U231" s="10"/>
      <c r="V231" s="10"/>
      <c r="W231" s="10"/>
      <c r="X231" s="10"/>
      <c r="Y231" s="10"/>
      <c r="Z231" s="10"/>
      <c r="AA231" s="10"/>
      <c r="AB231" s="10"/>
      <c r="AC231" s="10"/>
      <c r="AD231" s="10"/>
      <c r="AE231" s="69"/>
      <c r="AF231" s="10"/>
      <c r="AG231" s="10"/>
      <c r="AH231" s="10"/>
      <c r="AI231" s="68"/>
      <c r="AJ231" s="10"/>
      <c r="AK231" s="10"/>
      <c r="AL231" s="10"/>
      <c r="AM231" s="10"/>
      <c r="AN231" s="10"/>
      <c r="AO231" s="10"/>
      <c r="AP231" s="10"/>
      <c r="AQ231" s="10"/>
      <c r="AR231" s="10"/>
      <c r="AS231" s="10"/>
      <c r="AT231" s="10"/>
      <c r="AU231" s="10"/>
      <c r="AV231" s="10"/>
      <c r="AW231" s="10"/>
      <c r="AX231" s="10"/>
      <c r="AY231" s="68"/>
      <c r="AZ231" s="10"/>
      <c r="BA231" s="10"/>
      <c r="BB231" s="10"/>
      <c r="BC231" s="10"/>
      <c r="BD231" s="10"/>
      <c r="BE231" s="10"/>
      <c r="BF231" s="10"/>
      <c r="BG231" s="10"/>
      <c r="BH231" s="10"/>
      <c r="BI231" s="69"/>
      <c r="BJ231" s="10"/>
      <c r="BK231" s="10"/>
      <c r="BL231" s="10"/>
      <c r="BM231" s="10"/>
      <c r="BN231" s="10"/>
      <c r="BO231" s="72"/>
    </row>
    <row r="232" ht="15.75" customHeight="1">
      <c r="A232" s="98"/>
      <c r="B232" s="68"/>
      <c r="C232" s="10"/>
      <c r="D232" s="10"/>
      <c r="E232" s="10"/>
      <c r="F232" s="10"/>
      <c r="G232" s="10"/>
      <c r="H232" s="10"/>
      <c r="I232" s="10"/>
      <c r="J232" s="10"/>
      <c r="K232" s="10"/>
      <c r="L232" s="69"/>
      <c r="M232" s="10"/>
      <c r="N232" s="10"/>
      <c r="O232" s="10"/>
      <c r="P232" s="10"/>
      <c r="Q232" s="10"/>
      <c r="R232" s="10"/>
      <c r="S232" s="68"/>
      <c r="T232" s="10"/>
      <c r="U232" s="10"/>
      <c r="V232" s="10"/>
      <c r="W232" s="10"/>
      <c r="X232" s="10"/>
      <c r="Y232" s="10"/>
      <c r="Z232" s="10"/>
      <c r="AA232" s="10"/>
      <c r="AB232" s="10"/>
      <c r="AC232" s="10"/>
      <c r="AD232" s="10"/>
      <c r="AE232" s="69"/>
      <c r="AF232" s="10"/>
      <c r="AG232" s="10"/>
      <c r="AH232" s="10"/>
      <c r="AI232" s="68"/>
      <c r="AJ232" s="10"/>
      <c r="AK232" s="10"/>
      <c r="AL232" s="10"/>
      <c r="AM232" s="10"/>
      <c r="AN232" s="10"/>
      <c r="AO232" s="10"/>
      <c r="AP232" s="10"/>
      <c r="AQ232" s="10"/>
      <c r="AR232" s="10"/>
      <c r="AS232" s="10"/>
      <c r="AT232" s="10"/>
      <c r="AU232" s="10"/>
      <c r="AV232" s="10"/>
      <c r="AW232" s="10"/>
      <c r="AX232" s="10"/>
      <c r="AY232" s="68"/>
      <c r="AZ232" s="10"/>
      <c r="BA232" s="10"/>
      <c r="BB232" s="10"/>
      <c r="BC232" s="10"/>
      <c r="BD232" s="10"/>
      <c r="BE232" s="10"/>
      <c r="BF232" s="10"/>
      <c r="BG232" s="10"/>
      <c r="BH232" s="10"/>
      <c r="BI232" s="69"/>
      <c r="BJ232" s="10"/>
      <c r="BK232" s="10"/>
      <c r="BL232" s="10"/>
      <c r="BM232" s="10"/>
      <c r="BN232" s="10"/>
      <c r="BO232" s="72"/>
    </row>
    <row r="233" ht="15.75" customHeight="1">
      <c r="A233" s="98"/>
      <c r="B233" s="68"/>
      <c r="C233" s="10"/>
      <c r="D233" s="10"/>
      <c r="E233" s="10"/>
      <c r="F233" s="10"/>
      <c r="G233" s="10"/>
      <c r="H233" s="10"/>
      <c r="I233" s="10"/>
      <c r="J233" s="10"/>
      <c r="K233" s="10"/>
      <c r="L233" s="69"/>
      <c r="M233" s="10"/>
      <c r="N233" s="10"/>
      <c r="O233" s="10"/>
      <c r="P233" s="10"/>
      <c r="Q233" s="10"/>
      <c r="R233" s="10"/>
      <c r="S233" s="68"/>
      <c r="T233" s="10"/>
      <c r="U233" s="10"/>
      <c r="V233" s="10"/>
      <c r="W233" s="10"/>
      <c r="X233" s="10"/>
      <c r="Y233" s="10"/>
      <c r="Z233" s="10"/>
      <c r="AA233" s="10"/>
      <c r="AB233" s="10"/>
      <c r="AC233" s="10"/>
      <c r="AD233" s="10"/>
      <c r="AE233" s="69"/>
      <c r="AF233" s="10"/>
      <c r="AG233" s="10"/>
      <c r="AH233" s="10"/>
      <c r="AI233" s="68"/>
      <c r="AJ233" s="10"/>
      <c r="AK233" s="10"/>
      <c r="AL233" s="10"/>
      <c r="AM233" s="10"/>
      <c r="AN233" s="10"/>
      <c r="AO233" s="10"/>
      <c r="AP233" s="10"/>
      <c r="AQ233" s="10"/>
      <c r="AR233" s="10"/>
      <c r="AS233" s="10"/>
      <c r="AT233" s="10"/>
      <c r="AU233" s="10"/>
      <c r="AV233" s="10"/>
      <c r="AW233" s="10"/>
      <c r="AX233" s="10"/>
      <c r="AY233" s="68"/>
      <c r="AZ233" s="10"/>
      <c r="BA233" s="10"/>
      <c r="BB233" s="10"/>
      <c r="BC233" s="10"/>
      <c r="BD233" s="10"/>
      <c r="BE233" s="10"/>
      <c r="BF233" s="10"/>
      <c r="BG233" s="10"/>
      <c r="BH233" s="10"/>
      <c r="BI233" s="69"/>
      <c r="BJ233" s="10"/>
      <c r="BK233" s="10"/>
      <c r="BL233" s="10"/>
      <c r="BM233" s="10"/>
      <c r="BN233" s="10"/>
      <c r="BO233" s="72"/>
    </row>
    <row r="234" ht="15.75" customHeight="1">
      <c r="A234" s="98"/>
      <c r="B234" s="68"/>
      <c r="C234" s="10"/>
      <c r="D234" s="10"/>
      <c r="E234" s="10"/>
      <c r="F234" s="10"/>
      <c r="G234" s="10"/>
      <c r="H234" s="10"/>
      <c r="I234" s="10"/>
      <c r="J234" s="10"/>
      <c r="K234" s="10"/>
      <c r="L234" s="69"/>
      <c r="M234" s="10"/>
      <c r="N234" s="10"/>
      <c r="O234" s="10"/>
      <c r="P234" s="10"/>
      <c r="Q234" s="10"/>
      <c r="R234" s="10"/>
      <c r="S234" s="68"/>
      <c r="T234" s="10"/>
      <c r="U234" s="10"/>
      <c r="V234" s="10"/>
      <c r="W234" s="10"/>
      <c r="X234" s="10"/>
      <c r="Y234" s="10"/>
      <c r="Z234" s="10"/>
      <c r="AA234" s="10"/>
      <c r="AB234" s="10"/>
      <c r="AC234" s="10"/>
      <c r="AD234" s="10"/>
      <c r="AE234" s="69"/>
      <c r="AF234" s="10"/>
      <c r="AG234" s="10"/>
      <c r="AH234" s="10"/>
      <c r="AI234" s="68"/>
      <c r="AJ234" s="10"/>
      <c r="AK234" s="10"/>
      <c r="AL234" s="10"/>
      <c r="AM234" s="10"/>
      <c r="AN234" s="10"/>
      <c r="AO234" s="10"/>
      <c r="AP234" s="10"/>
      <c r="AQ234" s="10"/>
      <c r="AR234" s="10"/>
      <c r="AS234" s="10"/>
      <c r="AT234" s="10"/>
      <c r="AU234" s="10"/>
      <c r="AV234" s="10"/>
      <c r="AW234" s="10"/>
      <c r="AX234" s="10"/>
      <c r="AY234" s="68"/>
      <c r="AZ234" s="10"/>
      <c r="BA234" s="10"/>
      <c r="BB234" s="10"/>
      <c r="BC234" s="10"/>
      <c r="BD234" s="10"/>
      <c r="BE234" s="10"/>
      <c r="BF234" s="10"/>
      <c r="BG234" s="10"/>
      <c r="BH234" s="10"/>
      <c r="BI234" s="69"/>
      <c r="BJ234" s="10"/>
      <c r="BK234" s="10"/>
      <c r="BL234" s="10"/>
      <c r="BM234" s="10"/>
      <c r="BN234" s="10"/>
      <c r="BO234" s="72"/>
    </row>
    <row r="235" ht="15.75" customHeight="1">
      <c r="A235" s="98"/>
      <c r="B235" s="68"/>
      <c r="C235" s="10"/>
      <c r="D235" s="10"/>
      <c r="E235" s="10"/>
      <c r="F235" s="10"/>
      <c r="G235" s="10"/>
      <c r="H235" s="10"/>
      <c r="I235" s="10"/>
      <c r="J235" s="10"/>
      <c r="K235" s="10"/>
      <c r="L235" s="69"/>
      <c r="M235" s="10"/>
      <c r="N235" s="10"/>
      <c r="O235" s="10"/>
      <c r="P235" s="10"/>
      <c r="Q235" s="10"/>
      <c r="R235" s="10"/>
      <c r="S235" s="68"/>
      <c r="T235" s="10"/>
      <c r="U235" s="10"/>
      <c r="V235" s="10"/>
      <c r="W235" s="10"/>
      <c r="X235" s="10"/>
      <c r="Y235" s="10"/>
      <c r="Z235" s="10"/>
      <c r="AA235" s="10"/>
      <c r="AB235" s="10"/>
      <c r="AC235" s="10"/>
      <c r="AD235" s="10"/>
      <c r="AE235" s="69"/>
      <c r="AF235" s="10"/>
      <c r="AG235" s="10"/>
      <c r="AH235" s="10"/>
      <c r="AI235" s="68"/>
      <c r="AJ235" s="10"/>
      <c r="AK235" s="10"/>
      <c r="AL235" s="10"/>
      <c r="AM235" s="10"/>
      <c r="AN235" s="10"/>
      <c r="AO235" s="10"/>
      <c r="AP235" s="10"/>
      <c r="AQ235" s="10"/>
      <c r="AR235" s="10"/>
      <c r="AS235" s="10"/>
      <c r="AT235" s="10"/>
      <c r="AU235" s="10"/>
      <c r="AV235" s="10"/>
      <c r="AW235" s="10"/>
      <c r="AX235" s="10"/>
      <c r="AY235" s="68"/>
      <c r="AZ235" s="10"/>
      <c r="BA235" s="10"/>
      <c r="BB235" s="10"/>
      <c r="BC235" s="10"/>
      <c r="BD235" s="10"/>
      <c r="BE235" s="10"/>
      <c r="BF235" s="10"/>
      <c r="BG235" s="10"/>
      <c r="BH235" s="10"/>
      <c r="BI235" s="69"/>
      <c r="BJ235" s="10"/>
      <c r="BK235" s="10"/>
      <c r="BL235" s="10"/>
      <c r="BM235" s="10"/>
      <c r="BN235" s="10"/>
      <c r="BO235" s="72"/>
    </row>
    <row r="236" ht="15.75" customHeight="1">
      <c r="A236" s="98"/>
      <c r="B236" s="68"/>
      <c r="C236" s="10"/>
      <c r="D236" s="10"/>
      <c r="E236" s="10"/>
      <c r="F236" s="10"/>
      <c r="G236" s="10"/>
      <c r="H236" s="10"/>
      <c r="I236" s="10"/>
      <c r="J236" s="10"/>
      <c r="K236" s="10"/>
      <c r="L236" s="69"/>
      <c r="M236" s="10"/>
      <c r="N236" s="10"/>
      <c r="O236" s="10"/>
      <c r="P236" s="10"/>
      <c r="Q236" s="10"/>
      <c r="R236" s="10"/>
      <c r="S236" s="68"/>
      <c r="T236" s="10"/>
      <c r="U236" s="10"/>
      <c r="V236" s="10"/>
      <c r="W236" s="10"/>
      <c r="X236" s="10"/>
      <c r="Y236" s="10"/>
      <c r="Z236" s="10"/>
      <c r="AA236" s="10"/>
      <c r="AB236" s="10"/>
      <c r="AC236" s="10"/>
      <c r="AD236" s="10"/>
      <c r="AE236" s="69"/>
      <c r="AF236" s="10"/>
      <c r="AG236" s="10"/>
      <c r="AH236" s="10"/>
      <c r="AI236" s="68"/>
      <c r="AJ236" s="10"/>
      <c r="AK236" s="10"/>
      <c r="AL236" s="10"/>
      <c r="AM236" s="10"/>
      <c r="AN236" s="10"/>
      <c r="AO236" s="10"/>
      <c r="AP236" s="10"/>
      <c r="AQ236" s="10"/>
      <c r="AR236" s="10"/>
      <c r="AS236" s="10"/>
      <c r="AT236" s="10"/>
      <c r="AU236" s="10"/>
      <c r="AV236" s="10"/>
      <c r="AW236" s="10"/>
      <c r="AX236" s="10"/>
      <c r="AY236" s="68"/>
      <c r="AZ236" s="10"/>
      <c r="BA236" s="10"/>
      <c r="BB236" s="10"/>
      <c r="BC236" s="10"/>
      <c r="BD236" s="10"/>
      <c r="BE236" s="10"/>
      <c r="BF236" s="10"/>
      <c r="BG236" s="10"/>
      <c r="BH236" s="10"/>
      <c r="BI236" s="69"/>
      <c r="BJ236" s="10"/>
      <c r="BK236" s="10"/>
      <c r="BL236" s="10"/>
      <c r="BM236" s="10"/>
      <c r="BN236" s="10"/>
      <c r="BO236" s="72"/>
    </row>
    <row r="237" ht="15.75" customHeight="1">
      <c r="A237" s="98"/>
      <c r="B237" s="68"/>
      <c r="C237" s="10"/>
      <c r="D237" s="10"/>
      <c r="E237" s="10"/>
      <c r="F237" s="10"/>
      <c r="G237" s="10"/>
      <c r="H237" s="10"/>
      <c r="I237" s="10"/>
      <c r="J237" s="10"/>
      <c r="K237" s="10"/>
      <c r="L237" s="69"/>
      <c r="M237" s="10"/>
      <c r="N237" s="10"/>
      <c r="O237" s="10"/>
      <c r="P237" s="10"/>
      <c r="Q237" s="10"/>
      <c r="R237" s="10"/>
      <c r="S237" s="68"/>
      <c r="T237" s="10"/>
      <c r="U237" s="10"/>
      <c r="V237" s="10"/>
      <c r="W237" s="10"/>
      <c r="X237" s="10"/>
      <c r="Y237" s="10"/>
      <c r="Z237" s="10"/>
      <c r="AA237" s="10"/>
      <c r="AB237" s="10"/>
      <c r="AC237" s="10"/>
      <c r="AD237" s="10"/>
      <c r="AE237" s="69"/>
      <c r="AF237" s="10"/>
      <c r="AG237" s="10"/>
      <c r="AH237" s="10"/>
      <c r="AI237" s="68"/>
      <c r="AJ237" s="10"/>
      <c r="AK237" s="10"/>
      <c r="AL237" s="10"/>
      <c r="AM237" s="10"/>
      <c r="AN237" s="10"/>
      <c r="AO237" s="10"/>
      <c r="AP237" s="10"/>
      <c r="AQ237" s="10"/>
      <c r="AR237" s="10"/>
      <c r="AS237" s="10"/>
      <c r="AT237" s="10"/>
      <c r="AU237" s="10"/>
      <c r="AV237" s="10"/>
      <c r="AW237" s="10"/>
      <c r="AX237" s="10"/>
      <c r="AY237" s="68"/>
      <c r="AZ237" s="10"/>
      <c r="BA237" s="10"/>
      <c r="BB237" s="10"/>
      <c r="BC237" s="10"/>
      <c r="BD237" s="10"/>
      <c r="BE237" s="10"/>
      <c r="BF237" s="10"/>
      <c r="BG237" s="10"/>
      <c r="BH237" s="10"/>
      <c r="BI237" s="69"/>
      <c r="BJ237" s="10"/>
      <c r="BK237" s="10"/>
      <c r="BL237" s="10"/>
      <c r="BM237" s="10"/>
      <c r="BN237" s="10"/>
      <c r="BO237" s="72"/>
    </row>
    <row r="238" ht="15.75" customHeight="1">
      <c r="A238" s="98"/>
      <c r="B238" s="68"/>
      <c r="C238" s="10"/>
      <c r="D238" s="10"/>
      <c r="E238" s="10"/>
      <c r="F238" s="10"/>
      <c r="G238" s="10"/>
      <c r="H238" s="10"/>
      <c r="I238" s="10"/>
      <c r="J238" s="10"/>
      <c r="K238" s="10"/>
      <c r="L238" s="69"/>
      <c r="M238" s="10"/>
      <c r="N238" s="10"/>
      <c r="O238" s="10"/>
      <c r="P238" s="10"/>
      <c r="Q238" s="10"/>
      <c r="R238" s="10"/>
      <c r="S238" s="68"/>
      <c r="T238" s="10"/>
      <c r="U238" s="10"/>
      <c r="V238" s="10"/>
      <c r="W238" s="10"/>
      <c r="X238" s="10"/>
      <c r="Y238" s="10"/>
      <c r="Z238" s="10"/>
      <c r="AA238" s="10"/>
      <c r="AB238" s="10"/>
      <c r="AC238" s="10"/>
      <c r="AD238" s="10"/>
      <c r="AE238" s="69"/>
      <c r="AF238" s="10"/>
      <c r="AG238" s="10"/>
      <c r="AH238" s="10"/>
      <c r="AI238" s="68"/>
      <c r="AJ238" s="10"/>
      <c r="AK238" s="10"/>
      <c r="AL238" s="10"/>
      <c r="AM238" s="10"/>
      <c r="AN238" s="10"/>
      <c r="AO238" s="10"/>
      <c r="AP238" s="10"/>
      <c r="AQ238" s="10"/>
      <c r="AR238" s="10"/>
      <c r="AS238" s="10"/>
      <c r="AT238" s="10"/>
      <c r="AU238" s="10"/>
      <c r="AV238" s="10"/>
      <c r="AW238" s="10"/>
      <c r="AX238" s="10"/>
      <c r="AY238" s="68"/>
      <c r="AZ238" s="10"/>
      <c r="BA238" s="10"/>
      <c r="BB238" s="10"/>
      <c r="BC238" s="10"/>
      <c r="BD238" s="10"/>
      <c r="BE238" s="10"/>
      <c r="BF238" s="10"/>
      <c r="BG238" s="10"/>
      <c r="BH238" s="10"/>
      <c r="BI238" s="69"/>
      <c r="BJ238" s="10"/>
      <c r="BK238" s="10"/>
      <c r="BL238" s="10"/>
      <c r="BM238" s="10"/>
      <c r="BN238" s="10"/>
      <c r="BO238" s="72"/>
    </row>
    <row r="239" ht="15.75" customHeight="1">
      <c r="A239" s="98"/>
      <c r="B239" s="68"/>
      <c r="C239" s="10"/>
      <c r="D239" s="10"/>
      <c r="E239" s="10"/>
      <c r="F239" s="10"/>
      <c r="G239" s="10"/>
      <c r="H239" s="10"/>
      <c r="I239" s="10"/>
      <c r="J239" s="10"/>
      <c r="K239" s="10"/>
      <c r="L239" s="69"/>
      <c r="M239" s="10"/>
      <c r="N239" s="10"/>
      <c r="O239" s="10"/>
      <c r="P239" s="10"/>
      <c r="Q239" s="10"/>
      <c r="R239" s="10"/>
      <c r="S239" s="68"/>
      <c r="T239" s="10"/>
      <c r="U239" s="10"/>
      <c r="V239" s="10"/>
      <c r="W239" s="10"/>
      <c r="X239" s="10"/>
      <c r="Y239" s="10"/>
      <c r="Z239" s="10"/>
      <c r="AA239" s="10"/>
      <c r="AB239" s="10"/>
      <c r="AC239" s="10"/>
      <c r="AD239" s="10"/>
      <c r="AE239" s="69"/>
      <c r="AF239" s="10"/>
      <c r="AG239" s="10"/>
      <c r="AH239" s="10"/>
      <c r="AI239" s="68"/>
      <c r="AJ239" s="10"/>
      <c r="AK239" s="10"/>
      <c r="AL239" s="10"/>
      <c r="AM239" s="10"/>
      <c r="AN239" s="10"/>
      <c r="AO239" s="10"/>
      <c r="AP239" s="10"/>
      <c r="AQ239" s="10"/>
      <c r="AR239" s="10"/>
      <c r="AS239" s="10"/>
      <c r="AT239" s="10"/>
      <c r="AU239" s="10"/>
      <c r="AV239" s="10"/>
      <c r="AW239" s="10"/>
      <c r="AX239" s="10"/>
      <c r="AY239" s="68"/>
      <c r="AZ239" s="10"/>
      <c r="BA239" s="10"/>
      <c r="BB239" s="10"/>
      <c r="BC239" s="10"/>
      <c r="BD239" s="10"/>
      <c r="BE239" s="10"/>
      <c r="BF239" s="10"/>
      <c r="BG239" s="10"/>
      <c r="BH239" s="10"/>
      <c r="BI239" s="69"/>
      <c r="BJ239" s="10"/>
      <c r="BK239" s="10"/>
      <c r="BL239" s="10"/>
      <c r="BM239" s="10"/>
      <c r="BN239" s="10"/>
      <c r="BO239" s="72"/>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6" width="12.63"/>
  </cols>
  <sheetData>
    <row r="1" ht="15.75" customHeight="1">
      <c r="A1" s="99"/>
      <c r="B1" s="100"/>
      <c r="C1" s="20"/>
      <c r="D1" s="20"/>
      <c r="E1" s="20"/>
      <c r="F1" s="20"/>
      <c r="G1" s="20"/>
      <c r="H1" s="37" t="s">
        <v>1051</v>
      </c>
      <c r="I1" s="101" t="s">
        <v>1052</v>
      </c>
      <c r="J1" s="39" t="s">
        <v>1053</v>
      </c>
      <c r="K1" s="20"/>
      <c r="L1" s="41"/>
      <c r="M1" s="20"/>
      <c r="N1" s="20"/>
      <c r="O1" s="20"/>
      <c r="P1" s="20"/>
      <c r="Q1" s="20"/>
      <c r="R1" s="42"/>
      <c r="S1" s="20"/>
      <c r="T1" s="20"/>
      <c r="U1" s="20"/>
      <c r="V1" s="20"/>
      <c r="W1" s="20"/>
      <c r="X1" s="20"/>
      <c r="Y1" s="20"/>
      <c r="Z1" s="20"/>
      <c r="AA1" s="20"/>
      <c r="AB1" s="20"/>
      <c r="AC1" s="20"/>
      <c r="AD1" s="20"/>
      <c r="AE1" s="20"/>
      <c r="AF1" s="20"/>
      <c r="AG1" s="20"/>
      <c r="AH1" s="42"/>
      <c r="AI1" s="20"/>
      <c r="AJ1" s="20"/>
      <c r="AK1" s="20"/>
      <c r="AL1" s="20"/>
      <c r="AM1" s="20"/>
      <c r="AN1" s="20"/>
      <c r="AO1" s="20"/>
      <c r="AP1" s="20"/>
      <c r="AQ1" s="20"/>
      <c r="AR1" s="20"/>
      <c r="AS1" s="41"/>
      <c r="AT1" s="20"/>
      <c r="AU1" s="20"/>
      <c r="AV1" s="20"/>
      <c r="AW1" s="20"/>
      <c r="AX1" s="42"/>
      <c r="AY1" s="20"/>
      <c r="AZ1" s="20"/>
      <c r="BA1" s="20"/>
      <c r="BB1" s="20"/>
      <c r="BC1" s="20"/>
      <c r="BD1" s="20"/>
      <c r="BE1" s="20"/>
      <c r="BF1" s="20"/>
      <c r="BG1" s="20"/>
      <c r="BH1" s="20"/>
      <c r="BI1" s="20"/>
      <c r="BJ1" s="20"/>
      <c r="BK1" s="20"/>
      <c r="BL1" s="20"/>
      <c r="BM1" s="20"/>
      <c r="BN1" s="42"/>
    </row>
    <row r="2" ht="15.75" customHeight="1">
      <c r="A2" s="99"/>
      <c r="B2" s="102"/>
      <c r="C2" s="20"/>
      <c r="D2" s="20"/>
      <c r="E2" s="20"/>
      <c r="F2" s="103" t="s">
        <v>1054</v>
      </c>
      <c r="G2" s="20"/>
      <c r="H2" s="46"/>
      <c r="I2" s="46"/>
      <c r="J2" s="46"/>
      <c r="K2" s="46" t="s">
        <v>110</v>
      </c>
      <c r="L2" s="20"/>
      <c r="M2" s="20" t="s">
        <v>1055</v>
      </c>
      <c r="N2" s="20"/>
      <c r="O2" s="20"/>
      <c r="P2" s="20" t="s">
        <v>1056</v>
      </c>
      <c r="Q2" s="20"/>
      <c r="R2" s="42"/>
      <c r="S2" s="48" t="s">
        <v>1057</v>
      </c>
      <c r="T2" s="48"/>
      <c r="U2" s="20"/>
      <c r="V2" s="20" t="s">
        <v>112</v>
      </c>
      <c r="W2" s="20" t="s">
        <v>1058</v>
      </c>
      <c r="X2" s="20"/>
      <c r="Y2" s="20"/>
      <c r="Z2" s="20"/>
      <c r="AA2" s="20" t="s">
        <v>1058</v>
      </c>
      <c r="AB2" s="20"/>
      <c r="AC2" s="20" t="s">
        <v>1059</v>
      </c>
      <c r="AD2" s="46"/>
      <c r="AE2" s="20" t="s">
        <v>112</v>
      </c>
      <c r="AF2" s="20"/>
      <c r="AG2" s="46"/>
      <c r="AH2" s="20" t="s">
        <v>112</v>
      </c>
      <c r="AI2" s="20"/>
      <c r="AJ2" s="46" t="s">
        <v>1060</v>
      </c>
      <c r="AK2" s="46"/>
      <c r="AL2" s="46"/>
      <c r="AM2" s="20"/>
      <c r="AN2" s="20"/>
      <c r="AO2" s="46"/>
      <c r="AP2" s="46"/>
      <c r="AQ2" s="20"/>
      <c r="AR2" s="46"/>
      <c r="AS2" s="10"/>
      <c r="AT2" s="10"/>
      <c r="AU2" s="46"/>
      <c r="AV2" s="48" t="s">
        <v>1061</v>
      </c>
      <c r="AW2" s="48"/>
      <c r="AX2" s="50"/>
      <c r="AY2" s="46"/>
      <c r="AZ2" s="46"/>
      <c r="BA2" s="20"/>
      <c r="BB2" s="20"/>
      <c r="BC2" s="46"/>
      <c r="BD2" s="46"/>
      <c r="BE2" s="20"/>
      <c r="BF2" s="46"/>
      <c r="BG2" s="46"/>
      <c r="BH2" s="46"/>
      <c r="BI2" s="20"/>
      <c r="BJ2" s="20"/>
      <c r="BK2" s="46"/>
      <c r="BL2" s="46"/>
      <c r="BM2" s="49"/>
      <c r="BN2" s="104"/>
    </row>
    <row r="3" ht="15.75" customHeight="1">
      <c r="A3" s="99" t="s">
        <v>117</v>
      </c>
      <c r="B3" s="102" t="s">
        <v>118</v>
      </c>
      <c r="C3" s="58">
        <v>1.0</v>
      </c>
      <c r="D3" s="54">
        <v>2.0</v>
      </c>
      <c r="E3" s="54">
        <v>3.0</v>
      </c>
      <c r="F3" s="55">
        <v>4.0</v>
      </c>
      <c r="G3" s="54">
        <v>5.0</v>
      </c>
      <c r="H3" s="54">
        <v>6.0</v>
      </c>
      <c r="I3" s="56">
        <v>7.0</v>
      </c>
      <c r="J3" s="54">
        <v>8.0</v>
      </c>
      <c r="K3" s="54">
        <v>9.0</v>
      </c>
      <c r="L3" s="58">
        <v>10.0</v>
      </c>
      <c r="M3" s="54">
        <v>11.0</v>
      </c>
      <c r="N3" s="54">
        <v>12.0</v>
      </c>
      <c r="O3" s="55">
        <v>13.0</v>
      </c>
      <c r="P3" s="54">
        <v>14.0</v>
      </c>
      <c r="Q3" s="54">
        <v>15.0</v>
      </c>
      <c r="R3" s="59" t="s">
        <v>120</v>
      </c>
      <c r="S3" s="60" t="s">
        <v>121</v>
      </c>
      <c r="T3" s="61" t="s">
        <v>122</v>
      </c>
      <c r="U3" s="54">
        <v>19.0</v>
      </c>
      <c r="V3" s="55">
        <v>20.0</v>
      </c>
      <c r="W3" s="54">
        <v>21.0</v>
      </c>
      <c r="X3" s="54">
        <v>22.0</v>
      </c>
      <c r="Y3" s="56">
        <v>23.0</v>
      </c>
      <c r="Z3" s="54">
        <v>24.0</v>
      </c>
      <c r="AA3" s="54">
        <v>25.0</v>
      </c>
      <c r="AB3" s="58">
        <v>26.0</v>
      </c>
      <c r="AC3" s="54">
        <v>27.0</v>
      </c>
      <c r="AD3" s="54">
        <v>28.0</v>
      </c>
      <c r="AE3" s="55">
        <v>29.0</v>
      </c>
      <c r="AF3" s="54">
        <v>30.0</v>
      </c>
      <c r="AG3" s="54">
        <v>31.0</v>
      </c>
      <c r="AH3" s="62">
        <v>32.0</v>
      </c>
      <c r="AI3" s="53">
        <v>33.0</v>
      </c>
      <c r="AJ3" s="54">
        <v>34.0</v>
      </c>
      <c r="AK3" s="54">
        <v>35.0</v>
      </c>
      <c r="AL3" s="55">
        <v>36.0</v>
      </c>
      <c r="AM3" s="54">
        <v>37.0</v>
      </c>
      <c r="AN3" s="54">
        <v>38.0</v>
      </c>
      <c r="AO3" s="56">
        <v>39.0</v>
      </c>
      <c r="AP3" s="54">
        <v>40.0</v>
      </c>
      <c r="AQ3" s="54">
        <v>41.0</v>
      </c>
      <c r="AR3" s="58">
        <v>42.0</v>
      </c>
      <c r="AS3" s="54">
        <v>43.0</v>
      </c>
      <c r="AT3" s="54">
        <v>44.0</v>
      </c>
      <c r="AU3" s="55">
        <v>45.0</v>
      </c>
      <c r="AV3" s="61" t="s">
        <v>123</v>
      </c>
      <c r="AW3" s="61" t="s">
        <v>124</v>
      </c>
      <c r="AX3" s="59" t="s">
        <v>125</v>
      </c>
      <c r="AY3" s="53">
        <v>49.0</v>
      </c>
      <c r="AZ3" s="54">
        <v>50.0</v>
      </c>
      <c r="BA3" s="54">
        <v>51.0</v>
      </c>
      <c r="BB3" s="55">
        <v>52.0</v>
      </c>
      <c r="BC3" s="54">
        <v>53.0</v>
      </c>
      <c r="BD3" s="54">
        <v>54.0</v>
      </c>
      <c r="BE3" s="56">
        <v>55.0</v>
      </c>
      <c r="BF3" s="54">
        <v>56.0</v>
      </c>
      <c r="BG3" s="54">
        <v>57.0</v>
      </c>
      <c r="BH3" s="58">
        <v>58.0</v>
      </c>
      <c r="BI3" s="54">
        <v>59.0</v>
      </c>
      <c r="BJ3" s="54">
        <v>60.0</v>
      </c>
      <c r="BK3" s="55">
        <v>61.0</v>
      </c>
      <c r="BL3" s="54">
        <v>62.0</v>
      </c>
      <c r="BM3" s="54">
        <v>63.0</v>
      </c>
      <c r="BN3" s="62">
        <v>64.0</v>
      </c>
    </row>
    <row r="4" ht="15.75" customHeight="1">
      <c r="A4" s="105">
        <v>45734.0</v>
      </c>
      <c r="B4" s="10" t="s">
        <v>1062</v>
      </c>
      <c r="C4" s="10" t="s">
        <v>1063</v>
      </c>
      <c r="D4" s="10" t="s">
        <v>1064</v>
      </c>
      <c r="E4" s="10" t="s">
        <v>1065</v>
      </c>
      <c r="F4" s="10" t="s">
        <v>1066</v>
      </c>
      <c r="G4" s="10" t="s">
        <v>1067</v>
      </c>
      <c r="H4" s="10" t="s">
        <v>1068</v>
      </c>
      <c r="I4" s="10" t="s">
        <v>1069</v>
      </c>
      <c r="J4" s="10" t="s">
        <v>1070</v>
      </c>
      <c r="K4" s="10" t="s">
        <v>1071</v>
      </c>
      <c r="L4" s="10" t="s">
        <v>1072</v>
      </c>
      <c r="M4" s="10" t="s">
        <v>1073</v>
      </c>
      <c r="N4" s="10" t="s">
        <v>1074</v>
      </c>
      <c r="O4" s="10" t="s">
        <v>1075</v>
      </c>
      <c r="P4" s="10" t="s">
        <v>1076</v>
      </c>
      <c r="Q4" s="10" t="s">
        <v>1077</v>
      </c>
      <c r="R4" s="68" t="s">
        <v>1078</v>
      </c>
      <c r="S4" s="10" t="s">
        <v>1079</v>
      </c>
      <c r="T4" s="10" t="s">
        <v>1080</v>
      </c>
      <c r="U4" s="10" t="s">
        <v>1079</v>
      </c>
      <c r="V4" s="10" t="s">
        <v>1081</v>
      </c>
      <c r="W4" s="10" t="s">
        <v>1082</v>
      </c>
      <c r="X4" s="10" t="s">
        <v>1083</v>
      </c>
      <c r="Y4" s="10" t="s">
        <v>1084</v>
      </c>
      <c r="Z4" s="10" t="s">
        <v>1085</v>
      </c>
      <c r="AA4" s="10" t="s">
        <v>1086</v>
      </c>
      <c r="AB4" s="10" t="s">
        <v>1087</v>
      </c>
      <c r="AC4" s="10" t="s">
        <v>1088</v>
      </c>
      <c r="AD4" s="10" t="s">
        <v>154</v>
      </c>
      <c r="AE4" s="10" t="s">
        <v>1089</v>
      </c>
      <c r="AF4" s="10" t="s">
        <v>1090</v>
      </c>
      <c r="AG4" s="10" t="s">
        <v>1091</v>
      </c>
      <c r="AH4" s="68" t="s">
        <v>1092</v>
      </c>
      <c r="AI4" s="10" t="s">
        <v>1093</v>
      </c>
      <c r="AJ4" s="10" t="s">
        <v>1094</v>
      </c>
      <c r="AK4" s="10" t="s">
        <v>1093</v>
      </c>
      <c r="AL4" s="10" t="s">
        <v>1094</v>
      </c>
      <c r="AM4" s="10" t="s">
        <v>1095</v>
      </c>
      <c r="AN4" s="10" t="s">
        <v>1096</v>
      </c>
      <c r="AO4" s="10" t="s">
        <v>154</v>
      </c>
      <c r="AP4" s="10" t="s">
        <v>154</v>
      </c>
      <c r="AQ4" s="10" t="s">
        <v>1093</v>
      </c>
      <c r="AR4" s="10" t="s">
        <v>154</v>
      </c>
      <c r="AS4" s="10" t="s">
        <v>1097</v>
      </c>
      <c r="AT4" s="10" t="s">
        <v>1098</v>
      </c>
      <c r="AU4" s="10" t="s">
        <v>1099</v>
      </c>
      <c r="AV4" s="10" t="s">
        <v>1100</v>
      </c>
      <c r="AW4" s="10" t="s">
        <v>1093</v>
      </c>
      <c r="AX4" s="68" t="s">
        <v>1090</v>
      </c>
      <c r="AY4" s="10" t="s">
        <v>1101</v>
      </c>
      <c r="AZ4" s="10" t="s">
        <v>1102</v>
      </c>
      <c r="BA4" s="10" t="s">
        <v>1103</v>
      </c>
      <c r="BB4" s="10" t="s">
        <v>1104</v>
      </c>
      <c r="BC4" s="10" t="s">
        <v>1105</v>
      </c>
      <c r="BD4" s="10" t="s">
        <v>1094</v>
      </c>
      <c r="BE4" s="10" t="s">
        <v>1093</v>
      </c>
      <c r="BF4" s="10" t="s">
        <v>1106</v>
      </c>
      <c r="BG4" s="10" t="s">
        <v>1107</v>
      </c>
      <c r="BH4" s="10" t="s">
        <v>1108</v>
      </c>
      <c r="BI4" s="68" t="s">
        <v>1109</v>
      </c>
      <c r="BJ4" s="10" t="s">
        <v>1110</v>
      </c>
      <c r="BK4" s="10" t="s">
        <v>1111</v>
      </c>
      <c r="BL4" s="68" t="s">
        <v>1112</v>
      </c>
      <c r="BM4" s="10" t="s">
        <v>1113</v>
      </c>
      <c r="BN4" s="68" t="s">
        <v>1114</v>
      </c>
    </row>
    <row r="5" ht="15.75" customHeight="1">
      <c r="A5" s="106" t="s">
        <v>191</v>
      </c>
      <c r="B5" s="74"/>
      <c r="C5" s="74">
        <v>6.5</v>
      </c>
      <c r="D5" s="74">
        <v>10.0</v>
      </c>
      <c r="E5" s="74">
        <v>10.0</v>
      </c>
      <c r="F5" s="74">
        <v>8.0</v>
      </c>
      <c r="G5" s="74">
        <v>8.0</v>
      </c>
      <c r="H5" s="74">
        <v>8.0</v>
      </c>
      <c r="I5" s="74">
        <v>9.0</v>
      </c>
      <c r="J5" s="74">
        <v>7.0</v>
      </c>
      <c r="K5" s="74">
        <v>7.0</v>
      </c>
      <c r="L5" s="74">
        <v>7.0</v>
      </c>
      <c r="M5" s="74">
        <v>7.0</v>
      </c>
      <c r="N5" s="74">
        <v>7.0</v>
      </c>
      <c r="O5" s="74">
        <v>7.0</v>
      </c>
      <c r="P5" s="74">
        <v>9.0</v>
      </c>
      <c r="Q5" s="74">
        <v>9.0</v>
      </c>
      <c r="R5" s="73">
        <v>8.0</v>
      </c>
      <c r="S5" s="74">
        <v>5.0</v>
      </c>
      <c r="T5" s="74">
        <v>9.0</v>
      </c>
      <c r="U5" s="74">
        <v>5.0</v>
      </c>
      <c r="V5" s="74">
        <v>9.0</v>
      </c>
      <c r="W5" s="74">
        <v>7.0</v>
      </c>
      <c r="X5" s="74">
        <v>4.0</v>
      </c>
      <c r="Y5" s="74">
        <v>10.0</v>
      </c>
      <c r="Z5" s="74">
        <v>8.0</v>
      </c>
      <c r="AA5" s="74">
        <v>7.0</v>
      </c>
      <c r="AB5" s="74">
        <v>11.0</v>
      </c>
      <c r="AC5" s="74">
        <v>9.0</v>
      </c>
      <c r="AD5" s="74">
        <v>10.0</v>
      </c>
      <c r="AE5" s="74">
        <v>8.0</v>
      </c>
      <c r="AF5" s="74">
        <v>8.0</v>
      </c>
      <c r="AG5" s="74">
        <v>8.0</v>
      </c>
      <c r="AH5" s="73">
        <v>7.0</v>
      </c>
      <c r="AI5" s="74">
        <v>6.0</v>
      </c>
      <c r="AJ5" s="74">
        <v>6.0</v>
      </c>
      <c r="AK5" s="74">
        <v>6.0</v>
      </c>
      <c r="AL5" s="74">
        <v>5.0</v>
      </c>
      <c r="AM5" s="74">
        <v>6.0</v>
      </c>
      <c r="AN5" s="74">
        <v>7.0</v>
      </c>
      <c r="AO5" s="74">
        <v>8.0</v>
      </c>
      <c r="AP5" s="74">
        <v>8.0</v>
      </c>
      <c r="AQ5" s="74">
        <v>6.0</v>
      </c>
      <c r="AR5" s="74">
        <v>8.0</v>
      </c>
      <c r="AS5" s="74">
        <v>6.0</v>
      </c>
      <c r="AT5" s="74">
        <v>6.0</v>
      </c>
      <c r="AU5" s="74">
        <v>7.0</v>
      </c>
      <c r="AV5" s="74">
        <v>8.0</v>
      </c>
      <c r="AW5" s="74">
        <v>6.0</v>
      </c>
      <c r="AX5" s="73">
        <v>8.0</v>
      </c>
      <c r="AY5" s="74">
        <v>6.0</v>
      </c>
      <c r="AZ5" s="74">
        <v>9.0</v>
      </c>
      <c r="BA5" s="74">
        <v>6.0</v>
      </c>
      <c r="BB5" s="74">
        <v>8.0</v>
      </c>
      <c r="BC5" s="74">
        <v>6.0</v>
      </c>
      <c r="BD5" s="74">
        <v>6.0</v>
      </c>
      <c r="BE5" s="74">
        <v>6.0</v>
      </c>
      <c r="BF5" s="74">
        <v>5.0</v>
      </c>
      <c r="BG5" s="74">
        <v>5.0</v>
      </c>
      <c r="BH5" s="74">
        <v>7.0</v>
      </c>
      <c r="BI5" s="74">
        <v>8.0</v>
      </c>
      <c r="BJ5" s="74">
        <v>7.0</v>
      </c>
      <c r="BK5" s="74">
        <v>6.0</v>
      </c>
      <c r="BL5" s="74">
        <v>7.0</v>
      </c>
      <c r="BM5" s="74">
        <v>6.0</v>
      </c>
      <c r="BN5" s="73">
        <v>6.0</v>
      </c>
    </row>
    <row r="6" ht="15.75" customHeight="1">
      <c r="A6" s="105">
        <v>45735.0</v>
      </c>
      <c r="B6" s="10" t="s">
        <v>1115</v>
      </c>
      <c r="C6" s="10" t="s">
        <v>1116</v>
      </c>
      <c r="D6" s="10" t="s">
        <v>1117</v>
      </c>
      <c r="E6" s="10" t="s">
        <v>1118</v>
      </c>
      <c r="F6" s="10" t="s">
        <v>1119</v>
      </c>
      <c r="G6" s="10" t="s">
        <v>1120</v>
      </c>
      <c r="H6" s="10" t="s">
        <v>1121</v>
      </c>
      <c r="I6" s="10" t="s">
        <v>1122</v>
      </c>
      <c r="J6" s="10" t="s">
        <v>1123</v>
      </c>
      <c r="K6" s="10" t="s">
        <v>1124</v>
      </c>
      <c r="L6" s="10" t="s">
        <v>262</v>
      </c>
      <c r="M6" s="10" t="s">
        <v>1125</v>
      </c>
      <c r="N6" s="10" t="s">
        <v>1126</v>
      </c>
      <c r="O6" s="10" t="s">
        <v>1127</v>
      </c>
      <c r="P6" s="10" t="s">
        <v>1128</v>
      </c>
      <c r="Q6" s="10" t="s">
        <v>1129</v>
      </c>
      <c r="R6" s="10" t="s">
        <v>1130</v>
      </c>
      <c r="S6" s="10" t="s">
        <v>1131</v>
      </c>
      <c r="T6" s="10" t="s">
        <v>1132</v>
      </c>
      <c r="U6" s="10" t="s">
        <v>1133</v>
      </c>
      <c r="V6" s="10" t="s">
        <v>1134</v>
      </c>
      <c r="W6" s="10" t="s">
        <v>1135</v>
      </c>
      <c r="X6" s="10" t="s">
        <v>1136</v>
      </c>
      <c r="Y6" s="10" t="s">
        <v>1137</v>
      </c>
      <c r="Z6" s="10" t="s">
        <v>1138</v>
      </c>
      <c r="AA6" s="10" t="s">
        <v>1139</v>
      </c>
      <c r="AB6" s="10" t="s">
        <v>1140</v>
      </c>
      <c r="AC6" s="10" t="s">
        <v>260</v>
      </c>
      <c r="AD6" s="10" t="s">
        <v>1141</v>
      </c>
      <c r="AE6" s="10" t="s">
        <v>260</v>
      </c>
      <c r="AF6" s="10" t="s">
        <v>1142</v>
      </c>
      <c r="AG6" s="10" t="s">
        <v>260</v>
      </c>
      <c r="AH6" s="10" t="s">
        <v>1143</v>
      </c>
      <c r="AI6" s="10" t="s">
        <v>1144</v>
      </c>
      <c r="AJ6" s="10" t="s">
        <v>1145</v>
      </c>
      <c r="AK6" s="10" t="s">
        <v>1146</v>
      </c>
      <c r="AL6" s="10" t="s">
        <v>1147</v>
      </c>
      <c r="AM6" s="10" t="s">
        <v>1148</v>
      </c>
      <c r="AN6" s="10" t="s">
        <v>1149</v>
      </c>
      <c r="AO6" s="10" t="s">
        <v>1150</v>
      </c>
      <c r="AP6" s="10" t="s">
        <v>1151</v>
      </c>
      <c r="AQ6" s="10" t="s">
        <v>1152</v>
      </c>
      <c r="AR6" s="10" t="s">
        <v>1153</v>
      </c>
      <c r="AS6" s="10" t="s">
        <v>1154</v>
      </c>
      <c r="AT6" s="10" t="s">
        <v>1155</v>
      </c>
      <c r="AU6" s="10" t="s">
        <v>1156</v>
      </c>
      <c r="AV6" s="10" t="s">
        <v>272</v>
      </c>
      <c r="AW6" s="10" t="s">
        <v>1157</v>
      </c>
      <c r="AX6" s="10" t="s">
        <v>1158</v>
      </c>
      <c r="AY6" s="10" t="s">
        <v>1159</v>
      </c>
      <c r="AZ6" s="10" t="s">
        <v>1160</v>
      </c>
      <c r="BA6" s="10" t="s">
        <v>1161</v>
      </c>
      <c r="BB6" s="10" t="s">
        <v>1162</v>
      </c>
      <c r="BC6" s="10" t="s">
        <v>1163</v>
      </c>
      <c r="BD6" s="10" t="s">
        <v>1164</v>
      </c>
      <c r="BE6" s="10" t="s">
        <v>1165</v>
      </c>
      <c r="BF6" s="10" t="s">
        <v>1166</v>
      </c>
      <c r="BG6" s="10" t="s">
        <v>1167</v>
      </c>
      <c r="BH6" s="10" t="s">
        <v>1168</v>
      </c>
      <c r="BI6" s="10" t="s">
        <v>1169</v>
      </c>
      <c r="BJ6" s="10" t="s">
        <v>1170</v>
      </c>
      <c r="BK6" s="10" t="s">
        <v>1171</v>
      </c>
      <c r="BL6" s="10" t="s">
        <v>1172</v>
      </c>
      <c r="BM6" s="10" t="s">
        <v>1173</v>
      </c>
      <c r="BN6" s="10" t="s">
        <v>1174</v>
      </c>
    </row>
    <row r="7" ht="15.75" customHeight="1">
      <c r="A7" s="10" t="s">
        <v>256</v>
      </c>
      <c r="B7" s="10"/>
      <c r="C7" s="10">
        <v>8.0</v>
      </c>
      <c r="D7" s="10">
        <v>12.0</v>
      </c>
      <c r="E7" s="10">
        <v>11.0</v>
      </c>
      <c r="F7" s="10">
        <v>9.0</v>
      </c>
      <c r="G7" s="10">
        <v>9.0</v>
      </c>
      <c r="H7" s="10">
        <v>9.0</v>
      </c>
      <c r="I7" s="10">
        <v>10.0</v>
      </c>
      <c r="J7" s="10">
        <v>8.0</v>
      </c>
      <c r="K7" s="10">
        <v>9.0</v>
      </c>
      <c r="L7" s="10">
        <v>8.0</v>
      </c>
      <c r="M7" s="10">
        <v>9.0</v>
      </c>
      <c r="N7" s="10">
        <v>8.0</v>
      </c>
      <c r="O7" s="10">
        <v>9.0</v>
      </c>
      <c r="P7" s="10">
        <v>10.0</v>
      </c>
      <c r="Q7" s="10">
        <v>10.0</v>
      </c>
      <c r="R7" s="10">
        <v>9.0</v>
      </c>
      <c r="S7" s="10">
        <v>8.0</v>
      </c>
      <c r="T7" s="10">
        <v>10.0</v>
      </c>
      <c r="U7" s="10">
        <v>7.0</v>
      </c>
      <c r="V7" s="10">
        <v>10.0</v>
      </c>
      <c r="W7" s="10">
        <v>8.0</v>
      </c>
      <c r="X7" s="10">
        <v>7.0</v>
      </c>
      <c r="Y7" s="10">
        <v>11.0</v>
      </c>
      <c r="Z7" s="10">
        <v>9.0</v>
      </c>
      <c r="AA7" s="10">
        <v>9.0</v>
      </c>
      <c r="AB7" s="10">
        <v>12.0</v>
      </c>
      <c r="AC7" s="10">
        <v>10.0</v>
      </c>
      <c r="AD7" s="10">
        <v>11.0</v>
      </c>
      <c r="AE7" s="10">
        <v>9.0</v>
      </c>
      <c r="AF7" s="10">
        <v>9.0</v>
      </c>
      <c r="AG7" s="10">
        <v>9.0</v>
      </c>
      <c r="AH7" s="10">
        <v>8.0</v>
      </c>
      <c r="AI7" s="10">
        <v>8.0</v>
      </c>
      <c r="AJ7" s="10">
        <v>8.0</v>
      </c>
      <c r="AK7" s="10">
        <v>8.0</v>
      </c>
      <c r="AL7" s="10">
        <v>8.0</v>
      </c>
      <c r="AM7" s="10">
        <v>8.0</v>
      </c>
      <c r="AN7" s="10">
        <v>9.0</v>
      </c>
      <c r="AO7" s="10">
        <v>9.0</v>
      </c>
      <c r="AP7" s="10">
        <v>9.0</v>
      </c>
      <c r="AQ7" s="10">
        <v>8.0</v>
      </c>
      <c r="AR7" s="10">
        <v>9.0</v>
      </c>
      <c r="AS7" s="10">
        <v>8.0</v>
      </c>
      <c r="AT7" s="10">
        <v>8.0</v>
      </c>
      <c r="AU7" s="10">
        <v>8.0</v>
      </c>
      <c r="AV7" s="10">
        <v>9.0</v>
      </c>
      <c r="AW7" s="10">
        <v>8.0</v>
      </c>
      <c r="AX7" s="10">
        <v>9.0</v>
      </c>
      <c r="AY7" s="10">
        <v>7.5</v>
      </c>
      <c r="AZ7" s="10">
        <v>10.0</v>
      </c>
      <c r="BA7" s="10">
        <v>8.0</v>
      </c>
      <c r="BB7" s="10">
        <v>10.0</v>
      </c>
      <c r="BC7" s="10">
        <v>7.0</v>
      </c>
      <c r="BD7" s="10">
        <v>8.0</v>
      </c>
      <c r="BE7" s="10">
        <v>9.0</v>
      </c>
      <c r="BF7" s="10">
        <v>7.0</v>
      </c>
      <c r="BG7" s="10">
        <v>7.0</v>
      </c>
      <c r="BH7" s="10">
        <v>8.0</v>
      </c>
      <c r="BI7" s="10">
        <v>10.0</v>
      </c>
      <c r="BJ7" s="10">
        <v>9.0</v>
      </c>
      <c r="BK7" s="10">
        <v>9.0</v>
      </c>
      <c r="BL7" s="10">
        <v>8.0</v>
      </c>
      <c r="BM7" s="10">
        <v>7.0</v>
      </c>
      <c r="BN7" s="10">
        <v>8.0</v>
      </c>
    </row>
    <row r="8" ht="15.75" customHeight="1">
      <c r="A8" s="27">
        <v>45736.0</v>
      </c>
      <c r="B8" s="10" t="s">
        <v>1175</v>
      </c>
      <c r="C8" s="10" t="s">
        <v>1176</v>
      </c>
      <c r="D8" s="10" t="s">
        <v>1177</v>
      </c>
      <c r="E8" s="10" t="s">
        <v>1178</v>
      </c>
      <c r="F8" s="10" t="s">
        <v>1179</v>
      </c>
      <c r="G8" s="10" t="s">
        <v>1180</v>
      </c>
      <c r="H8" s="10" t="s">
        <v>1181</v>
      </c>
      <c r="I8" s="10" t="s">
        <v>1182</v>
      </c>
      <c r="J8" s="10" t="s">
        <v>1183</v>
      </c>
      <c r="K8" s="10" t="s">
        <v>1184</v>
      </c>
      <c r="L8" s="10" t="s">
        <v>1185</v>
      </c>
      <c r="M8" s="10" t="s">
        <v>1186</v>
      </c>
      <c r="N8" s="10" t="s">
        <v>1187</v>
      </c>
      <c r="O8" s="10" t="s">
        <v>1188</v>
      </c>
      <c r="P8" s="10" t="s">
        <v>1189</v>
      </c>
      <c r="Q8" s="10" t="s">
        <v>1190</v>
      </c>
      <c r="R8" s="10" t="s">
        <v>1191</v>
      </c>
      <c r="S8" s="10" t="s">
        <v>1192</v>
      </c>
      <c r="T8" s="10" t="s">
        <v>1193</v>
      </c>
      <c r="U8" s="10" t="s">
        <v>1194</v>
      </c>
      <c r="V8" s="10" t="s">
        <v>1195</v>
      </c>
      <c r="W8" s="10" t="s">
        <v>1196</v>
      </c>
      <c r="X8" s="10" t="s">
        <v>1197</v>
      </c>
      <c r="Y8" s="10" t="s">
        <v>1198</v>
      </c>
      <c r="Z8" s="10" t="s">
        <v>1199</v>
      </c>
      <c r="AA8" s="10" t="s">
        <v>1200</v>
      </c>
      <c r="AB8" s="10" t="s">
        <v>1201</v>
      </c>
      <c r="AC8" s="10" t="s">
        <v>1202</v>
      </c>
      <c r="AD8" s="10" t="s">
        <v>1203</v>
      </c>
      <c r="AE8" s="10" t="s">
        <v>1204</v>
      </c>
      <c r="AF8" s="10" t="s">
        <v>1205</v>
      </c>
      <c r="AG8" s="10" t="s">
        <v>1206</v>
      </c>
      <c r="AH8" s="10" t="s">
        <v>1207</v>
      </c>
      <c r="AI8" s="10" t="s">
        <v>1208</v>
      </c>
      <c r="AJ8" s="10" t="s">
        <v>1209</v>
      </c>
      <c r="AK8" s="10" t="s">
        <v>1210</v>
      </c>
      <c r="AL8" s="10" t="s">
        <v>1211</v>
      </c>
      <c r="AM8" s="10" t="s">
        <v>1212</v>
      </c>
      <c r="AN8" s="10" t="s">
        <v>1213</v>
      </c>
      <c r="AO8" s="10" t="s">
        <v>1214</v>
      </c>
      <c r="AP8" s="10" t="s">
        <v>1215</v>
      </c>
      <c r="AQ8" s="10" t="s">
        <v>1216</v>
      </c>
      <c r="AR8" s="10" t="s">
        <v>1217</v>
      </c>
      <c r="AS8" s="10" t="s">
        <v>1218</v>
      </c>
      <c r="AT8" s="10" t="s">
        <v>1219</v>
      </c>
      <c r="AU8" s="10" t="s">
        <v>1220</v>
      </c>
      <c r="AV8" s="10" t="s">
        <v>1221</v>
      </c>
      <c r="AW8" s="10" t="s">
        <v>1222</v>
      </c>
      <c r="AX8" s="10" t="s">
        <v>1223</v>
      </c>
      <c r="AY8" s="10" t="s">
        <v>1224</v>
      </c>
      <c r="AZ8" s="10" t="s">
        <v>1225</v>
      </c>
      <c r="BA8" s="10" t="s">
        <v>1226</v>
      </c>
      <c r="BB8" s="10" t="s">
        <v>1227</v>
      </c>
      <c r="BC8" s="10" t="s">
        <v>1228</v>
      </c>
      <c r="BD8" s="10" t="s">
        <v>1229</v>
      </c>
      <c r="BE8" s="10" t="s">
        <v>1230</v>
      </c>
      <c r="BF8" s="10" t="s">
        <v>1231</v>
      </c>
      <c r="BG8" s="10" t="s">
        <v>1232</v>
      </c>
      <c r="BH8" s="10" t="s">
        <v>1233</v>
      </c>
      <c r="BI8" s="10" t="s">
        <v>1234</v>
      </c>
      <c r="BJ8" s="10" t="s">
        <v>1235</v>
      </c>
      <c r="BK8" s="10" t="s">
        <v>1236</v>
      </c>
      <c r="BL8" s="10" t="s">
        <v>1237</v>
      </c>
      <c r="BM8" s="10" t="s">
        <v>1238</v>
      </c>
      <c r="BN8" s="10" t="s">
        <v>1239</v>
      </c>
    </row>
    <row r="9" ht="15.75" customHeight="1">
      <c r="A9" s="10" t="s">
        <v>303</v>
      </c>
      <c r="B9" s="10"/>
      <c r="C9" s="10">
        <v>9.0</v>
      </c>
      <c r="D9" s="10">
        <v>16.0</v>
      </c>
      <c r="E9" s="10">
        <v>12.0</v>
      </c>
      <c r="F9" s="10">
        <v>10.0</v>
      </c>
      <c r="G9" s="10">
        <v>10.0</v>
      </c>
      <c r="H9" s="10">
        <v>10.0</v>
      </c>
      <c r="I9" s="10">
        <v>11.0</v>
      </c>
      <c r="J9" s="10">
        <v>9.0</v>
      </c>
      <c r="K9" s="10">
        <v>10.0</v>
      </c>
      <c r="L9" s="10">
        <v>10.0</v>
      </c>
      <c r="M9" s="10">
        <v>10.5</v>
      </c>
      <c r="N9" s="10">
        <v>9.0</v>
      </c>
      <c r="O9" s="10">
        <v>10.0</v>
      </c>
      <c r="P9" s="10">
        <v>11.0</v>
      </c>
      <c r="Q9" s="10">
        <v>11.5</v>
      </c>
      <c r="R9" s="10">
        <v>11.0</v>
      </c>
      <c r="S9" s="10">
        <v>10.0</v>
      </c>
      <c r="T9" s="10">
        <v>12.0</v>
      </c>
      <c r="U9" s="10">
        <v>9.0</v>
      </c>
      <c r="V9" s="10">
        <v>11.0</v>
      </c>
      <c r="W9" s="10">
        <v>9.0</v>
      </c>
      <c r="X9" s="10">
        <v>9.0</v>
      </c>
      <c r="Y9" s="10">
        <v>12.0</v>
      </c>
      <c r="Z9" s="10">
        <v>12.0</v>
      </c>
      <c r="AA9" s="10">
        <v>11.5</v>
      </c>
      <c r="AB9" s="10">
        <v>13.0</v>
      </c>
      <c r="AC9" s="10">
        <v>13.5</v>
      </c>
      <c r="AD9" s="10">
        <v>13.0</v>
      </c>
      <c r="AE9" s="10">
        <v>11.0</v>
      </c>
      <c r="AF9" s="10">
        <v>10.0</v>
      </c>
      <c r="AG9" s="10">
        <v>11.0</v>
      </c>
      <c r="AH9" s="10">
        <v>9.0</v>
      </c>
      <c r="AI9" s="10">
        <v>11.0</v>
      </c>
      <c r="AJ9" s="10">
        <v>10.0</v>
      </c>
      <c r="AK9" s="10">
        <v>11.0</v>
      </c>
      <c r="AL9" s="10">
        <v>10.0</v>
      </c>
      <c r="AM9" s="10">
        <v>10.0</v>
      </c>
      <c r="AN9" s="10">
        <v>11.0</v>
      </c>
      <c r="AO9" s="10">
        <v>13.0</v>
      </c>
      <c r="AP9" s="10">
        <v>11.0</v>
      </c>
      <c r="AQ9" s="10">
        <v>10.0</v>
      </c>
      <c r="AR9" s="10">
        <v>11.0</v>
      </c>
      <c r="AS9" s="10">
        <v>11.0</v>
      </c>
      <c r="AT9" s="10">
        <v>11.0</v>
      </c>
      <c r="AU9" s="10">
        <v>12.0</v>
      </c>
      <c r="AV9" s="10">
        <v>11.0</v>
      </c>
      <c r="AW9" s="10">
        <v>9.5</v>
      </c>
      <c r="AX9" s="10">
        <v>11.0</v>
      </c>
      <c r="AY9" s="10">
        <v>9.5</v>
      </c>
      <c r="AZ9" s="10">
        <v>12.0</v>
      </c>
      <c r="BA9" s="10">
        <v>10.0</v>
      </c>
      <c r="BB9" s="10">
        <v>12.0</v>
      </c>
      <c r="BC9" s="10">
        <v>9.0</v>
      </c>
      <c r="BD9" s="10">
        <v>10.0</v>
      </c>
      <c r="BE9" s="10">
        <v>11.0</v>
      </c>
      <c r="BF9" s="10">
        <v>9.0</v>
      </c>
      <c r="BG9" s="10">
        <v>9.0</v>
      </c>
      <c r="BH9" s="10">
        <v>10.0</v>
      </c>
      <c r="BI9" s="10">
        <v>12.0</v>
      </c>
      <c r="BJ9" s="10">
        <v>11.0</v>
      </c>
      <c r="BK9" s="10">
        <v>11.0</v>
      </c>
      <c r="BL9" s="10">
        <v>10.0</v>
      </c>
      <c r="BM9" s="10">
        <v>9.0</v>
      </c>
      <c r="BN9" s="10">
        <v>10.0</v>
      </c>
    </row>
    <row r="10" ht="109.5" customHeight="1">
      <c r="A10" s="27">
        <v>45737.0</v>
      </c>
      <c r="B10" s="10" t="s">
        <v>1240</v>
      </c>
      <c r="C10" s="10" t="s">
        <v>1241</v>
      </c>
      <c r="D10" s="107"/>
      <c r="E10" s="10" t="s">
        <v>1242</v>
      </c>
      <c r="F10" s="10" t="s">
        <v>1243</v>
      </c>
      <c r="G10" s="10" t="s">
        <v>1244</v>
      </c>
      <c r="H10" s="10" t="s">
        <v>1245</v>
      </c>
      <c r="I10" s="10" t="s">
        <v>1246</v>
      </c>
      <c r="J10" s="10" t="s">
        <v>1247</v>
      </c>
      <c r="K10" s="10" t="s">
        <v>1248</v>
      </c>
      <c r="L10" s="10" t="s">
        <v>1249</v>
      </c>
      <c r="M10" s="10" t="s">
        <v>1250</v>
      </c>
      <c r="N10" s="10" t="s">
        <v>1251</v>
      </c>
      <c r="O10" s="10" t="s">
        <v>1252</v>
      </c>
      <c r="P10" s="10" t="s">
        <v>1253</v>
      </c>
      <c r="Q10" s="10" t="s">
        <v>1254</v>
      </c>
      <c r="R10" s="10" t="s">
        <v>1255</v>
      </c>
      <c r="S10" s="10" t="s">
        <v>1256</v>
      </c>
      <c r="T10" s="10" t="s">
        <v>1257</v>
      </c>
      <c r="U10" s="10" t="s">
        <v>1258</v>
      </c>
      <c r="V10" s="10" t="s">
        <v>1259</v>
      </c>
      <c r="W10" s="10" t="s">
        <v>1260</v>
      </c>
      <c r="X10" s="10" t="s">
        <v>1261</v>
      </c>
      <c r="Y10" s="10" t="s">
        <v>1262</v>
      </c>
      <c r="Z10" s="10" t="s">
        <v>1263</v>
      </c>
      <c r="AA10" s="10" t="s">
        <v>1264</v>
      </c>
      <c r="AB10" s="10" t="s">
        <v>1265</v>
      </c>
      <c r="AC10" s="10" t="s">
        <v>1261</v>
      </c>
      <c r="AD10" s="10" t="s">
        <v>1266</v>
      </c>
      <c r="AE10" s="10" t="s">
        <v>1267</v>
      </c>
      <c r="AF10" s="10" t="s">
        <v>1268</v>
      </c>
      <c r="AG10" s="10" t="s">
        <v>1269</v>
      </c>
      <c r="AH10" s="10" t="s">
        <v>1270</v>
      </c>
      <c r="AI10" s="10" t="s">
        <v>1271</v>
      </c>
      <c r="AJ10" s="10" t="s">
        <v>1272</v>
      </c>
      <c r="AK10" s="10" t="s">
        <v>1273</v>
      </c>
      <c r="AL10" s="10" t="s">
        <v>1274</v>
      </c>
      <c r="AM10" s="10" t="s">
        <v>1275</v>
      </c>
      <c r="AN10" s="10" t="s">
        <v>1276</v>
      </c>
      <c r="AO10" s="108"/>
      <c r="AP10" s="10" t="s">
        <v>1277</v>
      </c>
      <c r="AQ10" s="10" t="s">
        <v>1275</v>
      </c>
      <c r="AR10" s="10" t="s">
        <v>1278</v>
      </c>
      <c r="AS10" s="10" t="s">
        <v>1279</v>
      </c>
      <c r="AT10" s="10" t="s">
        <v>1280</v>
      </c>
      <c r="AU10" s="10" t="s">
        <v>1281</v>
      </c>
      <c r="AV10" s="10" t="s">
        <v>1282</v>
      </c>
      <c r="AW10" s="10" t="s">
        <v>1275</v>
      </c>
      <c r="AX10" s="10" t="s">
        <v>1283</v>
      </c>
      <c r="AY10" s="10" t="s">
        <v>1284</v>
      </c>
      <c r="AZ10" s="10" t="s">
        <v>1285</v>
      </c>
      <c r="BA10" s="10" t="s">
        <v>1286</v>
      </c>
      <c r="BB10" s="10" t="s">
        <v>1287</v>
      </c>
      <c r="BC10" s="10" t="s">
        <v>1288</v>
      </c>
      <c r="BD10" s="10" t="s">
        <v>1289</v>
      </c>
      <c r="BE10" s="10" t="s">
        <v>1290</v>
      </c>
      <c r="BF10" s="10" t="s">
        <v>1290</v>
      </c>
      <c r="BG10" s="10" t="s">
        <v>1291</v>
      </c>
      <c r="BH10" s="10" t="s">
        <v>1286</v>
      </c>
      <c r="BI10" s="10" t="s">
        <v>1290</v>
      </c>
      <c r="BJ10" s="10" t="s">
        <v>1292</v>
      </c>
      <c r="BK10" s="10" t="s">
        <v>1293</v>
      </c>
      <c r="BL10" s="10" t="s">
        <v>1294</v>
      </c>
      <c r="BM10" s="10" t="s">
        <v>1290</v>
      </c>
      <c r="BN10" s="10" t="s">
        <v>1295</v>
      </c>
    </row>
    <row r="11" ht="15.75" customHeight="1">
      <c r="A11" s="10" t="s">
        <v>358</v>
      </c>
      <c r="B11" s="10"/>
      <c r="C11" s="10">
        <v>10.0</v>
      </c>
      <c r="D11" s="107"/>
      <c r="E11" s="10">
        <v>14.0</v>
      </c>
      <c r="F11" s="10">
        <v>11.0</v>
      </c>
      <c r="G11" s="10">
        <v>11.0</v>
      </c>
      <c r="H11" s="10">
        <v>11.0</v>
      </c>
      <c r="I11" s="10">
        <v>13.0</v>
      </c>
      <c r="J11" s="10">
        <v>10.0</v>
      </c>
      <c r="K11" s="10">
        <v>11.0</v>
      </c>
      <c r="L11" s="10">
        <v>11.0</v>
      </c>
      <c r="M11" s="10">
        <v>11.5</v>
      </c>
      <c r="N11" s="10">
        <v>10.0</v>
      </c>
      <c r="O11" s="10">
        <v>11.0</v>
      </c>
      <c r="P11" s="10">
        <v>12.0</v>
      </c>
      <c r="Q11" s="10">
        <v>12.5</v>
      </c>
      <c r="R11" s="13">
        <v>12.0</v>
      </c>
      <c r="S11" s="10">
        <v>11.0</v>
      </c>
      <c r="T11" s="10">
        <v>13.0</v>
      </c>
      <c r="U11" s="10">
        <v>10.0</v>
      </c>
      <c r="V11" s="10">
        <v>12.0</v>
      </c>
      <c r="W11" s="10">
        <v>10.0</v>
      </c>
      <c r="X11" s="10">
        <v>10.0</v>
      </c>
      <c r="Y11" s="10">
        <v>13.0</v>
      </c>
      <c r="Z11" s="10">
        <v>13.0</v>
      </c>
      <c r="AA11" s="10">
        <v>12.5</v>
      </c>
      <c r="AB11" s="10">
        <v>14.0</v>
      </c>
      <c r="AC11" s="10">
        <v>14.5</v>
      </c>
      <c r="AD11" s="10">
        <v>14.0</v>
      </c>
      <c r="AE11" s="10">
        <v>12.5</v>
      </c>
      <c r="AF11" s="10">
        <v>11.0</v>
      </c>
      <c r="AG11" s="10">
        <v>12.0</v>
      </c>
      <c r="AH11" s="10">
        <v>10.0</v>
      </c>
      <c r="AI11" s="10">
        <v>12.0</v>
      </c>
      <c r="AJ11" s="10">
        <v>12.0</v>
      </c>
      <c r="AK11" s="10">
        <v>13.0</v>
      </c>
      <c r="AL11" s="10">
        <v>12.0</v>
      </c>
      <c r="AM11" s="10">
        <v>12.0</v>
      </c>
      <c r="AN11" s="10">
        <v>13.0</v>
      </c>
      <c r="AO11" s="108"/>
      <c r="AP11" s="10">
        <v>13.0</v>
      </c>
      <c r="AQ11" s="10">
        <v>12.0</v>
      </c>
      <c r="AR11" s="10">
        <v>13.0</v>
      </c>
      <c r="AS11" s="10">
        <v>13.0</v>
      </c>
      <c r="AT11" s="10">
        <v>13.0</v>
      </c>
      <c r="AU11" s="10">
        <v>13.0</v>
      </c>
      <c r="AV11" s="10">
        <v>13.0</v>
      </c>
      <c r="AW11" s="10">
        <v>11.5</v>
      </c>
      <c r="AX11" s="10">
        <v>13.0</v>
      </c>
      <c r="AY11" s="10">
        <v>11.5</v>
      </c>
      <c r="AZ11" s="10">
        <v>14.0</v>
      </c>
      <c r="BA11" s="10">
        <v>12.0</v>
      </c>
      <c r="BB11" s="10">
        <v>14.0</v>
      </c>
      <c r="BC11" s="10">
        <v>11.0</v>
      </c>
      <c r="BD11" s="10">
        <v>12.0</v>
      </c>
      <c r="BE11" s="10">
        <v>13.0</v>
      </c>
      <c r="BF11" s="10">
        <v>11.0</v>
      </c>
      <c r="BG11" s="10">
        <v>11.0</v>
      </c>
      <c r="BH11" s="10">
        <v>12.0</v>
      </c>
      <c r="BI11" s="10">
        <v>14.0</v>
      </c>
      <c r="BJ11" s="10">
        <v>13.0</v>
      </c>
      <c r="BK11" s="10">
        <v>13.0</v>
      </c>
      <c r="BL11" s="10">
        <v>12.0</v>
      </c>
      <c r="BM11" s="10">
        <v>11.0</v>
      </c>
      <c r="BN11" s="10">
        <v>12.0</v>
      </c>
    </row>
    <row r="12" ht="15.75" customHeight="1">
      <c r="A12" s="27">
        <v>45739.0</v>
      </c>
      <c r="B12" s="10" t="s">
        <v>1296</v>
      </c>
      <c r="C12" s="10" t="s">
        <v>1297</v>
      </c>
      <c r="D12" s="107"/>
      <c r="E12" s="10" t="s">
        <v>1298</v>
      </c>
      <c r="F12" s="10" t="s">
        <v>1299</v>
      </c>
      <c r="G12" s="10" t="s">
        <v>1300</v>
      </c>
      <c r="H12" s="10" t="s">
        <v>1301</v>
      </c>
      <c r="I12" s="10" t="s">
        <v>1302</v>
      </c>
      <c r="J12" s="10" t="s">
        <v>1303</v>
      </c>
      <c r="K12" s="10" t="s">
        <v>1304</v>
      </c>
      <c r="L12" s="10" t="s">
        <v>1305</v>
      </c>
      <c r="M12" s="10" t="s">
        <v>1306</v>
      </c>
      <c r="N12" s="10" t="s">
        <v>1307</v>
      </c>
      <c r="O12" s="10" t="s">
        <v>1308</v>
      </c>
      <c r="P12" s="10" t="s">
        <v>1309</v>
      </c>
      <c r="Q12" s="10" t="s">
        <v>1310</v>
      </c>
      <c r="R12" s="10" t="s">
        <v>1311</v>
      </c>
      <c r="S12" s="10" t="s">
        <v>1312</v>
      </c>
      <c r="T12" s="10" t="s">
        <v>1313</v>
      </c>
      <c r="U12" s="10" t="s">
        <v>1314</v>
      </c>
      <c r="V12" s="10" t="s">
        <v>1315</v>
      </c>
      <c r="W12" s="10" t="s">
        <v>1316</v>
      </c>
      <c r="X12" s="10" t="s">
        <v>1317</v>
      </c>
      <c r="Y12" s="10" t="s">
        <v>1318</v>
      </c>
      <c r="Z12" s="10" t="s">
        <v>1319</v>
      </c>
      <c r="AA12" s="10" t="s">
        <v>1320</v>
      </c>
      <c r="AB12" s="10" t="s">
        <v>1321</v>
      </c>
      <c r="AC12" s="10" t="s">
        <v>1322</v>
      </c>
      <c r="AD12" s="10" t="s">
        <v>1323</v>
      </c>
      <c r="AE12" s="10" t="s">
        <v>1324</v>
      </c>
      <c r="AF12" s="10" t="s">
        <v>1325</v>
      </c>
      <c r="AG12" s="10" t="s">
        <v>1326</v>
      </c>
      <c r="AH12" s="10" t="s">
        <v>1327</v>
      </c>
      <c r="AI12" s="10" t="s">
        <v>1328</v>
      </c>
      <c r="AJ12" s="10" t="s">
        <v>1329</v>
      </c>
      <c r="AK12" s="10" t="s">
        <v>1330</v>
      </c>
      <c r="AL12" s="10" t="s">
        <v>1331</v>
      </c>
      <c r="AM12" s="10" t="s">
        <v>1332</v>
      </c>
      <c r="AN12" s="10" t="s">
        <v>1333</v>
      </c>
      <c r="AO12" s="108"/>
      <c r="AP12" s="10" t="s">
        <v>1334</v>
      </c>
      <c r="AQ12" s="10" t="s">
        <v>1335</v>
      </c>
      <c r="AR12" s="10" t="s">
        <v>1336</v>
      </c>
      <c r="AS12" s="10" t="s">
        <v>1337</v>
      </c>
      <c r="AT12" s="10" t="s">
        <v>1338</v>
      </c>
      <c r="AU12" s="10" t="s">
        <v>1339</v>
      </c>
      <c r="AV12" s="10" t="s">
        <v>1340</v>
      </c>
      <c r="AW12" s="10" t="s">
        <v>1341</v>
      </c>
      <c r="AX12" s="10" t="s">
        <v>1342</v>
      </c>
      <c r="AY12" s="10" t="s">
        <v>1343</v>
      </c>
      <c r="AZ12" s="10" t="s">
        <v>1344</v>
      </c>
      <c r="BA12" s="10" t="s">
        <v>1345</v>
      </c>
      <c r="BB12" s="10" t="s">
        <v>1346</v>
      </c>
      <c r="BC12" s="10" t="s">
        <v>1347</v>
      </c>
      <c r="BD12" s="10" t="s">
        <v>1348</v>
      </c>
      <c r="BE12" s="10" t="s">
        <v>1349</v>
      </c>
      <c r="BF12" s="10" t="s">
        <v>1350</v>
      </c>
      <c r="BG12" s="10" t="s">
        <v>1351</v>
      </c>
      <c r="BH12" s="10" t="s">
        <v>1352</v>
      </c>
      <c r="BI12" s="10" t="s">
        <v>1353</v>
      </c>
      <c r="BJ12" s="10" t="s">
        <v>1354</v>
      </c>
      <c r="BK12" s="10" t="s">
        <v>1355</v>
      </c>
      <c r="BL12" s="10" t="s">
        <v>1356</v>
      </c>
      <c r="BM12" s="10" t="s">
        <v>1357</v>
      </c>
      <c r="BN12" s="10" t="s">
        <v>1358</v>
      </c>
    </row>
    <row r="13" ht="15.75" customHeight="1">
      <c r="A13" s="10" t="s">
        <v>457</v>
      </c>
      <c r="B13" s="10"/>
      <c r="C13" s="10">
        <v>11.0</v>
      </c>
      <c r="D13" s="107"/>
      <c r="E13" s="10">
        <v>16.0</v>
      </c>
      <c r="F13" s="10">
        <v>13.0</v>
      </c>
      <c r="G13" s="10">
        <v>12.0</v>
      </c>
      <c r="H13" s="10">
        <v>12.0</v>
      </c>
      <c r="I13" s="10">
        <v>14.0</v>
      </c>
      <c r="J13" s="10">
        <v>12.0</v>
      </c>
      <c r="K13" s="10">
        <v>12.0</v>
      </c>
      <c r="L13" s="10">
        <v>13.0</v>
      </c>
      <c r="M13" s="10">
        <v>12.5</v>
      </c>
      <c r="N13" s="10">
        <v>11.0</v>
      </c>
      <c r="O13" s="10">
        <v>13.0</v>
      </c>
      <c r="P13" s="10">
        <v>13.0</v>
      </c>
      <c r="Q13" s="10">
        <v>14.5</v>
      </c>
      <c r="R13" s="10">
        <v>13.0</v>
      </c>
      <c r="S13" s="10">
        <v>12.0</v>
      </c>
      <c r="T13" s="10">
        <v>14.0</v>
      </c>
      <c r="U13" s="10">
        <v>13.0</v>
      </c>
      <c r="V13" s="10">
        <v>13.0</v>
      </c>
      <c r="W13" s="10">
        <v>11.0</v>
      </c>
      <c r="X13" s="10">
        <v>11.0</v>
      </c>
      <c r="Y13" s="10">
        <v>14.0</v>
      </c>
      <c r="Z13" s="10">
        <v>15.0</v>
      </c>
      <c r="AA13" s="10">
        <v>13.5</v>
      </c>
      <c r="AB13" s="10">
        <v>15.0</v>
      </c>
      <c r="AC13" s="10">
        <v>16.0</v>
      </c>
      <c r="AD13" s="10">
        <v>17.0</v>
      </c>
      <c r="AE13" s="10">
        <v>14.0</v>
      </c>
      <c r="AF13" s="10">
        <v>12.0</v>
      </c>
      <c r="AG13" s="10">
        <v>14.0</v>
      </c>
      <c r="AH13" s="10">
        <v>11.0</v>
      </c>
      <c r="AI13" s="10">
        <v>19.0</v>
      </c>
      <c r="AJ13" s="10">
        <v>19.0</v>
      </c>
      <c r="AK13" s="10">
        <v>19.5</v>
      </c>
      <c r="AL13" s="10">
        <v>19.0</v>
      </c>
      <c r="AM13" s="10">
        <v>20.0</v>
      </c>
      <c r="AN13" s="10">
        <v>20.0</v>
      </c>
      <c r="AO13" s="108"/>
      <c r="AP13" s="10">
        <v>17.5</v>
      </c>
      <c r="AQ13" s="10">
        <v>19.0</v>
      </c>
      <c r="AR13" s="10">
        <v>18.0</v>
      </c>
      <c r="AS13" s="10">
        <v>18.0</v>
      </c>
      <c r="AT13" s="10">
        <v>17.0</v>
      </c>
      <c r="AU13" s="10">
        <v>19.0</v>
      </c>
      <c r="AV13" s="10">
        <v>19.5</v>
      </c>
      <c r="AW13" s="10">
        <v>18.5</v>
      </c>
      <c r="AX13" s="10">
        <v>15.0</v>
      </c>
      <c r="AY13" s="10">
        <v>13.5</v>
      </c>
      <c r="AZ13" s="10">
        <v>15.0</v>
      </c>
      <c r="BA13" s="10">
        <v>19.0</v>
      </c>
      <c r="BB13" s="10">
        <v>16.0</v>
      </c>
      <c r="BC13" s="10">
        <v>18.0</v>
      </c>
      <c r="BD13" s="10">
        <v>19.0</v>
      </c>
      <c r="BE13" s="10">
        <v>19.0</v>
      </c>
      <c r="BF13" s="10">
        <v>17.0</v>
      </c>
      <c r="BG13" s="10">
        <v>16.0</v>
      </c>
      <c r="BH13" s="10">
        <v>18.0</v>
      </c>
      <c r="BI13" s="10">
        <v>19.0</v>
      </c>
      <c r="BJ13" s="10">
        <v>17.5</v>
      </c>
      <c r="BK13" s="10">
        <v>18.0</v>
      </c>
      <c r="BL13" s="10">
        <v>18.0</v>
      </c>
      <c r="BM13" s="10">
        <v>17.0</v>
      </c>
      <c r="BN13" s="10">
        <v>17.0</v>
      </c>
    </row>
    <row r="14" ht="15.75" customHeight="1">
      <c r="A14" s="24">
        <v>45740.0</v>
      </c>
      <c r="B14" s="10"/>
      <c r="C14" s="10" t="s">
        <v>1359</v>
      </c>
      <c r="D14" s="107"/>
      <c r="E14" s="10" t="s">
        <v>1360</v>
      </c>
      <c r="F14" s="10" t="s">
        <v>1361</v>
      </c>
      <c r="G14" s="10" t="s">
        <v>1362</v>
      </c>
      <c r="H14" s="10" t="s">
        <v>1363</v>
      </c>
      <c r="I14" s="10" t="s">
        <v>1364</v>
      </c>
      <c r="J14" s="10" t="s">
        <v>1365</v>
      </c>
      <c r="K14" s="10" t="s">
        <v>260</v>
      </c>
      <c r="L14" s="10" t="s">
        <v>1366</v>
      </c>
      <c r="M14" s="10" t="s">
        <v>260</v>
      </c>
      <c r="N14" s="10" t="s">
        <v>1367</v>
      </c>
      <c r="O14" s="10" t="s">
        <v>1368</v>
      </c>
      <c r="P14" s="10" t="s">
        <v>1369</v>
      </c>
      <c r="Q14" s="10" t="s">
        <v>272</v>
      </c>
      <c r="R14" s="10" t="s">
        <v>1364</v>
      </c>
      <c r="S14" s="10" t="s">
        <v>1370</v>
      </c>
      <c r="T14" s="10" t="s">
        <v>1371</v>
      </c>
      <c r="U14" s="10" t="s">
        <v>1361</v>
      </c>
      <c r="V14" s="10" t="s">
        <v>1361</v>
      </c>
      <c r="W14" s="10" t="s">
        <v>1372</v>
      </c>
      <c r="X14" s="10" t="s">
        <v>1373</v>
      </c>
      <c r="Y14" s="10" t="s">
        <v>1374</v>
      </c>
      <c r="Z14" s="10" t="s">
        <v>272</v>
      </c>
      <c r="AA14" s="10" t="s">
        <v>1375</v>
      </c>
      <c r="AB14" s="10" t="s">
        <v>1361</v>
      </c>
      <c r="AC14" s="10" t="s">
        <v>1369</v>
      </c>
      <c r="AD14" s="10" t="s">
        <v>260</v>
      </c>
      <c r="AE14" s="10" t="s">
        <v>1369</v>
      </c>
      <c r="AF14" s="10" t="s">
        <v>1376</v>
      </c>
      <c r="AG14" s="10" t="s">
        <v>1377</v>
      </c>
      <c r="AH14" s="10" t="s">
        <v>1378</v>
      </c>
      <c r="AI14" s="10" t="s">
        <v>1379</v>
      </c>
      <c r="AJ14" s="10" t="s">
        <v>1380</v>
      </c>
      <c r="AK14" s="10" t="s">
        <v>1381</v>
      </c>
      <c r="AL14" s="10" t="s">
        <v>1382</v>
      </c>
      <c r="AM14" s="10" t="s">
        <v>1383</v>
      </c>
      <c r="AN14" s="10" t="s">
        <v>1361</v>
      </c>
      <c r="AO14" s="108"/>
      <c r="AP14" s="10" t="s">
        <v>1384</v>
      </c>
      <c r="AQ14" s="10" t="s">
        <v>1385</v>
      </c>
      <c r="AR14" s="10" t="s">
        <v>1361</v>
      </c>
      <c r="AS14" s="10" t="s">
        <v>1386</v>
      </c>
      <c r="AT14" s="10" t="s">
        <v>1387</v>
      </c>
      <c r="AU14" s="10" t="s">
        <v>1388</v>
      </c>
      <c r="AV14" s="10" t="s">
        <v>1389</v>
      </c>
      <c r="AW14" s="10" t="s">
        <v>1390</v>
      </c>
      <c r="AX14" s="10" t="s">
        <v>1391</v>
      </c>
      <c r="AY14" s="10" t="s">
        <v>1392</v>
      </c>
      <c r="AZ14" s="10" t="s">
        <v>1393</v>
      </c>
      <c r="BA14" s="10" t="s">
        <v>1394</v>
      </c>
      <c r="BB14" s="109" t="s">
        <v>1395</v>
      </c>
      <c r="BC14" s="10" t="s">
        <v>1396</v>
      </c>
      <c r="BD14" s="10" t="s">
        <v>1397</v>
      </c>
      <c r="BE14" s="10" t="s">
        <v>1398</v>
      </c>
      <c r="BF14" s="10" t="s">
        <v>1399</v>
      </c>
      <c r="BG14" s="10" t="s">
        <v>1400</v>
      </c>
      <c r="BH14" s="10" t="s">
        <v>1401</v>
      </c>
      <c r="BI14" s="10" t="s">
        <v>1402</v>
      </c>
      <c r="BJ14" s="10" t="s">
        <v>1403</v>
      </c>
      <c r="BK14" s="10" t="s">
        <v>1369</v>
      </c>
      <c r="BL14" s="10" t="s">
        <v>1361</v>
      </c>
      <c r="BM14" s="10" t="s">
        <v>1369</v>
      </c>
      <c r="BN14" s="10" t="s">
        <v>1369</v>
      </c>
    </row>
    <row r="15" ht="15.75" customHeight="1">
      <c r="A15" s="10" t="s">
        <v>498</v>
      </c>
      <c r="B15" s="10"/>
      <c r="C15" s="10">
        <v>12.0</v>
      </c>
      <c r="D15" s="107"/>
      <c r="E15" s="10">
        <v>16.5</v>
      </c>
      <c r="F15" s="10">
        <v>13.5</v>
      </c>
      <c r="G15" s="10">
        <v>13.0</v>
      </c>
      <c r="H15" s="10">
        <v>13.0</v>
      </c>
      <c r="I15" s="10">
        <v>14.5</v>
      </c>
      <c r="J15" s="10">
        <v>13.0</v>
      </c>
      <c r="K15" s="10">
        <v>13.0</v>
      </c>
      <c r="L15" s="10">
        <v>13.5</v>
      </c>
      <c r="M15" s="10">
        <v>13.5</v>
      </c>
      <c r="N15" s="10">
        <v>13.0</v>
      </c>
      <c r="O15" s="10">
        <v>14.5</v>
      </c>
      <c r="P15" s="10">
        <v>13.5</v>
      </c>
      <c r="Q15" s="10">
        <v>15.5</v>
      </c>
      <c r="R15" s="10">
        <v>13.5</v>
      </c>
      <c r="S15" s="10">
        <v>13.0</v>
      </c>
      <c r="T15" s="10">
        <v>15.0</v>
      </c>
      <c r="U15" s="10">
        <v>13.5</v>
      </c>
      <c r="V15" s="10">
        <v>13.5</v>
      </c>
      <c r="W15" s="10">
        <v>11.5</v>
      </c>
      <c r="X15" s="10">
        <v>12.0</v>
      </c>
      <c r="Y15" s="10">
        <v>15.0</v>
      </c>
      <c r="Z15" s="10">
        <v>16.0</v>
      </c>
      <c r="AA15" s="10">
        <v>14.5</v>
      </c>
      <c r="AB15" s="10">
        <v>15.5</v>
      </c>
      <c r="AC15" s="10">
        <v>16.5</v>
      </c>
      <c r="AD15" s="10">
        <v>18.0</v>
      </c>
      <c r="AE15" s="10">
        <v>14.5</v>
      </c>
      <c r="AF15" s="10">
        <v>12.5</v>
      </c>
      <c r="AG15" s="10">
        <v>16.0</v>
      </c>
      <c r="AH15" s="10">
        <v>11.5</v>
      </c>
      <c r="AI15" s="10">
        <v>20.0</v>
      </c>
      <c r="AJ15" s="10">
        <v>21.0</v>
      </c>
      <c r="AK15" s="10">
        <v>20.0</v>
      </c>
      <c r="AL15" s="10">
        <v>19.5</v>
      </c>
      <c r="AM15" s="10">
        <v>20.5</v>
      </c>
      <c r="AN15" s="10">
        <v>20.5</v>
      </c>
      <c r="AO15" s="108"/>
      <c r="AP15" s="10">
        <v>18.0</v>
      </c>
      <c r="AQ15" s="10">
        <v>19.5</v>
      </c>
      <c r="AR15" s="10">
        <v>18.5</v>
      </c>
      <c r="AS15" s="10">
        <v>18.5</v>
      </c>
      <c r="AT15" s="10">
        <v>17.5</v>
      </c>
      <c r="AU15" s="10">
        <v>19.5</v>
      </c>
      <c r="AV15" s="10">
        <v>20.0</v>
      </c>
      <c r="AW15" s="10">
        <v>19.0</v>
      </c>
      <c r="AX15" s="10">
        <v>15.5</v>
      </c>
      <c r="AY15" s="10">
        <v>14.5</v>
      </c>
      <c r="AZ15" s="10">
        <v>15.25</v>
      </c>
      <c r="BA15" s="10">
        <v>19.25</v>
      </c>
      <c r="BB15" s="109">
        <v>17.0</v>
      </c>
      <c r="BC15" s="10">
        <v>18.5</v>
      </c>
      <c r="BD15" s="10">
        <v>19.5</v>
      </c>
      <c r="BE15" s="10">
        <v>19.5</v>
      </c>
      <c r="BF15" s="10">
        <v>17.5</v>
      </c>
      <c r="BG15" s="10">
        <v>16.5</v>
      </c>
      <c r="BH15" s="10">
        <v>18.5</v>
      </c>
      <c r="BI15" s="10">
        <v>19.5</v>
      </c>
      <c r="BJ15" s="10">
        <v>18.0</v>
      </c>
      <c r="BK15" s="10">
        <v>18.5</v>
      </c>
      <c r="BL15" s="10">
        <v>18.5</v>
      </c>
      <c r="BM15" s="10">
        <v>17.5</v>
      </c>
      <c r="BN15" s="10">
        <v>17.5</v>
      </c>
    </row>
    <row r="16" ht="15.75" customHeight="1">
      <c r="A16" s="27">
        <v>45741.0</v>
      </c>
      <c r="B16" s="10" t="s">
        <v>1404</v>
      </c>
      <c r="C16" s="10" t="s">
        <v>1405</v>
      </c>
      <c r="D16" s="107"/>
      <c r="E16" s="10" t="s">
        <v>1406</v>
      </c>
      <c r="F16" s="10" t="s">
        <v>1407</v>
      </c>
      <c r="G16" s="10" t="s">
        <v>1408</v>
      </c>
      <c r="H16" s="10" t="s">
        <v>1409</v>
      </c>
      <c r="I16" s="10" t="s">
        <v>1410</v>
      </c>
      <c r="J16" s="10" t="s">
        <v>1411</v>
      </c>
      <c r="K16" s="10" t="s">
        <v>1412</v>
      </c>
      <c r="L16" s="10" t="s">
        <v>1371</v>
      </c>
      <c r="M16" s="10" t="s">
        <v>272</v>
      </c>
      <c r="N16" s="10" t="s">
        <v>1413</v>
      </c>
      <c r="O16" s="10" t="s">
        <v>1414</v>
      </c>
      <c r="P16" s="10" t="s">
        <v>1415</v>
      </c>
      <c r="Q16" s="10" t="s">
        <v>1416</v>
      </c>
      <c r="R16" s="10" t="s">
        <v>1417</v>
      </c>
      <c r="S16" s="10" t="s">
        <v>1418</v>
      </c>
      <c r="T16" s="10" t="s">
        <v>1419</v>
      </c>
      <c r="U16" s="10" t="s">
        <v>1420</v>
      </c>
      <c r="V16" s="10" t="s">
        <v>1421</v>
      </c>
      <c r="W16" s="10" t="s">
        <v>1406</v>
      </c>
      <c r="X16" s="10" t="s">
        <v>1422</v>
      </c>
      <c r="Y16" s="10" t="s">
        <v>1423</v>
      </c>
      <c r="Z16" s="10" t="s">
        <v>1424</v>
      </c>
      <c r="AA16" s="10" t="s">
        <v>1425</v>
      </c>
      <c r="AB16" s="10" t="s">
        <v>1426</v>
      </c>
      <c r="AC16" s="10" t="s">
        <v>1424</v>
      </c>
      <c r="AD16" s="10" t="s">
        <v>1427</v>
      </c>
      <c r="AE16" s="10" t="s">
        <v>1428</v>
      </c>
      <c r="AF16" s="10" t="s">
        <v>1429</v>
      </c>
      <c r="AG16" s="10" t="s">
        <v>1430</v>
      </c>
      <c r="AH16" s="10" t="s">
        <v>1431</v>
      </c>
      <c r="AI16" s="10" t="s">
        <v>1432</v>
      </c>
      <c r="AJ16" s="110" t="s">
        <v>1433</v>
      </c>
      <c r="AK16" s="10" t="s">
        <v>1434</v>
      </c>
      <c r="AL16" s="10" t="s">
        <v>1435</v>
      </c>
      <c r="AM16" s="10" t="s">
        <v>1436</v>
      </c>
      <c r="AN16" s="10" t="s">
        <v>1437</v>
      </c>
      <c r="AO16" s="108"/>
      <c r="AP16" s="10" t="s">
        <v>1438</v>
      </c>
      <c r="AQ16" s="10" t="s">
        <v>1439</v>
      </c>
      <c r="AR16" s="10" t="s">
        <v>1440</v>
      </c>
      <c r="AS16" s="10" t="s">
        <v>1441</v>
      </c>
      <c r="AT16" s="10" t="s">
        <v>1442</v>
      </c>
      <c r="AU16" s="10" t="s">
        <v>1443</v>
      </c>
      <c r="AV16" s="10" t="s">
        <v>1444</v>
      </c>
      <c r="AW16" s="10" t="s">
        <v>1445</v>
      </c>
      <c r="AX16" s="10" t="s">
        <v>1446</v>
      </c>
      <c r="AY16" s="10" t="s">
        <v>1246</v>
      </c>
      <c r="AZ16" s="10" t="s">
        <v>1447</v>
      </c>
      <c r="BA16" s="10" t="s">
        <v>1448</v>
      </c>
      <c r="BB16" s="109" t="s">
        <v>1449</v>
      </c>
      <c r="BC16" s="10" t="s">
        <v>1450</v>
      </c>
      <c r="BD16" s="10" t="s">
        <v>1451</v>
      </c>
      <c r="BE16" s="10" t="s">
        <v>1452</v>
      </c>
      <c r="BF16" s="10" t="s">
        <v>1453</v>
      </c>
      <c r="BG16" s="10" t="s">
        <v>1454</v>
      </c>
      <c r="BH16" s="10" t="s">
        <v>1455</v>
      </c>
      <c r="BI16" s="10" t="s">
        <v>1456</v>
      </c>
      <c r="BJ16" s="10" t="s">
        <v>1457</v>
      </c>
      <c r="BK16" s="10" t="s">
        <v>1458</v>
      </c>
      <c r="BL16" s="10" t="s">
        <v>1459</v>
      </c>
      <c r="BM16" s="10" t="s">
        <v>1460</v>
      </c>
      <c r="BN16" s="10" t="s">
        <v>1461</v>
      </c>
    </row>
    <row r="17" ht="15.75" customHeight="1">
      <c r="A17" s="10" t="s">
        <v>543</v>
      </c>
      <c r="B17" s="10"/>
      <c r="C17" s="10">
        <v>20.0</v>
      </c>
      <c r="D17" s="107"/>
      <c r="E17" s="10">
        <v>17.5</v>
      </c>
      <c r="F17" s="10">
        <v>15.5</v>
      </c>
      <c r="G17" s="10">
        <v>17.0</v>
      </c>
      <c r="H17" s="10">
        <v>15.0</v>
      </c>
      <c r="I17" s="10">
        <v>17.0</v>
      </c>
      <c r="J17" s="10">
        <v>15.0</v>
      </c>
      <c r="K17" s="10">
        <v>15.0</v>
      </c>
      <c r="L17" s="10">
        <v>14.5</v>
      </c>
      <c r="M17" s="10">
        <v>14.5</v>
      </c>
      <c r="N17" s="10">
        <v>16.0</v>
      </c>
      <c r="O17" s="10">
        <v>20.5</v>
      </c>
      <c r="P17" s="10">
        <v>19.5</v>
      </c>
      <c r="Q17" s="10">
        <v>20.5</v>
      </c>
      <c r="R17" s="10">
        <v>19.5</v>
      </c>
      <c r="S17" s="10">
        <v>14.5</v>
      </c>
      <c r="T17" s="10">
        <v>16.0</v>
      </c>
      <c r="U17" s="10">
        <v>14.5</v>
      </c>
      <c r="V17" s="10">
        <v>14.0</v>
      </c>
      <c r="W17" s="10">
        <v>12.5</v>
      </c>
      <c r="X17" s="10">
        <v>13.0</v>
      </c>
      <c r="Y17" s="10">
        <v>16.5</v>
      </c>
      <c r="Z17" s="10">
        <v>17.0</v>
      </c>
      <c r="AA17" s="10">
        <v>16.5</v>
      </c>
      <c r="AB17" s="10">
        <v>16.5</v>
      </c>
      <c r="AC17" s="10">
        <v>17.5</v>
      </c>
      <c r="AD17" s="10">
        <v>22.0</v>
      </c>
      <c r="AE17" s="10">
        <v>16.5</v>
      </c>
      <c r="AF17" s="10">
        <v>13.5</v>
      </c>
      <c r="AG17" s="10">
        <v>18.0</v>
      </c>
      <c r="AH17" s="10">
        <v>13.0</v>
      </c>
      <c r="AI17" s="10"/>
      <c r="AJ17" s="10" t="s">
        <v>1462</v>
      </c>
      <c r="AK17" s="10"/>
      <c r="AL17" s="10"/>
      <c r="AM17" s="10"/>
      <c r="AN17" s="10"/>
      <c r="AO17" s="108"/>
      <c r="AP17" s="10"/>
      <c r="AQ17" s="10"/>
      <c r="AR17" s="10"/>
      <c r="AS17" s="10"/>
      <c r="AT17" s="10"/>
      <c r="AU17" s="10"/>
      <c r="AV17" s="10"/>
      <c r="AW17" s="10"/>
      <c r="AX17" s="10"/>
      <c r="AY17" s="10">
        <v>16.5</v>
      </c>
      <c r="AZ17" s="10">
        <v>16.25</v>
      </c>
      <c r="BA17" s="10"/>
      <c r="BB17" s="109"/>
      <c r="BC17" s="10">
        <v>19.5</v>
      </c>
      <c r="BD17" s="10"/>
      <c r="BE17" s="10">
        <v>20.5</v>
      </c>
      <c r="BF17" s="10">
        <v>18.5</v>
      </c>
      <c r="BG17" s="10">
        <v>17.5</v>
      </c>
      <c r="BH17" s="10"/>
      <c r="BI17" s="10"/>
      <c r="BJ17" s="10"/>
      <c r="BK17" s="10"/>
      <c r="BL17" s="10">
        <v>19.0</v>
      </c>
      <c r="BM17" s="10">
        <v>18.0</v>
      </c>
      <c r="BN17" s="10">
        <v>17.75</v>
      </c>
    </row>
    <row r="18" ht="15.75" customHeight="1">
      <c r="A18" s="27">
        <v>45742.0</v>
      </c>
      <c r="B18" s="10" t="s">
        <v>1463</v>
      </c>
      <c r="C18" s="10" t="s">
        <v>1464</v>
      </c>
      <c r="D18" s="107"/>
      <c r="E18" s="10" t="s">
        <v>1465</v>
      </c>
      <c r="F18" s="10" t="s">
        <v>1466</v>
      </c>
      <c r="G18" s="10" t="s">
        <v>1467</v>
      </c>
      <c r="H18" s="10" t="s">
        <v>1468</v>
      </c>
      <c r="I18" s="10" t="s">
        <v>1469</v>
      </c>
      <c r="J18" s="10" t="s">
        <v>1470</v>
      </c>
      <c r="K18" s="10" t="s">
        <v>1471</v>
      </c>
      <c r="L18" s="10" t="s">
        <v>1472</v>
      </c>
      <c r="M18" s="10" t="s">
        <v>1473</v>
      </c>
      <c r="N18" s="10" t="s">
        <v>1474</v>
      </c>
      <c r="O18" s="10" t="s">
        <v>1475</v>
      </c>
      <c r="P18" s="10" t="s">
        <v>1476</v>
      </c>
      <c r="Q18" s="84" t="s">
        <v>1477</v>
      </c>
      <c r="R18" s="10" t="s">
        <v>1478</v>
      </c>
      <c r="S18" s="10" t="s">
        <v>1479</v>
      </c>
      <c r="T18" s="10" t="s">
        <v>1480</v>
      </c>
      <c r="U18" s="10" t="s">
        <v>1481</v>
      </c>
      <c r="V18" s="10" t="s">
        <v>1482</v>
      </c>
      <c r="W18" s="10" t="s">
        <v>1483</v>
      </c>
      <c r="X18" s="10" t="s">
        <v>1484</v>
      </c>
      <c r="Y18" s="10" t="s">
        <v>1485</v>
      </c>
      <c r="Z18" s="10" t="s">
        <v>1486</v>
      </c>
      <c r="AA18" s="10" t="s">
        <v>1487</v>
      </c>
      <c r="AB18" s="10" t="s">
        <v>1488</v>
      </c>
      <c r="AC18" s="10" t="s">
        <v>1489</v>
      </c>
      <c r="AD18" s="10" t="s">
        <v>1490</v>
      </c>
      <c r="AE18" s="10" t="s">
        <v>1491</v>
      </c>
      <c r="AF18" s="10" t="s">
        <v>1492</v>
      </c>
      <c r="AG18" s="10" t="s">
        <v>1493</v>
      </c>
      <c r="AH18" s="10" t="s">
        <v>1494</v>
      </c>
      <c r="AI18" s="84" t="s">
        <v>1495</v>
      </c>
      <c r="AJ18" s="84" t="s">
        <v>1496</v>
      </c>
      <c r="AK18" s="10" t="s">
        <v>580</v>
      </c>
      <c r="AL18" s="10" t="s">
        <v>1497</v>
      </c>
      <c r="AM18" s="10" t="s">
        <v>1498</v>
      </c>
      <c r="AN18" s="10" t="s">
        <v>1499</v>
      </c>
      <c r="AO18" s="108"/>
      <c r="AP18" s="10" t="s">
        <v>1500</v>
      </c>
      <c r="AQ18" s="10" t="s">
        <v>1501</v>
      </c>
      <c r="AR18" s="10" t="s">
        <v>1502</v>
      </c>
      <c r="AS18" s="10" t="s">
        <v>1503</v>
      </c>
      <c r="AT18" s="10" t="s">
        <v>1504</v>
      </c>
      <c r="AU18" s="10" t="s">
        <v>1505</v>
      </c>
      <c r="AV18" s="84" t="s">
        <v>1506</v>
      </c>
      <c r="AW18" s="10" t="s">
        <v>1507</v>
      </c>
      <c r="AX18" s="10" t="s">
        <v>1508</v>
      </c>
      <c r="AY18" s="10" t="s">
        <v>1509</v>
      </c>
      <c r="AZ18" s="10" t="s">
        <v>1510</v>
      </c>
      <c r="BA18" s="10" t="s">
        <v>1511</v>
      </c>
      <c r="BB18" s="69"/>
      <c r="BC18" s="10" t="s">
        <v>1512</v>
      </c>
      <c r="BD18" s="84" t="s">
        <v>1513</v>
      </c>
      <c r="BE18" s="10" t="s">
        <v>1514</v>
      </c>
      <c r="BF18" s="10" t="s">
        <v>1515</v>
      </c>
      <c r="BG18" s="10" t="s">
        <v>1516</v>
      </c>
      <c r="BH18" s="10" t="s">
        <v>1517</v>
      </c>
      <c r="BI18" s="84" t="s">
        <v>1518</v>
      </c>
      <c r="BJ18" s="10" t="s">
        <v>1519</v>
      </c>
      <c r="BK18" s="10" t="s">
        <v>765</v>
      </c>
      <c r="BL18" s="10" t="s">
        <v>1520</v>
      </c>
      <c r="BM18" s="10" t="s">
        <v>1521</v>
      </c>
      <c r="BN18" s="10" t="s">
        <v>1522</v>
      </c>
    </row>
    <row r="19" ht="15.75" customHeight="1">
      <c r="A19" s="10"/>
      <c r="B19" s="10" t="s">
        <v>1523</v>
      </c>
      <c r="C19" s="10">
        <v>21.0</v>
      </c>
      <c r="D19" s="107"/>
      <c r="E19" s="10">
        <v>20.0</v>
      </c>
      <c r="F19" s="10">
        <v>18.0</v>
      </c>
      <c r="G19" s="10">
        <v>22.0</v>
      </c>
      <c r="H19" s="10">
        <v>19.0</v>
      </c>
      <c r="I19" s="10">
        <v>20.0</v>
      </c>
      <c r="J19" s="10">
        <v>19.0</v>
      </c>
      <c r="K19" s="10">
        <v>19.0</v>
      </c>
      <c r="L19" s="10">
        <v>18.5</v>
      </c>
      <c r="M19" s="10">
        <v>17.5</v>
      </c>
      <c r="N19" s="10">
        <v>19.0</v>
      </c>
      <c r="O19" s="10"/>
      <c r="P19" s="10"/>
      <c r="Q19" s="10"/>
      <c r="R19" s="10"/>
      <c r="S19" s="10">
        <v>20.5</v>
      </c>
      <c r="T19" s="10">
        <v>19.0</v>
      </c>
      <c r="U19" s="10">
        <v>18.5</v>
      </c>
      <c r="V19" s="10">
        <v>19.0</v>
      </c>
      <c r="W19" s="10">
        <v>18.5</v>
      </c>
      <c r="X19" s="10">
        <v>18.0</v>
      </c>
      <c r="Y19" s="10">
        <v>21.5</v>
      </c>
      <c r="Z19" s="10">
        <v>19.5</v>
      </c>
      <c r="AA19" s="10">
        <v>21.5</v>
      </c>
      <c r="AB19" s="10">
        <v>21.0</v>
      </c>
      <c r="AC19" s="10">
        <v>22.5</v>
      </c>
      <c r="AD19" s="10">
        <v>24.0</v>
      </c>
      <c r="AE19" s="10">
        <v>21.5</v>
      </c>
      <c r="AF19" s="10">
        <v>21.0</v>
      </c>
      <c r="AG19" s="10">
        <v>20.0</v>
      </c>
      <c r="AH19" s="10">
        <v>18.5</v>
      </c>
      <c r="AI19" s="84"/>
      <c r="AJ19" s="84"/>
      <c r="AK19" s="10"/>
      <c r="AL19" s="10"/>
      <c r="AM19" s="10"/>
      <c r="AN19" s="10"/>
      <c r="AO19" s="108"/>
      <c r="AP19" s="10"/>
      <c r="AQ19" s="10"/>
      <c r="AR19" s="10"/>
      <c r="AS19" s="10"/>
      <c r="AT19" s="10"/>
      <c r="AU19" s="10"/>
      <c r="AV19" s="84"/>
      <c r="AW19" s="10"/>
      <c r="AX19" s="10"/>
      <c r="AY19" s="10"/>
      <c r="AZ19" s="10">
        <v>17.25</v>
      </c>
      <c r="BA19" s="10"/>
      <c r="BB19" s="69"/>
      <c r="BC19" s="10"/>
      <c r="BD19" s="84"/>
      <c r="BE19" s="10"/>
      <c r="BF19" s="10"/>
      <c r="BG19" s="10">
        <v>18.5</v>
      </c>
      <c r="BH19" s="10"/>
      <c r="BI19" s="84"/>
      <c r="BJ19" s="10"/>
      <c r="BK19" s="10"/>
      <c r="BL19" s="10"/>
      <c r="BM19" s="10"/>
      <c r="BN19" s="10"/>
    </row>
    <row r="20" ht="15.75" customHeight="1">
      <c r="A20" s="27">
        <v>45743.0</v>
      </c>
      <c r="B20" s="10" t="s">
        <v>1524</v>
      </c>
      <c r="C20" s="84" t="s">
        <v>1525</v>
      </c>
      <c r="D20" s="107"/>
      <c r="E20" s="84" t="s">
        <v>1526</v>
      </c>
      <c r="F20" s="10" t="s">
        <v>1527</v>
      </c>
      <c r="G20" s="10" t="s">
        <v>1528</v>
      </c>
      <c r="H20" s="10" t="s">
        <v>1529</v>
      </c>
      <c r="I20" s="10" t="s">
        <v>1530</v>
      </c>
      <c r="J20" s="10" t="s">
        <v>1531</v>
      </c>
      <c r="K20" s="10" t="s">
        <v>1532</v>
      </c>
      <c r="L20" s="10" t="s">
        <v>1533</v>
      </c>
      <c r="M20" s="10" t="s">
        <v>1534</v>
      </c>
      <c r="N20" s="10" t="s">
        <v>1535</v>
      </c>
      <c r="O20" s="10" t="s">
        <v>1536</v>
      </c>
      <c r="P20" s="10" t="s">
        <v>1537</v>
      </c>
      <c r="Q20" s="10" t="s">
        <v>1538</v>
      </c>
      <c r="R20" s="10" t="s">
        <v>1539</v>
      </c>
      <c r="S20" s="84" t="s">
        <v>1540</v>
      </c>
      <c r="T20" s="10" t="s">
        <v>1541</v>
      </c>
      <c r="U20" s="10" t="s">
        <v>1542</v>
      </c>
      <c r="V20" s="10" t="s">
        <v>1543</v>
      </c>
      <c r="W20" s="10" t="s">
        <v>1544</v>
      </c>
      <c r="X20" s="10" t="s">
        <v>1545</v>
      </c>
      <c r="Y20" s="10" t="s">
        <v>1546</v>
      </c>
      <c r="Z20" s="10" t="s">
        <v>1547</v>
      </c>
      <c r="AA20" s="84" t="s">
        <v>1548</v>
      </c>
      <c r="AB20" s="10" t="s">
        <v>1549</v>
      </c>
      <c r="AC20" s="10" t="s">
        <v>1550</v>
      </c>
      <c r="AD20" s="10" t="s">
        <v>1551</v>
      </c>
      <c r="AE20" s="10" t="s">
        <v>1552</v>
      </c>
      <c r="AF20" s="10" t="s">
        <v>1553</v>
      </c>
      <c r="AG20" s="10" t="s">
        <v>1554</v>
      </c>
      <c r="AH20" s="10" t="s">
        <v>1555</v>
      </c>
      <c r="AI20" s="84" t="s">
        <v>1556</v>
      </c>
      <c r="AJ20" s="84" t="s">
        <v>1557</v>
      </c>
      <c r="AK20" s="84" t="s">
        <v>1558</v>
      </c>
      <c r="AL20" s="10" t="s">
        <v>1559</v>
      </c>
      <c r="AM20" s="10" t="s">
        <v>1560</v>
      </c>
      <c r="AN20" s="10" t="s">
        <v>1561</v>
      </c>
      <c r="AO20" s="108"/>
      <c r="AP20" s="10" t="s">
        <v>1562</v>
      </c>
      <c r="AQ20" s="10" t="s">
        <v>1563</v>
      </c>
      <c r="AR20" s="10" t="s">
        <v>1564</v>
      </c>
      <c r="AS20" s="10" t="s">
        <v>1565</v>
      </c>
      <c r="AT20" s="10" t="s">
        <v>1566</v>
      </c>
      <c r="AU20" s="10" t="s">
        <v>1567</v>
      </c>
      <c r="AV20" s="84" t="s">
        <v>1568</v>
      </c>
      <c r="AW20" s="10" t="s">
        <v>1569</v>
      </c>
      <c r="AX20" s="10" t="s">
        <v>1570</v>
      </c>
      <c r="AY20" s="10" t="s">
        <v>1571</v>
      </c>
      <c r="AZ20" s="84" t="s">
        <v>1572</v>
      </c>
      <c r="BA20" s="10" t="s">
        <v>1573</v>
      </c>
      <c r="BB20" s="69"/>
      <c r="BC20" s="10" t="s">
        <v>1574</v>
      </c>
      <c r="BD20" s="84" t="s">
        <v>1575</v>
      </c>
      <c r="BE20" s="10" t="s">
        <v>1576</v>
      </c>
      <c r="BF20" s="10" t="s">
        <v>1577</v>
      </c>
      <c r="BG20" s="10" t="s">
        <v>1578</v>
      </c>
      <c r="BH20" s="10" t="s">
        <v>1579</v>
      </c>
      <c r="BI20" s="84" t="s">
        <v>1580</v>
      </c>
      <c r="BJ20" s="10" t="s">
        <v>1581</v>
      </c>
      <c r="BK20" s="84" t="s">
        <v>1582</v>
      </c>
      <c r="BL20" s="10" t="s">
        <v>1583</v>
      </c>
      <c r="BM20" s="10" t="s">
        <v>1584</v>
      </c>
      <c r="BN20" s="10" t="s">
        <v>1585</v>
      </c>
    </row>
    <row r="21" ht="15.75" customHeight="1">
      <c r="A21" s="10"/>
      <c r="B21" s="10"/>
      <c r="C21" s="84">
        <v>20.5</v>
      </c>
      <c r="D21" s="107"/>
      <c r="E21" s="84" t="s">
        <v>1586</v>
      </c>
      <c r="F21" s="10">
        <v>18.5</v>
      </c>
      <c r="G21" s="111"/>
      <c r="H21" s="10"/>
      <c r="I21" s="10"/>
      <c r="J21" s="10"/>
      <c r="K21" s="10"/>
      <c r="L21" s="10"/>
      <c r="M21" s="111"/>
      <c r="N21" s="10"/>
      <c r="O21" s="10"/>
      <c r="P21" s="10"/>
      <c r="Q21" s="10"/>
      <c r="R21" s="10"/>
      <c r="S21" s="84"/>
      <c r="T21" s="10"/>
      <c r="U21" s="10"/>
      <c r="V21" s="10"/>
      <c r="W21" s="10"/>
      <c r="X21" s="10"/>
      <c r="Y21" s="10"/>
      <c r="Z21" s="10"/>
      <c r="AA21" s="84"/>
      <c r="AB21" s="10"/>
      <c r="AC21" s="10"/>
      <c r="AD21" s="10"/>
      <c r="AE21" s="10"/>
      <c r="AF21" s="10"/>
      <c r="AG21" s="10"/>
      <c r="AH21" s="10"/>
      <c r="AI21" s="84"/>
      <c r="AJ21" s="84"/>
      <c r="AK21" s="84"/>
      <c r="AL21" s="10"/>
      <c r="AM21" s="10"/>
      <c r="AN21" s="10"/>
      <c r="AO21" s="108"/>
      <c r="AP21" s="10"/>
      <c r="AQ21" s="10"/>
      <c r="AR21" s="10"/>
      <c r="AS21" s="10"/>
      <c r="AT21" s="10"/>
      <c r="AU21" s="10"/>
      <c r="AV21" s="84"/>
      <c r="AW21" s="10"/>
      <c r="AX21" s="10"/>
      <c r="AY21" s="86" t="s">
        <v>553</v>
      </c>
      <c r="AZ21" s="84"/>
      <c r="BA21" s="10"/>
      <c r="BB21" s="69"/>
      <c r="BC21" s="10"/>
      <c r="BD21" s="84"/>
      <c r="BE21" s="10"/>
      <c r="BF21" s="10"/>
      <c r="BG21" s="10"/>
      <c r="BH21" s="10"/>
      <c r="BI21" s="84"/>
      <c r="BJ21" s="10"/>
      <c r="BK21" s="84"/>
      <c r="BL21" s="10"/>
      <c r="BM21" s="10"/>
      <c r="BN21" s="86"/>
    </row>
    <row r="22" ht="15.75" customHeight="1">
      <c r="A22" s="24">
        <v>45744.0</v>
      </c>
      <c r="B22" s="10" t="s">
        <v>1587</v>
      </c>
      <c r="C22" s="84" t="s">
        <v>1588</v>
      </c>
      <c r="D22" s="107"/>
      <c r="E22" s="84" t="s">
        <v>1589</v>
      </c>
      <c r="F22" s="84" t="s">
        <v>1590</v>
      </c>
      <c r="G22" s="10" t="s">
        <v>1591</v>
      </c>
      <c r="H22" s="84" t="s">
        <v>1592</v>
      </c>
      <c r="I22" s="84" t="s">
        <v>1593</v>
      </c>
      <c r="J22" s="84" t="s">
        <v>1594</v>
      </c>
      <c r="K22" s="10" t="s">
        <v>1595</v>
      </c>
      <c r="L22" s="84" t="s">
        <v>1596</v>
      </c>
      <c r="M22" s="111" t="s">
        <v>1597</v>
      </c>
      <c r="N22" s="84" t="s">
        <v>1598</v>
      </c>
      <c r="O22" s="10" t="s">
        <v>1599</v>
      </c>
      <c r="P22" s="84" t="s">
        <v>1600</v>
      </c>
      <c r="Q22" s="10" t="s">
        <v>1601</v>
      </c>
      <c r="R22" s="84" t="s">
        <v>1602</v>
      </c>
      <c r="S22" s="84" t="s">
        <v>1603</v>
      </c>
      <c r="T22" s="10" t="s">
        <v>1604</v>
      </c>
      <c r="U22" s="84" t="s">
        <v>1605</v>
      </c>
      <c r="V22" s="111" t="s">
        <v>602</v>
      </c>
      <c r="W22" s="10" t="s">
        <v>1606</v>
      </c>
      <c r="X22" s="10" t="s">
        <v>1607</v>
      </c>
      <c r="Y22" s="84" t="s">
        <v>1608</v>
      </c>
      <c r="Z22" s="10" t="s">
        <v>1609</v>
      </c>
      <c r="AA22" s="84" t="s">
        <v>1610</v>
      </c>
      <c r="AB22" s="10" t="s">
        <v>1611</v>
      </c>
      <c r="AC22" s="10" t="s">
        <v>1612</v>
      </c>
      <c r="AD22" s="10" t="s">
        <v>1613</v>
      </c>
      <c r="AE22" s="84" t="s">
        <v>1614</v>
      </c>
      <c r="AF22" s="84" t="s">
        <v>1615</v>
      </c>
      <c r="AG22" s="84" t="s">
        <v>1616</v>
      </c>
      <c r="AH22" s="10" t="s">
        <v>1617</v>
      </c>
      <c r="AI22" s="84" t="s">
        <v>1618</v>
      </c>
      <c r="AJ22" s="84" t="s">
        <v>1619</v>
      </c>
      <c r="AK22" s="84" t="s">
        <v>1620</v>
      </c>
      <c r="AL22" s="84" t="s">
        <v>1621</v>
      </c>
      <c r="AM22" s="84" t="s">
        <v>1622</v>
      </c>
      <c r="AN22" s="10" t="s">
        <v>1623</v>
      </c>
      <c r="AO22" s="108"/>
      <c r="AP22" s="86" t="s">
        <v>1624</v>
      </c>
      <c r="AQ22" s="84" t="s">
        <v>1625</v>
      </c>
      <c r="AR22" s="10" t="s">
        <v>1626</v>
      </c>
      <c r="AS22" s="84" t="s">
        <v>1627</v>
      </c>
      <c r="AT22" s="84" t="s">
        <v>1628</v>
      </c>
      <c r="AU22" s="84" t="s">
        <v>1629</v>
      </c>
      <c r="AV22" s="84" t="s">
        <v>1630</v>
      </c>
      <c r="AW22" s="84" t="s">
        <v>1631</v>
      </c>
      <c r="AX22" s="84" t="s">
        <v>1632</v>
      </c>
      <c r="AY22" s="86" t="s">
        <v>1633</v>
      </c>
      <c r="AZ22" s="84" t="s">
        <v>1634</v>
      </c>
      <c r="BA22" s="84" t="s">
        <v>1635</v>
      </c>
      <c r="BB22" s="69"/>
      <c r="BC22" s="10" t="s">
        <v>1636</v>
      </c>
      <c r="BD22" s="84" t="s">
        <v>1637</v>
      </c>
      <c r="BE22" s="84" t="s">
        <v>1638</v>
      </c>
      <c r="BF22" s="84" t="s">
        <v>1639</v>
      </c>
      <c r="BG22" s="10" t="s">
        <v>1640</v>
      </c>
      <c r="BH22" s="10" t="s">
        <v>1641</v>
      </c>
      <c r="BI22" s="84" t="s">
        <v>1639</v>
      </c>
      <c r="BJ22" s="84" t="s">
        <v>1642</v>
      </c>
      <c r="BK22" s="84" t="s">
        <v>1643</v>
      </c>
      <c r="BL22" s="84" t="s">
        <v>1644</v>
      </c>
      <c r="BM22" s="10" t="s">
        <v>1645</v>
      </c>
      <c r="BN22" s="86" t="s">
        <v>1646</v>
      </c>
    </row>
    <row r="23" ht="86.25" customHeight="1">
      <c r="A23" s="24">
        <v>45745.0</v>
      </c>
      <c r="B23" s="10" t="s">
        <v>1647</v>
      </c>
      <c r="C23" s="84" t="s">
        <v>1648</v>
      </c>
      <c r="D23" s="107"/>
      <c r="E23" s="84" t="s">
        <v>1649</v>
      </c>
      <c r="F23" s="10" t="s">
        <v>1650</v>
      </c>
      <c r="G23" s="10" t="s">
        <v>1651</v>
      </c>
      <c r="H23" s="10" t="s">
        <v>1652</v>
      </c>
      <c r="I23" s="10" t="s">
        <v>1653</v>
      </c>
      <c r="J23" s="10" t="s">
        <v>1654</v>
      </c>
      <c r="K23" s="10" t="s">
        <v>1655</v>
      </c>
      <c r="L23" s="10" t="s">
        <v>1656</v>
      </c>
      <c r="M23" s="111" t="s">
        <v>1657</v>
      </c>
      <c r="N23" s="10" t="s">
        <v>1658</v>
      </c>
      <c r="O23" s="10" t="s">
        <v>1659</v>
      </c>
      <c r="P23" s="10" t="s">
        <v>1660</v>
      </c>
      <c r="Q23" s="10" t="s">
        <v>1661</v>
      </c>
      <c r="R23" s="10" t="s">
        <v>1662</v>
      </c>
      <c r="S23" s="84" t="s">
        <v>1663</v>
      </c>
      <c r="T23" s="10" t="s">
        <v>1664</v>
      </c>
      <c r="U23" s="10" t="s">
        <v>1665</v>
      </c>
      <c r="V23" s="111" t="s">
        <v>1666</v>
      </c>
      <c r="W23" s="10" t="s">
        <v>1667</v>
      </c>
      <c r="X23" s="10" t="s">
        <v>1668</v>
      </c>
      <c r="Y23" s="10" t="s">
        <v>1669</v>
      </c>
      <c r="Z23" s="84" t="s">
        <v>1670</v>
      </c>
      <c r="AA23" s="84" t="s">
        <v>1671</v>
      </c>
      <c r="AB23" s="84" t="s">
        <v>1672</v>
      </c>
      <c r="AC23" s="84" t="s">
        <v>1673</v>
      </c>
      <c r="AD23" s="84" t="s">
        <v>1674</v>
      </c>
      <c r="AE23" s="84" t="s">
        <v>1675</v>
      </c>
      <c r="AF23" s="84" t="s">
        <v>1675</v>
      </c>
      <c r="AG23" s="84" t="s">
        <v>1669</v>
      </c>
      <c r="AH23" s="10" t="s">
        <v>1529</v>
      </c>
      <c r="AI23" s="10" t="s">
        <v>1676</v>
      </c>
      <c r="AJ23" s="10" t="s">
        <v>1677</v>
      </c>
      <c r="AK23" s="10" t="s">
        <v>1678</v>
      </c>
      <c r="AL23" s="84" t="s">
        <v>1679</v>
      </c>
      <c r="AM23" s="84" t="s">
        <v>1680</v>
      </c>
      <c r="AN23" s="10" t="s">
        <v>1681</v>
      </c>
      <c r="AO23" s="108"/>
      <c r="AP23" s="86" t="s">
        <v>1682</v>
      </c>
      <c r="AQ23" s="10" t="s">
        <v>1683</v>
      </c>
      <c r="AR23" s="10" t="s">
        <v>1683</v>
      </c>
      <c r="AS23" s="10" t="s">
        <v>1684</v>
      </c>
      <c r="AT23" s="10" t="s">
        <v>1685</v>
      </c>
      <c r="AU23" s="10" t="s">
        <v>1686</v>
      </c>
      <c r="AV23" s="84" t="s">
        <v>1687</v>
      </c>
      <c r="AW23" s="10" t="s">
        <v>1688</v>
      </c>
      <c r="AX23" s="10" t="s">
        <v>1689</v>
      </c>
      <c r="AY23" s="86" t="s">
        <v>1690</v>
      </c>
      <c r="AZ23" s="84" t="s">
        <v>1691</v>
      </c>
      <c r="BA23" s="84" t="s">
        <v>1692</v>
      </c>
      <c r="BB23" s="69"/>
      <c r="BC23" s="10" t="s">
        <v>1693</v>
      </c>
      <c r="BD23" s="84" t="s">
        <v>1694</v>
      </c>
      <c r="BE23" s="10" t="s">
        <v>1695</v>
      </c>
      <c r="BF23" s="10" t="s">
        <v>1639</v>
      </c>
      <c r="BG23" s="10" t="s">
        <v>1696</v>
      </c>
      <c r="BH23" s="10" t="s">
        <v>1697</v>
      </c>
      <c r="BI23" s="84" t="s">
        <v>1698</v>
      </c>
      <c r="BJ23" s="10" t="s">
        <v>1699</v>
      </c>
      <c r="BK23" s="84" t="s">
        <v>1600</v>
      </c>
      <c r="BL23" s="84" t="s">
        <v>1700</v>
      </c>
      <c r="BM23" s="84" t="s">
        <v>1701</v>
      </c>
      <c r="BN23" s="86" t="s">
        <v>1702</v>
      </c>
    </row>
    <row r="24" ht="15.75" customHeight="1">
      <c r="A24" s="24">
        <v>45747.0</v>
      </c>
      <c r="B24" s="10" t="s">
        <v>1703</v>
      </c>
      <c r="C24" s="84" t="s">
        <v>1704</v>
      </c>
      <c r="D24" s="107"/>
      <c r="E24" s="84" t="s">
        <v>1705</v>
      </c>
      <c r="F24" s="10" t="s">
        <v>1706</v>
      </c>
      <c r="G24" s="84" t="s">
        <v>1707</v>
      </c>
      <c r="H24" s="84" t="s">
        <v>1708</v>
      </c>
      <c r="I24" s="84" t="s">
        <v>1709</v>
      </c>
      <c r="J24" s="84" t="s">
        <v>1708</v>
      </c>
      <c r="K24" s="84" t="s">
        <v>1710</v>
      </c>
      <c r="L24" s="84" t="s">
        <v>1711</v>
      </c>
      <c r="M24" s="111" t="s">
        <v>1712</v>
      </c>
      <c r="N24" s="84" t="s">
        <v>1713</v>
      </c>
      <c r="O24" s="84" t="s">
        <v>1714</v>
      </c>
      <c r="P24" s="84" t="s">
        <v>1715</v>
      </c>
      <c r="Q24" s="84" t="s">
        <v>1716</v>
      </c>
      <c r="R24" s="84" t="s">
        <v>1717</v>
      </c>
      <c r="S24" s="84" t="s">
        <v>1718</v>
      </c>
      <c r="T24" s="84" t="s">
        <v>650</v>
      </c>
      <c r="U24" s="84" t="s">
        <v>1719</v>
      </c>
      <c r="V24" s="84" t="s">
        <v>1720</v>
      </c>
      <c r="W24" s="84" t="s">
        <v>1714</v>
      </c>
      <c r="X24" s="84" t="s">
        <v>1721</v>
      </c>
      <c r="Y24" s="84" t="s">
        <v>1722</v>
      </c>
      <c r="Z24" s="84" t="s">
        <v>1723</v>
      </c>
      <c r="AA24" s="84" t="s">
        <v>1724</v>
      </c>
      <c r="AB24" s="84" t="s">
        <v>1725</v>
      </c>
      <c r="AC24" s="10" t="s">
        <v>1726</v>
      </c>
      <c r="AD24" s="84" t="s">
        <v>1716</v>
      </c>
      <c r="AE24" s="84" t="s">
        <v>1727</v>
      </c>
      <c r="AF24" s="84" t="s">
        <v>1728</v>
      </c>
      <c r="AG24" s="84" t="s">
        <v>1714</v>
      </c>
      <c r="AH24" s="10" t="s">
        <v>1729</v>
      </c>
      <c r="AI24" s="10" t="s">
        <v>1730</v>
      </c>
      <c r="AJ24" s="10" t="s">
        <v>1731</v>
      </c>
      <c r="AK24" s="10" t="s">
        <v>1732</v>
      </c>
      <c r="AL24" s="84" t="s">
        <v>1733</v>
      </c>
      <c r="AM24" s="84" t="s">
        <v>1734</v>
      </c>
      <c r="AN24" s="84" t="s">
        <v>1735</v>
      </c>
      <c r="AO24" s="108"/>
      <c r="AP24" s="86" t="s">
        <v>1736</v>
      </c>
      <c r="AQ24" s="84" t="s">
        <v>1737</v>
      </c>
      <c r="AR24" s="10" t="s">
        <v>1738</v>
      </c>
      <c r="AS24" s="10" t="s">
        <v>1739</v>
      </c>
      <c r="AT24" s="84" t="s">
        <v>1740</v>
      </c>
      <c r="AU24" s="10" t="s">
        <v>1741</v>
      </c>
      <c r="AV24" s="84" t="s">
        <v>1742</v>
      </c>
      <c r="AW24" s="84" t="s">
        <v>1743</v>
      </c>
      <c r="AX24" s="10" t="s">
        <v>1744</v>
      </c>
      <c r="AY24" s="10" t="s">
        <v>1745</v>
      </c>
      <c r="AZ24" s="84" t="s">
        <v>1746</v>
      </c>
      <c r="BA24" s="10" t="s">
        <v>1747</v>
      </c>
      <c r="BB24" s="69"/>
      <c r="BC24" s="84" t="s">
        <v>1748</v>
      </c>
      <c r="BD24" s="84" t="s">
        <v>1749</v>
      </c>
      <c r="BE24" s="10" t="s">
        <v>1750</v>
      </c>
      <c r="BF24" s="10" t="s">
        <v>1751</v>
      </c>
      <c r="BG24" s="84" t="s">
        <v>1752</v>
      </c>
      <c r="BH24" s="84" t="s">
        <v>1753</v>
      </c>
      <c r="BI24" s="84" t="s">
        <v>1754</v>
      </c>
      <c r="BJ24" s="84" t="s">
        <v>1740</v>
      </c>
      <c r="BK24" s="84" t="s">
        <v>1755</v>
      </c>
      <c r="BL24" s="84" t="s">
        <v>1756</v>
      </c>
      <c r="BM24" s="84" t="s">
        <v>1757</v>
      </c>
      <c r="BN24" s="86" t="s">
        <v>1758</v>
      </c>
    </row>
    <row r="25" ht="15.75" customHeight="1">
      <c r="A25" s="24">
        <v>45748.0</v>
      </c>
      <c r="B25" s="10" t="s">
        <v>1759</v>
      </c>
      <c r="C25" s="84" t="s">
        <v>1760</v>
      </c>
      <c r="D25" s="107"/>
      <c r="E25" s="84" t="s">
        <v>1761</v>
      </c>
      <c r="F25" s="84" t="s">
        <v>1761</v>
      </c>
      <c r="G25" s="84" t="s">
        <v>1762</v>
      </c>
      <c r="H25" s="84" t="s">
        <v>1763</v>
      </c>
      <c r="I25" s="84" t="s">
        <v>1764</v>
      </c>
      <c r="J25" s="84" t="s">
        <v>1765</v>
      </c>
      <c r="K25" s="84" t="s">
        <v>1669</v>
      </c>
      <c r="L25" s="84" t="s">
        <v>1668</v>
      </c>
      <c r="M25" s="111" t="s">
        <v>1766</v>
      </c>
      <c r="N25" s="84" t="s">
        <v>1725</v>
      </c>
      <c r="O25" s="84" t="s">
        <v>1714</v>
      </c>
      <c r="P25" s="84" t="s">
        <v>1767</v>
      </c>
      <c r="Q25" s="84" t="s">
        <v>1716</v>
      </c>
      <c r="R25" s="84" t="s">
        <v>1723</v>
      </c>
      <c r="S25" s="84" t="s">
        <v>1768</v>
      </c>
      <c r="T25" s="84" t="s">
        <v>1768</v>
      </c>
      <c r="U25" s="84" t="s">
        <v>1769</v>
      </c>
      <c r="V25" s="84" t="s">
        <v>1770</v>
      </c>
      <c r="W25" s="84" t="s">
        <v>1714</v>
      </c>
      <c r="X25" s="84" t="s">
        <v>1723</v>
      </c>
      <c r="Y25" s="84" t="s">
        <v>1771</v>
      </c>
      <c r="Z25" s="84" t="s">
        <v>1772</v>
      </c>
      <c r="AA25" s="84" t="s">
        <v>1724</v>
      </c>
      <c r="AB25" s="84" t="s">
        <v>1773</v>
      </c>
      <c r="AC25" s="84" t="s">
        <v>1774</v>
      </c>
      <c r="AD25" s="84" t="s">
        <v>1775</v>
      </c>
      <c r="AE25" s="84" t="s">
        <v>1714</v>
      </c>
      <c r="AF25" s="84" t="s">
        <v>1776</v>
      </c>
      <c r="AG25" s="84" t="s">
        <v>1763</v>
      </c>
      <c r="AH25" s="84" t="s">
        <v>1777</v>
      </c>
      <c r="AI25" s="84" t="s">
        <v>1778</v>
      </c>
      <c r="AJ25" s="84" t="s">
        <v>1779</v>
      </c>
      <c r="AK25" s="84" t="s">
        <v>1780</v>
      </c>
      <c r="AL25" s="84" t="s">
        <v>1781</v>
      </c>
      <c r="AM25" s="84" t="s">
        <v>1782</v>
      </c>
      <c r="AN25" s="84" t="s">
        <v>1783</v>
      </c>
      <c r="AO25" s="108"/>
      <c r="AP25" s="10" t="s">
        <v>1784</v>
      </c>
      <c r="AQ25" s="84" t="s">
        <v>1785</v>
      </c>
      <c r="AR25" s="84" t="s">
        <v>1786</v>
      </c>
      <c r="AS25" s="84" t="s">
        <v>1787</v>
      </c>
      <c r="AT25" s="84" t="s">
        <v>1788</v>
      </c>
      <c r="AU25" s="84" t="s">
        <v>1789</v>
      </c>
      <c r="AV25" s="84" t="s">
        <v>1790</v>
      </c>
      <c r="AW25" s="84" t="s">
        <v>1791</v>
      </c>
      <c r="AX25" s="84" t="s">
        <v>1792</v>
      </c>
      <c r="AY25" s="84" t="s">
        <v>1793</v>
      </c>
      <c r="AZ25" s="84" t="s">
        <v>1794</v>
      </c>
      <c r="BA25" s="84" t="s">
        <v>1795</v>
      </c>
      <c r="BB25" s="69"/>
      <c r="BC25" s="84" t="s">
        <v>1796</v>
      </c>
      <c r="BD25" s="84" t="s">
        <v>1797</v>
      </c>
      <c r="BE25" s="84" t="s">
        <v>1798</v>
      </c>
      <c r="BF25" s="84" t="s">
        <v>1799</v>
      </c>
      <c r="BG25" s="84" t="s">
        <v>1800</v>
      </c>
      <c r="BH25" s="84" t="s">
        <v>1801</v>
      </c>
      <c r="BI25" s="84" t="s">
        <v>1802</v>
      </c>
      <c r="BJ25" s="84" t="s">
        <v>1803</v>
      </c>
      <c r="BK25" s="84" t="s">
        <v>1804</v>
      </c>
      <c r="BL25" s="10" t="s">
        <v>1805</v>
      </c>
      <c r="BM25" s="10" t="s">
        <v>1806</v>
      </c>
      <c r="BN25" s="86" t="s">
        <v>1807</v>
      </c>
    </row>
    <row r="26" ht="15.75" customHeight="1">
      <c r="A26" s="27">
        <v>45749.0</v>
      </c>
      <c r="B26" s="10" t="s">
        <v>1808</v>
      </c>
      <c r="C26" s="84" t="s">
        <v>1809</v>
      </c>
      <c r="D26" s="107"/>
      <c r="E26" s="84" t="s">
        <v>1810</v>
      </c>
      <c r="F26" s="84" t="s">
        <v>1811</v>
      </c>
      <c r="G26" s="84" t="s">
        <v>1812</v>
      </c>
      <c r="H26" s="84" t="s">
        <v>1813</v>
      </c>
      <c r="I26" s="84" t="s">
        <v>1814</v>
      </c>
      <c r="J26" s="84" t="s">
        <v>1815</v>
      </c>
      <c r="K26" s="84" t="s">
        <v>1816</v>
      </c>
      <c r="L26" s="84" t="s">
        <v>1817</v>
      </c>
      <c r="M26" s="112" t="s">
        <v>1818</v>
      </c>
      <c r="N26" s="84" t="s">
        <v>1819</v>
      </c>
      <c r="O26" s="84" t="s">
        <v>1820</v>
      </c>
      <c r="P26" s="84" t="s">
        <v>1821</v>
      </c>
      <c r="Q26" s="84" t="s">
        <v>1822</v>
      </c>
      <c r="R26" s="84" t="s">
        <v>1823</v>
      </c>
      <c r="S26" s="84" t="s">
        <v>1824</v>
      </c>
      <c r="T26" s="84" t="s">
        <v>1825</v>
      </c>
      <c r="U26" s="84" t="s">
        <v>1826</v>
      </c>
      <c r="V26" s="84" t="s">
        <v>1827</v>
      </c>
      <c r="W26" s="84" t="s">
        <v>1828</v>
      </c>
      <c r="X26" s="84" t="s">
        <v>1829</v>
      </c>
      <c r="Y26" s="84" t="s">
        <v>1830</v>
      </c>
      <c r="Z26" s="84" t="s">
        <v>1831</v>
      </c>
      <c r="AA26" s="10"/>
      <c r="AB26" s="10"/>
      <c r="AC26" s="10"/>
      <c r="AD26" s="10"/>
      <c r="AE26" s="10"/>
      <c r="AF26" s="10"/>
      <c r="AG26" s="10"/>
      <c r="AH26" s="10"/>
      <c r="AI26" s="84"/>
      <c r="AJ26" s="84"/>
      <c r="AK26" s="84"/>
      <c r="AL26" s="84"/>
      <c r="AM26" s="84"/>
      <c r="AN26" s="84"/>
      <c r="AO26" s="108"/>
      <c r="AP26" s="10"/>
      <c r="AQ26" s="84"/>
      <c r="AR26" s="84"/>
      <c r="AS26" s="84"/>
      <c r="AT26" s="84"/>
      <c r="AU26" s="84"/>
      <c r="AV26" s="84"/>
      <c r="AW26" s="84"/>
      <c r="AX26" s="84"/>
      <c r="AY26" s="84"/>
      <c r="AZ26" s="84"/>
      <c r="BA26" s="84"/>
      <c r="BB26" s="69"/>
      <c r="BC26" s="10"/>
      <c r="BD26" s="10"/>
      <c r="BE26" s="84" t="s">
        <v>1832</v>
      </c>
      <c r="BF26" s="10"/>
      <c r="BG26" s="84"/>
      <c r="BH26" s="84"/>
      <c r="BI26" s="84"/>
      <c r="BJ26" s="84"/>
      <c r="BK26" s="84"/>
      <c r="BL26" s="10"/>
      <c r="BM26" s="10"/>
      <c r="BN26" s="86" t="s">
        <v>1833</v>
      </c>
    </row>
    <row r="27" ht="15.75" customHeight="1">
      <c r="A27" s="24">
        <v>45750.0</v>
      </c>
      <c r="B27" s="10" t="s">
        <v>1834</v>
      </c>
      <c r="C27" s="84" t="s">
        <v>1835</v>
      </c>
      <c r="D27" s="107"/>
      <c r="E27" s="84" t="s">
        <v>1836</v>
      </c>
      <c r="F27" s="84" t="s">
        <v>1762</v>
      </c>
      <c r="G27" s="84" t="s">
        <v>1837</v>
      </c>
      <c r="H27" s="84" t="s">
        <v>1838</v>
      </c>
      <c r="I27" s="10" t="s">
        <v>1763</v>
      </c>
      <c r="J27" s="10" t="s">
        <v>1763</v>
      </c>
      <c r="K27" s="10" t="s">
        <v>1839</v>
      </c>
      <c r="L27" s="10" t="s">
        <v>1840</v>
      </c>
      <c r="M27" s="112" t="s">
        <v>653</v>
      </c>
      <c r="N27" s="84" t="s">
        <v>1763</v>
      </c>
      <c r="O27" s="84" t="s">
        <v>1724</v>
      </c>
      <c r="P27" s="84" t="s">
        <v>698</v>
      </c>
      <c r="Q27" s="84" t="s">
        <v>1841</v>
      </c>
      <c r="R27" s="84" t="s">
        <v>1842</v>
      </c>
      <c r="S27" s="10" t="s">
        <v>1843</v>
      </c>
      <c r="T27" s="84" t="s">
        <v>1777</v>
      </c>
      <c r="U27" s="84" t="s">
        <v>650</v>
      </c>
      <c r="V27" s="84" t="s">
        <v>1777</v>
      </c>
      <c r="W27" s="84" t="s">
        <v>1844</v>
      </c>
      <c r="X27" s="10" t="s">
        <v>1845</v>
      </c>
      <c r="Y27" s="84" t="s">
        <v>1846</v>
      </c>
      <c r="Z27" s="84" t="s">
        <v>1847</v>
      </c>
      <c r="AA27" s="10" t="s">
        <v>1711</v>
      </c>
      <c r="AB27" s="10" t="s">
        <v>1848</v>
      </c>
      <c r="AC27" s="10" t="s">
        <v>1726</v>
      </c>
      <c r="AD27" s="10" t="s">
        <v>1849</v>
      </c>
      <c r="AE27" s="10" t="s">
        <v>1850</v>
      </c>
      <c r="AF27" s="84" t="s">
        <v>1851</v>
      </c>
      <c r="AG27" s="84" t="s">
        <v>1852</v>
      </c>
      <c r="AH27" s="84" t="s">
        <v>1762</v>
      </c>
      <c r="AI27" s="84" t="s">
        <v>1853</v>
      </c>
      <c r="AJ27" s="84" t="s">
        <v>1854</v>
      </c>
      <c r="AK27" s="84" t="s">
        <v>1855</v>
      </c>
      <c r="AL27" s="84" t="s">
        <v>1856</v>
      </c>
      <c r="AM27" s="84" t="s">
        <v>1857</v>
      </c>
      <c r="AN27" s="84" t="s">
        <v>1858</v>
      </c>
      <c r="AO27" s="108"/>
      <c r="AP27" s="10" t="s">
        <v>1859</v>
      </c>
      <c r="AQ27" s="84" t="s">
        <v>1860</v>
      </c>
      <c r="AR27" s="84" t="s">
        <v>1861</v>
      </c>
      <c r="AS27" s="84" t="s">
        <v>1862</v>
      </c>
      <c r="AT27" s="84" t="s">
        <v>1863</v>
      </c>
      <c r="AU27" s="84" t="s">
        <v>1864</v>
      </c>
      <c r="AV27" s="84" t="s">
        <v>1865</v>
      </c>
      <c r="AW27" s="84" t="s">
        <v>1866</v>
      </c>
      <c r="AX27" s="84" t="s">
        <v>1865</v>
      </c>
      <c r="AY27" s="84" t="s">
        <v>1867</v>
      </c>
      <c r="AZ27" s="84" t="s">
        <v>1868</v>
      </c>
      <c r="BA27" s="84" t="s">
        <v>1869</v>
      </c>
      <c r="BB27" s="69"/>
      <c r="BC27" s="10" t="s">
        <v>1870</v>
      </c>
      <c r="BD27" s="10" t="s">
        <v>1869</v>
      </c>
      <c r="BE27" s="84" t="s">
        <v>697</v>
      </c>
      <c r="BF27" s="10" t="s">
        <v>1871</v>
      </c>
      <c r="BG27" s="84" t="s">
        <v>1872</v>
      </c>
      <c r="BH27" s="10" t="s">
        <v>1873</v>
      </c>
      <c r="BI27" s="10" t="s">
        <v>1864</v>
      </c>
      <c r="BJ27" s="84" t="s">
        <v>1874</v>
      </c>
      <c r="BK27" s="84" t="s">
        <v>1875</v>
      </c>
      <c r="BL27" s="10" t="s">
        <v>1876</v>
      </c>
      <c r="BM27" s="10" t="s">
        <v>1877</v>
      </c>
      <c r="BN27" s="86" t="s">
        <v>653</v>
      </c>
    </row>
    <row r="28" ht="15.75" customHeight="1">
      <c r="A28" s="24">
        <v>45751.0</v>
      </c>
      <c r="B28" s="10" t="s">
        <v>1878</v>
      </c>
      <c r="C28" s="84" t="s">
        <v>1879</v>
      </c>
      <c r="D28" s="107"/>
      <c r="E28" s="84" t="s">
        <v>1880</v>
      </c>
      <c r="F28" s="84" t="s">
        <v>1881</v>
      </c>
      <c r="G28" s="84" t="s">
        <v>1882</v>
      </c>
      <c r="H28" s="84" t="s">
        <v>1883</v>
      </c>
      <c r="I28" s="84" t="s">
        <v>1884</v>
      </c>
      <c r="J28" s="84" t="s">
        <v>1885</v>
      </c>
      <c r="K28" s="84" t="s">
        <v>1886</v>
      </c>
      <c r="L28" s="84" t="s">
        <v>1851</v>
      </c>
      <c r="M28" s="112" t="s">
        <v>653</v>
      </c>
      <c r="N28" s="84" t="s">
        <v>1851</v>
      </c>
      <c r="O28" s="84" t="s">
        <v>1838</v>
      </c>
      <c r="P28" s="84" t="s">
        <v>1887</v>
      </c>
      <c r="Q28" s="84" t="s">
        <v>1841</v>
      </c>
      <c r="R28" s="84" t="s">
        <v>1723</v>
      </c>
      <c r="S28" s="10" t="s">
        <v>598</v>
      </c>
      <c r="T28" s="84" t="s">
        <v>1888</v>
      </c>
      <c r="U28" s="84" t="s">
        <v>1889</v>
      </c>
      <c r="V28" s="84" t="s">
        <v>1888</v>
      </c>
      <c r="W28" s="84" t="s">
        <v>1771</v>
      </c>
      <c r="X28" s="10" t="s">
        <v>1845</v>
      </c>
      <c r="Y28" s="84" t="s">
        <v>1771</v>
      </c>
      <c r="Z28" s="10" t="s">
        <v>698</v>
      </c>
      <c r="AA28" s="84" t="s">
        <v>1888</v>
      </c>
      <c r="AB28" s="84" t="s">
        <v>1763</v>
      </c>
      <c r="AC28" s="84" t="s">
        <v>1723</v>
      </c>
      <c r="AD28" s="84" t="s">
        <v>698</v>
      </c>
      <c r="AE28" s="84" t="s">
        <v>1762</v>
      </c>
      <c r="AF28" s="84" t="s">
        <v>1851</v>
      </c>
      <c r="AG28" s="84" t="s">
        <v>1851</v>
      </c>
      <c r="AH28" s="84" t="s">
        <v>1840</v>
      </c>
      <c r="AI28" s="84" t="s">
        <v>1890</v>
      </c>
      <c r="AJ28" s="84" t="s">
        <v>558</v>
      </c>
      <c r="AK28" s="84" t="s">
        <v>650</v>
      </c>
      <c r="AL28" s="84" t="s">
        <v>1891</v>
      </c>
      <c r="AM28" s="84" t="s">
        <v>698</v>
      </c>
      <c r="AN28" s="84" t="s">
        <v>662</v>
      </c>
      <c r="AO28" s="108"/>
      <c r="AP28" s="84" t="s">
        <v>662</v>
      </c>
      <c r="AQ28" s="84" t="s">
        <v>1723</v>
      </c>
      <c r="AR28" s="84" t="s">
        <v>1892</v>
      </c>
      <c r="AS28" s="84" t="s">
        <v>1893</v>
      </c>
      <c r="AT28" s="84" t="s">
        <v>1894</v>
      </c>
      <c r="AU28" s="84" t="s">
        <v>1895</v>
      </c>
      <c r="AV28" s="84" t="s">
        <v>1896</v>
      </c>
      <c r="AW28" s="84" t="s">
        <v>1897</v>
      </c>
      <c r="AX28" s="84" t="s">
        <v>1865</v>
      </c>
      <c r="AY28" s="84" t="s">
        <v>1897</v>
      </c>
      <c r="AZ28" s="84" t="s">
        <v>1714</v>
      </c>
      <c r="BA28" s="84" t="s">
        <v>1898</v>
      </c>
      <c r="BB28" s="69"/>
      <c r="BC28" s="84" t="s">
        <v>1899</v>
      </c>
      <c r="BD28" s="84" t="s">
        <v>1894</v>
      </c>
      <c r="BE28" s="84" t="s">
        <v>1900</v>
      </c>
      <c r="BF28" s="84" t="s">
        <v>1901</v>
      </c>
      <c r="BG28" s="84" t="s">
        <v>1902</v>
      </c>
      <c r="BH28" s="84" t="s">
        <v>1903</v>
      </c>
      <c r="BI28" s="10" t="s">
        <v>1904</v>
      </c>
      <c r="BJ28" s="10" t="s">
        <v>1905</v>
      </c>
      <c r="BK28" s="84" t="s">
        <v>1906</v>
      </c>
      <c r="BL28" s="84" t="s">
        <v>1885</v>
      </c>
      <c r="BM28" s="84" t="s">
        <v>1907</v>
      </c>
      <c r="BN28" s="86" t="s">
        <v>653</v>
      </c>
    </row>
    <row r="29" ht="15.75" customHeight="1">
      <c r="A29" s="24">
        <v>45754.0</v>
      </c>
      <c r="B29" s="10" t="s">
        <v>1908</v>
      </c>
      <c r="C29" s="84" t="s">
        <v>1909</v>
      </c>
      <c r="D29" s="107"/>
      <c r="E29" s="84" t="s">
        <v>1909</v>
      </c>
      <c r="F29" s="84" t="s">
        <v>1910</v>
      </c>
      <c r="G29" s="84" t="s">
        <v>1911</v>
      </c>
      <c r="H29" s="84" t="s">
        <v>693</v>
      </c>
      <c r="I29" s="84" t="s">
        <v>1909</v>
      </c>
      <c r="J29" s="84" t="s">
        <v>1912</v>
      </c>
      <c r="K29" s="10" t="s">
        <v>1913</v>
      </c>
      <c r="L29" s="10" t="s">
        <v>1914</v>
      </c>
      <c r="M29" s="112" t="s">
        <v>1915</v>
      </c>
      <c r="N29" s="84" t="s">
        <v>1916</v>
      </c>
      <c r="O29" s="10" t="s">
        <v>1917</v>
      </c>
      <c r="P29" s="10" t="s">
        <v>1918</v>
      </c>
      <c r="Q29" s="10" t="s">
        <v>1919</v>
      </c>
      <c r="R29" s="10" t="s">
        <v>1920</v>
      </c>
      <c r="S29" s="10" t="s">
        <v>1921</v>
      </c>
      <c r="T29" s="84" t="s">
        <v>1922</v>
      </c>
      <c r="U29" s="84" t="s">
        <v>1868</v>
      </c>
      <c r="V29" s="84" t="s">
        <v>1923</v>
      </c>
      <c r="W29" s="84" t="s">
        <v>1924</v>
      </c>
      <c r="X29" s="84" t="s">
        <v>1714</v>
      </c>
      <c r="Y29" s="84" t="s">
        <v>650</v>
      </c>
      <c r="Z29" s="10" t="s">
        <v>1925</v>
      </c>
      <c r="AA29" s="84" t="s">
        <v>1926</v>
      </c>
      <c r="AB29" s="84" t="s">
        <v>1902</v>
      </c>
      <c r="AC29" s="84" t="s">
        <v>693</v>
      </c>
      <c r="AD29" s="10" t="s">
        <v>1927</v>
      </c>
      <c r="AE29" s="10" t="s">
        <v>1928</v>
      </c>
      <c r="AF29" s="10" t="s">
        <v>1929</v>
      </c>
      <c r="AG29" s="84" t="s">
        <v>1930</v>
      </c>
      <c r="AH29" s="84" t="s">
        <v>1931</v>
      </c>
      <c r="AI29" s="84" t="s">
        <v>1714</v>
      </c>
      <c r="AJ29" s="84" t="s">
        <v>1768</v>
      </c>
      <c r="AK29" s="84" t="s">
        <v>1932</v>
      </c>
      <c r="AL29" s="84" t="s">
        <v>1933</v>
      </c>
      <c r="AM29" s="10" t="s">
        <v>1934</v>
      </c>
      <c r="AN29" s="10" t="s">
        <v>1935</v>
      </c>
      <c r="AO29" s="108"/>
      <c r="AP29" s="10" t="s">
        <v>1846</v>
      </c>
      <c r="AQ29" s="84" t="s">
        <v>1936</v>
      </c>
      <c r="AR29" s="10" t="s">
        <v>1937</v>
      </c>
      <c r="AS29" s="84" t="s">
        <v>1938</v>
      </c>
      <c r="AT29" s="84" t="s">
        <v>1936</v>
      </c>
      <c r="AU29" s="84" t="s">
        <v>1851</v>
      </c>
      <c r="AV29" s="84" t="s">
        <v>1939</v>
      </c>
      <c r="AW29" s="84" t="s">
        <v>1763</v>
      </c>
      <c r="AX29" s="84" t="s">
        <v>1762</v>
      </c>
      <c r="AY29" s="84" t="s">
        <v>1940</v>
      </c>
      <c r="AZ29" s="84" t="s">
        <v>1763</v>
      </c>
      <c r="BA29" s="84" t="s">
        <v>1941</v>
      </c>
      <c r="BB29" s="69"/>
      <c r="BC29" s="84" t="s">
        <v>1902</v>
      </c>
      <c r="BD29" s="84" t="s">
        <v>1763</v>
      </c>
      <c r="BE29" s="10" t="s">
        <v>558</v>
      </c>
      <c r="BF29" s="10" t="s">
        <v>558</v>
      </c>
      <c r="BG29" s="84" t="s">
        <v>1772</v>
      </c>
      <c r="BH29" s="84" t="s">
        <v>1852</v>
      </c>
      <c r="BI29" s="84" t="s">
        <v>1777</v>
      </c>
      <c r="BJ29" s="84" t="s">
        <v>1840</v>
      </c>
      <c r="BK29" s="84" t="s">
        <v>1723</v>
      </c>
      <c r="BL29" s="10" t="s">
        <v>1942</v>
      </c>
      <c r="BM29" s="84" t="s">
        <v>1727</v>
      </c>
      <c r="BN29" s="86" t="s">
        <v>1943</v>
      </c>
    </row>
    <row r="30" ht="15.75" customHeight="1">
      <c r="A30" s="24">
        <v>45755.0</v>
      </c>
      <c r="B30" s="10" t="s">
        <v>1944</v>
      </c>
      <c r="C30" s="84" t="s">
        <v>1945</v>
      </c>
      <c r="D30" s="107"/>
      <c r="E30" s="84" t="s">
        <v>1946</v>
      </c>
      <c r="F30" s="84" t="s">
        <v>1947</v>
      </c>
      <c r="G30" s="84" t="s">
        <v>1771</v>
      </c>
      <c r="H30" s="84" t="s">
        <v>1948</v>
      </c>
      <c r="I30" s="84" t="s">
        <v>1721</v>
      </c>
      <c r="J30" s="84" t="s">
        <v>1910</v>
      </c>
      <c r="K30" s="84" t="s">
        <v>1910</v>
      </c>
      <c r="L30" s="84" t="s">
        <v>1763</v>
      </c>
      <c r="M30" s="112" t="s">
        <v>653</v>
      </c>
      <c r="N30" s="84" t="s">
        <v>1865</v>
      </c>
      <c r="O30" s="10" t="s">
        <v>1910</v>
      </c>
      <c r="P30" s="84" t="s">
        <v>1894</v>
      </c>
      <c r="Q30" s="84" t="s">
        <v>1936</v>
      </c>
      <c r="R30" s="84" t="s">
        <v>1949</v>
      </c>
      <c r="S30" s="10" t="s">
        <v>1950</v>
      </c>
      <c r="T30" s="84" t="s">
        <v>1763</v>
      </c>
      <c r="U30" s="84" t="s">
        <v>1894</v>
      </c>
      <c r="V30" s="10" t="s">
        <v>1951</v>
      </c>
      <c r="W30" s="84" t="s">
        <v>1909</v>
      </c>
      <c r="X30" s="84" t="s">
        <v>1952</v>
      </c>
      <c r="Y30" s="84" t="s">
        <v>1953</v>
      </c>
      <c r="Z30" s="84" t="s">
        <v>1954</v>
      </c>
      <c r="AA30" s="10" t="s">
        <v>1955</v>
      </c>
      <c r="AB30" s="84" t="s">
        <v>1956</v>
      </c>
      <c r="AC30" s="84" t="s">
        <v>1725</v>
      </c>
      <c r="AD30" s="84" t="s">
        <v>1714</v>
      </c>
      <c r="AE30" s="84" t="s">
        <v>1894</v>
      </c>
      <c r="AF30" s="84" t="s">
        <v>1949</v>
      </c>
      <c r="AG30" s="10" t="s">
        <v>1957</v>
      </c>
      <c r="AH30" s="84" t="s">
        <v>1958</v>
      </c>
      <c r="AI30" s="84" t="s">
        <v>1959</v>
      </c>
      <c r="AJ30" s="10" t="s">
        <v>1960</v>
      </c>
      <c r="AK30" s="84" t="s">
        <v>1953</v>
      </c>
      <c r="AL30" s="84" t="s">
        <v>1851</v>
      </c>
      <c r="AM30" s="10" t="s">
        <v>558</v>
      </c>
      <c r="AN30" s="10" t="s">
        <v>708</v>
      </c>
      <c r="AO30" s="108"/>
      <c r="AP30" s="10" t="s">
        <v>1961</v>
      </c>
      <c r="AQ30" s="84" t="s">
        <v>1962</v>
      </c>
      <c r="AR30" s="10" t="s">
        <v>1963</v>
      </c>
      <c r="AS30" s="84" t="s">
        <v>1763</v>
      </c>
      <c r="AT30" s="84" t="s">
        <v>1865</v>
      </c>
      <c r="AU30" s="84" t="s">
        <v>1964</v>
      </c>
      <c r="AV30" s="10" t="s">
        <v>1954</v>
      </c>
      <c r="AW30" s="84" t="s">
        <v>1714</v>
      </c>
      <c r="AX30" s="84" t="s">
        <v>1965</v>
      </c>
      <c r="AY30" s="84" t="s">
        <v>1966</v>
      </c>
      <c r="AZ30" s="84" t="s">
        <v>1967</v>
      </c>
      <c r="BA30" s="84" t="s">
        <v>1727</v>
      </c>
      <c r="BB30" s="69"/>
      <c r="BC30" s="84" t="s">
        <v>1968</v>
      </c>
      <c r="BD30" s="84" t="s">
        <v>1714</v>
      </c>
      <c r="BE30" s="84" t="s">
        <v>1969</v>
      </c>
      <c r="BF30" s="84" t="s">
        <v>1970</v>
      </c>
      <c r="BG30" s="84" t="s">
        <v>1971</v>
      </c>
      <c r="BH30" s="84" t="s">
        <v>1838</v>
      </c>
      <c r="BI30" s="84" t="s">
        <v>1972</v>
      </c>
      <c r="BJ30" s="84" t="s">
        <v>1851</v>
      </c>
      <c r="BK30" s="84" t="s">
        <v>1973</v>
      </c>
      <c r="BL30" s="10" t="s">
        <v>558</v>
      </c>
      <c r="BM30" s="84" t="s">
        <v>1974</v>
      </c>
      <c r="BN30" s="86" t="s">
        <v>1975</v>
      </c>
    </row>
    <row r="31" ht="15.75" customHeight="1">
      <c r="A31" s="27">
        <v>45756.0</v>
      </c>
      <c r="B31" s="10" t="s">
        <v>1976</v>
      </c>
      <c r="C31" s="84" t="s">
        <v>1977</v>
      </c>
      <c r="D31" s="107"/>
      <c r="E31" s="84" t="s">
        <v>1978</v>
      </c>
      <c r="F31" s="84" t="s">
        <v>1979</v>
      </c>
      <c r="G31" s="84" t="s">
        <v>1980</v>
      </c>
      <c r="H31" s="84" t="s">
        <v>1981</v>
      </c>
      <c r="I31" s="84" t="s">
        <v>1982</v>
      </c>
      <c r="J31" s="84" t="s">
        <v>1983</v>
      </c>
      <c r="K31" s="84" t="s">
        <v>1979</v>
      </c>
      <c r="L31" s="84" t="s">
        <v>1984</v>
      </c>
      <c r="M31" s="112" t="s">
        <v>653</v>
      </c>
      <c r="N31" s="84" t="s">
        <v>1771</v>
      </c>
      <c r="O31" s="10" t="s">
        <v>1985</v>
      </c>
      <c r="P31" s="84" t="s">
        <v>1986</v>
      </c>
      <c r="Q31" s="84" t="s">
        <v>1987</v>
      </c>
      <c r="R31" s="84" t="s">
        <v>1988</v>
      </c>
      <c r="S31" s="84" t="s">
        <v>1894</v>
      </c>
      <c r="T31" s="84" t="s">
        <v>1777</v>
      </c>
      <c r="U31" s="84" t="s">
        <v>1989</v>
      </c>
      <c r="V31" s="10" t="s">
        <v>1990</v>
      </c>
      <c r="W31" s="84" t="s">
        <v>1986</v>
      </c>
      <c r="X31" s="84" t="s">
        <v>1991</v>
      </c>
      <c r="Y31" s="84" t="s">
        <v>1992</v>
      </c>
      <c r="Z31" s="84" t="s">
        <v>1979</v>
      </c>
      <c r="AA31" s="84" t="s">
        <v>1993</v>
      </c>
      <c r="AB31" s="10" t="s">
        <v>1994</v>
      </c>
      <c r="AC31" s="10" t="s">
        <v>1995</v>
      </c>
      <c r="AD31" s="84" t="s">
        <v>1996</v>
      </c>
      <c r="AE31" s="84" t="s">
        <v>1979</v>
      </c>
      <c r="AF31" s="84" t="s">
        <v>1997</v>
      </c>
      <c r="AG31" s="84" t="s">
        <v>660</v>
      </c>
      <c r="AH31" s="84" t="s">
        <v>1998</v>
      </c>
      <c r="AI31" s="84" t="s">
        <v>1999</v>
      </c>
      <c r="AJ31" s="84" t="s">
        <v>2000</v>
      </c>
      <c r="AK31" s="84" t="s">
        <v>1906</v>
      </c>
      <c r="AL31" s="84" t="s">
        <v>1840</v>
      </c>
      <c r="AM31" s="10" t="s">
        <v>2001</v>
      </c>
      <c r="AN31" s="84" t="s">
        <v>2000</v>
      </c>
      <c r="AO31" s="108"/>
      <c r="AP31" s="10" t="s">
        <v>2002</v>
      </c>
      <c r="AQ31" s="84" t="s">
        <v>1902</v>
      </c>
      <c r="AR31" s="10" t="s">
        <v>2003</v>
      </c>
      <c r="AS31" s="84" t="s">
        <v>1888</v>
      </c>
      <c r="AT31" s="84" t="s">
        <v>1962</v>
      </c>
      <c r="AU31" s="84" t="s">
        <v>1897</v>
      </c>
      <c r="AV31" s="10" t="s">
        <v>2004</v>
      </c>
      <c r="AW31" s="84" t="s">
        <v>2005</v>
      </c>
      <c r="AX31" s="84" t="s">
        <v>2006</v>
      </c>
      <c r="AY31" s="84" t="s">
        <v>2000</v>
      </c>
      <c r="AZ31" s="84" t="s">
        <v>1865</v>
      </c>
      <c r="BA31" s="84" t="s">
        <v>2007</v>
      </c>
      <c r="BB31" s="69"/>
      <c r="BC31" s="84" t="s">
        <v>1865</v>
      </c>
      <c r="BD31" s="84" t="s">
        <v>1763</v>
      </c>
      <c r="BE31" s="84" t="s">
        <v>2008</v>
      </c>
      <c r="BF31" s="84" t="s">
        <v>2009</v>
      </c>
      <c r="BG31" s="84" t="s">
        <v>2010</v>
      </c>
      <c r="BH31" s="10" t="s">
        <v>2011</v>
      </c>
      <c r="BI31" s="84" t="s">
        <v>2012</v>
      </c>
      <c r="BJ31" s="84" t="s">
        <v>2013</v>
      </c>
      <c r="BK31" s="84" t="s">
        <v>2014</v>
      </c>
      <c r="BL31" s="10" t="s">
        <v>2015</v>
      </c>
      <c r="BM31" s="84" t="s">
        <v>2016</v>
      </c>
      <c r="BN31" s="86" t="s">
        <v>598</v>
      </c>
    </row>
    <row r="32" ht="15.75" customHeight="1">
      <c r="A32" s="27">
        <v>45757.0</v>
      </c>
      <c r="B32" s="10"/>
      <c r="C32" s="84" t="s">
        <v>2017</v>
      </c>
      <c r="D32" s="107"/>
      <c r="E32" s="84" t="s">
        <v>1953</v>
      </c>
      <c r="F32" s="84" t="s">
        <v>1953</v>
      </c>
      <c r="G32" s="84" t="s">
        <v>1992</v>
      </c>
      <c r="H32" s="84" t="s">
        <v>2018</v>
      </c>
      <c r="I32" s="84" t="s">
        <v>2019</v>
      </c>
      <c r="J32" s="84" t="s">
        <v>2020</v>
      </c>
      <c r="K32" s="84" t="s">
        <v>2020</v>
      </c>
      <c r="L32" s="84" t="s">
        <v>2021</v>
      </c>
      <c r="M32" s="112" t="s">
        <v>653</v>
      </c>
      <c r="N32" s="84" t="s">
        <v>2022</v>
      </c>
      <c r="O32" s="84" t="s">
        <v>2023</v>
      </c>
      <c r="P32" s="84" t="s">
        <v>1962</v>
      </c>
      <c r="Q32" s="84" t="s">
        <v>1953</v>
      </c>
      <c r="R32" s="84" t="s">
        <v>2007</v>
      </c>
      <c r="S32" s="84" t="s">
        <v>1946</v>
      </c>
      <c r="T32" s="84" t="s">
        <v>1885</v>
      </c>
      <c r="U32" s="84" t="s">
        <v>2024</v>
      </c>
      <c r="V32" s="10" t="s">
        <v>2025</v>
      </c>
      <c r="W32" s="84" t="s">
        <v>2026</v>
      </c>
      <c r="X32" s="84" t="s">
        <v>2027</v>
      </c>
      <c r="Y32" s="10" t="s">
        <v>2028</v>
      </c>
      <c r="Z32" s="10" t="s">
        <v>2029</v>
      </c>
      <c r="AA32" s="84" t="s">
        <v>2030</v>
      </c>
      <c r="AB32" s="84" t="s">
        <v>1958</v>
      </c>
      <c r="AC32" s="10" t="s">
        <v>1837</v>
      </c>
      <c r="AD32" s="84" t="s">
        <v>2031</v>
      </c>
      <c r="AE32" s="84" t="s">
        <v>2032</v>
      </c>
      <c r="AF32" s="84" t="s">
        <v>1945</v>
      </c>
      <c r="AG32" s="84" t="s">
        <v>2033</v>
      </c>
      <c r="AH32" s="84" t="s">
        <v>1903</v>
      </c>
      <c r="AI32" s="84" t="s">
        <v>2034</v>
      </c>
      <c r="AJ32" s="10" t="s">
        <v>2035</v>
      </c>
      <c r="AK32" s="84" t="s">
        <v>2036</v>
      </c>
      <c r="AL32" s="84" t="s">
        <v>2037</v>
      </c>
      <c r="AM32" s="10" t="s">
        <v>2038</v>
      </c>
      <c r="AN32" s="84" t="s">
        <v>2039</v>
      </c>
      <c r="AO32" s="108"/>
      <c r="AP32" s="10" t="s">
        <v>2040</v>
      </c>
      <c r="AQ32" s="84" t="s">
        <v>1888</v>
      </c>
      <c r="AR32" s="10" t="s">
        <v>2041</v>
      </c>
      <c r="AS32" s="84" t="s">
        <v>2042</v>
      </c>
      <c r="AT32" s="84" t="s">
        <v>1727</v>
      </c>
      <c r="AU32" s="84" t="s">
        <v>1714</v>
      </c>
      <c r="AV32" s="10" t="s">
        <v>2043</v>
      </c>
      <c r="AW32" s="84" t="s">
        <v>2044</v>
      </c>
      <c r="AX32" s="84" t="s">
        <v>2045</v>
      </c>
      <c r="AY32" s="84" t="s">
        <v>2046</v>
      </c>
      <c r="AZ32" s="84" t="s">
        <v>2047</v>
      </c>
      <c r="BA32" s="84" t="s">
        <v>2048</v>
      </c>
      <c r="BB32" s="69"/>
      <c r="BC32" s="84" t="s">
        <v>1727</v>
      </c>
      <c r="BD32" s="84" t="s">
        <v>1956</v>
      </c>
      <c r="BE32" s="84" t="s">
        <v>2045</v>
      </c>
      <c r="BF32" s="84" t="s">
        <v>2049</v>
      </c>
      <c r="BG32" s="84" t="s">
        <v>2049</v>
      </c>
      <c r="BH32" s="84" t="s">
        <v>2050</v>
      </c>
      <c r="BI32" s="84" t="s">
        <v>2051</v>
      </c>
      <c r="BJ32" s="84" t="s">
        <v>2052</v>
      </c>
      <c r="BK32" s="84" t="s">
        <v>2053</v>
      </c>
      <c r="BL32" s="10" t="s">
        <v>2054</v>
      </c>
      <c r="BM32" s="84" t="s">
        <v>2050</v>
      </c>
      <c r="BN32" s="86" t="s">
        <v>598</v>
      </c>
    </row>
    <row r="33" ht="15.75" customHeight="1">
      <c r="A33" s="27">
        <v>45758.0</v>
      </c>
      <c r="B33" s="10"/>
      <c r="C33" s="84" t="s">
        <v>791</v>
      </c>
      <c r="D33" s="107"/>
      <c r="E33" s="84" t="s">
        <v>2055</v>
      </c>
      <c r="F33" s="84" t="s">
        <v>2055</v>
      </c>
      <c r="G33" s="10" t="s">
        <v>2056</v>
      </c>
      <c r="H33" s="84" t="s">
        <v>2057</v>
      </c>
      <c r="I33" s="84" t="s">
        <v>2058</v>
      </c>
      <c r="J33" s="84" t="s">
        <v>2020</v>
      </c>
      <c r="K33" s="84" t="s">
        <v>2059</v>
      </c>
      <c r="L33" s="84" t="s">
        <v>2060</v>
      </c>
      <c r="M33" s="112" t="s">
        <v>653</v>
      </c>
      <c r="N33" s="84" t="s">
        <v>2061</v>
      </c>
      <c r="O33" s="84" t="s">
        <v>1988</v>
      </c>
      <c r="P33" s="10" t="s">
        <v>2062</v>
      </c>
      <c r="Q33" s="84" t="s">
        <v>1903</v>
      </c>
      <c r="R33" s="84" t="s">
        <v>2063</v>
      </c>
      <c r="S33" s="84" t="s">
        <v>1888</v>
      </c>
      <c r="T33" s="84" t="s">
        <v>2064</v>
      </c>
      <c r="U33" s="84" t="s">
        <v>2052</v>
      </c>
      <c r="V33" s="10" t="s">
        <v>2065</v>
      </c>
      <c r="W33" s="84" t="s">
        <v>2049</v>
      </c>
      <c r="X33" s="84" t="s">
        <v>664</v>
      </c>
      <c r="Y33" s="84" t="s">
        <v>2034</v>
      </c>
      <c r="Z33" s="84" t="s">
        <v>2066</v>
      </c>
      <c r="AA33" s="84" t="s">
        <v>2067</v>
      </c>
      <c r="AB33" s="84" t="s">
        <v>1979</v>
      </c>
      <c r="AC33" s="10" t="s">
        <v>2068</v>
      </c>
      <c r="AD33" s="84" t="s">
        <v>2050</v>
      </c>
      <c r="AE33" s="84" t="s">
        <v>2069</v>
      </c>
      <c r="AF33" s="84" t="s">
        <v>660</v>
      </c>
      <c r="AG33" s="10" t="s">
        <v>2070</v>
      </c>
      <c r="AH33" s="84" t="s">
        <v>1885</v>
      </c>
      <c r="AI33" s="84" t="s">
        <v>2071</v>
      </c>
      <c r="AJ33" s="84" t="s">
        <v>660</v>
      </c>
      <c r="AK33" s="84" t="s">
        <v>2072</v>
      </c>
      <c r="AL33" s="84" t="s">
        <v>660</v>
      </c>
      <c r="AM33" s="10" t="s">
        <v>2073</v>
      </c>
      <c r="AN33" s="84" t="s">
        <v>2074</v>
      </c>
      <c r="AO33" s="108"/>
      <c r="AP33" s="10" t="s">
        <v>2075</v>
      </c>
      <c r="AQ33" s="84" t="s">
        <v>791</v>
      </c>
      <c r="AR33" s="10" t="s">
        <v>2076</v>
      </c>
      <c r="AS33" s="84" t="s">
        <v>2050</v>
      </c>
      <c r="AT33" s="84" t="s">
        <v>2077</v>
      </c>
      <c r="AU33" s="84" t="s">
        <v>2078</v>
      </c>
      <c r="AV33" s="84" t="s">
        <v>2079</v>
      </c>
      <c r="AW33" s="84" t="s">
        <v>2080</v>
      </c>
      <c r="AX33" s="84" t="s">
        <v>2045</v>
      </c>
      <c r="AY33" s="84" t="s">
        <v>660</v>
      </c>
      <c r="AZ33" s="84" t="s">
        <v>2081</v>
      </c>
      <c r="BA33" s="84" t="s">
        <v>664</v>
      </c>
      <c r="BB33" s="69"/>
      <c r="BC33" s="84" t="s">
        <v>2082</v>
      </c>
      <c r="BD33" s="84" t="s">
        <v>2083</v>
      </c>
      <c r="BE33" s="84" t="s">
        <v>2084</v>
      </c>
      <c r="BF33" s="84" t="s">
        <v>2085</v>
      </c>
      <c r="BG33" s="84" t="s">
        <v>2050</v>
      </c>
      <c r="BH33" s="84" t="s">
        <v>2050</v>
      </c>
      <c r="BI33" s="84" t="s">
        <v>2050</v>
      </c>
      <c r="BJ33" s="84" t="s">
        <v>2050</v>
      </c>
      <c r="BK33" s="84" t="s">
        <v>660</v>
      </c>
      <c r="BL33" s="10" t="s">
        <v>2086</v>
      </c>
      <c r="BM33" s="84" t="s">
        <v>2050</v>
      </c>
      <c r="BN33" s="86" t="s">
        <v>598</v>
      </c>
    </row>
    <row r="34" ht="15.75" customHeight="1">
      <c r="A34" s="27">
        <v>45761.0</v>
      </c>
      <c r="B34" s="10"/>
      <c r="C34" s="84" t="s">
        <v>2058</v>
      </c>
      <c r="D34" s="107"/>
      <c r="E34" s="84" t="s">
        <v>664</v>
      </c>
      <c r="F34" s="84" t="s">
        <v>2055</v>
      </c>
      <c r="G34" s="10" t="s">
        <v>2087</v>
      </c>
      <c r="H34" s="84" t="s">
        <v>1898</v>
      </c>
      <c r="I34" s="84" t="s">
        <v>2088</v>
      </c>
      <c r="J34" s="84" t="s">
        <v>2020</v>
      </c>
      <c r="K34" s="84" t="s">
        <v>2058</v>
      </c>
      <c r="L34" s="84" t="s">
        <v>2089</v>
      </c>
      <c r="M34" s="112" t="s">
        <v>2090</v>
      </c>
      <c r="N34" s="84" t="s">
        <v>2091</v>
      </c>
      <c r="O34" s="10" t="s">
        <v>2092</v>
      </c>
      <c r="P34" s="10" t="s">
        <v>2093</v>
      </c>
      <c r="Q34" s="84" t="s">
        <v>1903</v>
      </c>
      <c r="R34" s="10" t="s">
        <v>2094</v>
      </c>
      <c r="S34" s="84" t="s">
        <v>1838</v>
      </c>
      <c r="T34" s="84" t="s">
        <v>1742</v>
      </c>
      <c r="U34" s="84" t="s">
        <v>693</v>
      </c>
      <c r="V34" s="10" t="s">
        <v>2095</v>
      </c>
      <c r="W34" s="84" t="s">
        <v>1723</v>
      </c>
      <c r="X34" s="84" t="s">
        <v>1723</v>
      </c>
      <c r="Y34" s="84" t="s">
        <v>2096</v>
      </c>
      <c r="Z34" s="10" t="s">
        <v>2097</v>
      </c>
      <c r="AA34" s="10" t="s">
        <v>2098</v>
      </c>
      <c r="AB34" s="84" t="s">
        <v>2032</v>
      </c>
      <c r="AC34" s="10" t="s">
        <v>2099</v>
      </c>
      <c r="AD34" s="84" t="s">
        <v>2100</v>
      </c>
      <c r="AE34" s="84" t="s">
        <v>1777</v>
      </c>
      <c r="AF34" s="84" t="s">
        <v>1888</v>
      </c>
      <c r="AG34" s="84" t="s">
        <v>2101</v>
      </c>
      <c r="AH34" s="84" t="s">
        <v>1885</v>
      </c>
      <c r="AI34" s="84" t="s">
        <v>2102</v>
      </c>
      <c r="AJ34" s="84" t="s">
        <v>2103</v>
      </c>
      <c r="AK34" s="10" t="s">
        <v>2104</v>
      </c>
      <c r="AL34" s="10" t="s">
        <v>2105</v>
      </c>
      <c r="AM34" s="10" t="s">
        <v>2106</v>
      </c>
      <c r="AN34" s="84" t="s">
        <v>1865</v>
      </c>
      <c r="AO34" s="108"/>
      <c r="AP34" s="10" t="s">
        <v>1657</v>
      </c>
      <c r="AQ34" s="84" t="s">
        <v>791</v>
      </c>
      <c r="AR34" s="84" t="s">
        <v>2107</v>
      </c>
      <c r="AS34" s="84" t="s">
        <v>655</v>
      </c>
      <c r="AT34" s="84" t="s">
        <v>664</v>
      </c>
      <c r="AU34" s="84" t="s">
        <v>2019</v>
      </c>
      <c r="AV34" s="84" t="s">
        <v>1889</v>
      </c>
      <c r="AW34" s="84" t="s">
        <v>2080</v>
      </c>
      <c r="AX34" s="84" t="s">
        <v>1771</v>
      </c>
      <c r="AY34" s="84" t="s">
        <v>2108</v>
      </c>
      <c r="AZ34" s="84" t="s">
        <v>2109</v>
      </c>
      <c r="BA34" s="84" t="s">
        <v>2077</v>
      </c>
      <c r="BB34" s="69"/>
      <c r="BC34" s="84" t="s">
        <v>2078</v>
      </c>
      <c r="BD34" s="84" t="s">
        <v>2110</v>
      </c>
      <c r="BE34" s="84" t="s">
        <v>1898</v>
      </c>
      <c r="BF34" s="84" t="s">
        <v>1898</v>
      </c>
      <c r="BG34" s="84" t="s">
        <v>2000</v>
      </c>
      <c r="BH34" s="84" t="s">
        <v>2111</v>
      </c>
      <c r="BI34" s="84" t="s">
        <v>2039</v>
      </c>
      <c r="BJ34" s="84" t="s">
        <v>2039</v>
      </c>
      <c r="BK34" s="84" t="s">
        <v>2112</v>
      </c>
      <c r="BL34" s="84" t="s">
        <v>693</v>
      </c>
      <c r="BM34" s="84" t="s">
        <v>2108</v>
      </c>
      <c r="BN34" s="86" t="s">
        <v>2113</v>
      </c>
    </row>
    <row r="35" ht="15.75" customHeight="1">
      <c r="A35" s="30">
        <v>45762.0</v>
      </c>
      <c r="B35" s="10" t="s">
        <v>2114</v>
      </c>
      <c r="C35" s="84" t="s">
        <v>2115</v>
      </c>
      <c r="D35" s="107"/>
      <c r="E35" s="84" t="s">
        <v>2116</v>
      </c>
      <c r="F35" s="84" t="s">
        <v>2117</v>
      </c>
      <c r="G35" s="10" t="s">
        <v>2118</v>
      </c>
      <c r="H35" s="84" t="s">
        <v>2119</v>
      </c>
      <c r="I35" s="10" t="s">
        <v>2034</v>
      </c>
      <c r="J35" s="84" t="s">
        <v>2120</v>
      </c>
      <c r="K35" s="10" t="s">
        <v>2121</v>
      </c>
      <c r="L35" s="84" t="s">
        <v>2122</v>
      </c>
      <c r="M35" s="112" t="s">
        <v>653</v>
      </c>
      <c r="N35" s="10" t="s">
        <v>2123</v>
      </c>
      <c r="O35" s="84" t="s">
        <v>2080</v>
      </c>
      <c r="P35" s="10" t="s">
        <v>2124</v>
      </c>
      <c r="Q35" s="84" t="s">
        <v>2125</v>
      </c>
      <c r="R35" s="84" t="s">
        <v>859</v>
      </c>
      <c r="S35" s="84" t="s">
        <v>2030</v>
      </c>
      <c r="T35" s="84" t="s">
        <v>2126</v>
      </c>
      <c r="U35" s="84" t="s">
        <v>2127</v>
      </c>
      <c r="V35" s="10" t="s">
        <v>2128</v>
      </c>
      <c r="W35" s="84" t="s">
        <v>2129</v>
      </c>
      <c r="X35" s="84" t="s">
        <v>659</v>
      </c>
      <c r="Y35" s="84" t="s">
        <v>2130</v>
      </c>
      <c r="Z35" s="31" t="s">
        <v>2131</v>
      </c>
      <c r="AA35" s="10" t="s">
        <v>2132</v>
      </c>
      <c r="AB35" s="84" t="s">
        <v>659</v>
      </c>
      <c r="AC35" s="10" t="s">
        <v>2133</v>
      </c>
      <c r="AD35" s="84" t="s">
        <v>1898</v>
      </c>
      <c r="AE35" s="84" t="s">
        <v>2134</v>
      </c>
      <c r="AF35" s="84" t="s">
        <v>664</v>
      </c>
      <c r="AG35" s="84" t="s">
        <v>2017</v>
      </c>
      <c r="AH35" s="84" t="s">
        <v>2074</v>
      </c>
      <c r="AI35" s="84" t="s">
        <v>2135</v>
      </c>
      <c r="AJ35" s="84" t="s">
        <v>2085</v>
      </c>
      <c r="AK35" s="84" t="s">
        <v>2136</v>
      </c>
      <c r="AL35" s="84" t="s">
        <v>2137</v>
      </c>
      <c r="AM35" s="10" t="s">
        <v>2138</v>
      </c>
      <c r="AN35" s="84" t="s">
        <v>2139</v>
      </c>
      <c r="AO35" s="108"/>
      <c r="AP35" s="10" t="s">
        <v>2140</v>
      </c>
      <c r="AQ35" s="84" t="s">
        <v>2141</v>
      </c>
      <c r="AR35" s="84" t="s">
        <v>2142</v>
      </c>
      <c r="AS35" s="84" t="s">
        <v>2143</v>
      </c>
      <c r="AT35" s="84" t="s">
        <v>664</v>
      </c>
      <c r="AU35" s="84" t="s">
        <v>2144</v>
      </c>
      <c r="AV35" s="84" t="s">
        <v>2145</v>
      </c>
      <c r="AW35" s="84" t="s">
        <v>2146</v>
      </c>
      <c r="AX35" s="84" t="s">
        <v>2147</v>
      </c>
      <c r="AY35" s="84" t="s">
        <v>2085</v>
      </c>
      <c r="AZ35" s="84" t="s">
        <v>664</v>
      </c>
      <c r="BA35" s="84" t="s">
        <v>2148</v>
      </c>
      <c r="BB35" s="69"/>
      <c r="BC35" s="84" t="s">
        <v>2082</v>
      </c>
      <c r="BD35" s="84" t="s">
        <v>2149</v>
      </c>
      <c r="BE35" s="84" t="s">
        <v>2017</v>
      </c>
      <c r="BF35" s="84" t="s">
        <v>2150</v>
      </c>
      <c r="BG35" s="84" t="s">
        <v>2151</v>
      </c>
      <c r="BH35" s="84" t="s">
        <v>2049</v>
      </c>
      <c r="BI35" s="84" t="s">
        <v>2152</v>
      </c>
      <c r="BJ35" s="84" t="s">
        <v>2039</v>
      </c>
      <c r="BK35" s="84" t="s">
        <v>2153</v>
      </c>
      <c r="BL35" s="84" t="s">
        <v>2154</v>
      </c>
      <c r="BM35" s="84" t="s">
        <v>2039</v>
      </c>
      <c r="BN35" s="86" t="s">
        <v>598</v>
      </c>
    </row>
    <row r="36" ht="15.75" customHeight="1">
      <c r="A36" s="27">
        <v>45763.0</v>
      </c>
      <c r="B36" s="10"/>
      <c r="C36" s="84" t="s">
        <v>2155</v>
      </c>
      <c r="D36" s="107"/>
      <c r="E36" s="84" t="s">
        <v>2156</v>
      </c>
      <c r="F36" s="84" t="s">
        <v>2157</v>
      </c>
      <c r="G36" s="10" t="s">
        <v>2158</v>
      </c>
      <c r="H36" s="84" t="s">
        <v>2159</v>
      </c>
      <c r="I36" s="84" t="s">
        <v>2051</v>
      </c>
      <c r="J36" s="84" t="s">
        <v>2057</v>
      </c>
      <c r="K36" s="84" t="s">
        <v>2071</v>
      </c>
      <c r="L36" s="84" t="s">
        <v>2160</v>
      </c>
      <c r="M36" s="112" t="s">
        <v>653</v>
      </c>
      <c r="N36" s="84" t="s">
        <v>2161</v>
      </c>
      <c r="O36" s="84" t="s">
        <v>659</v>
      </c>
      <c r="P36" s="10" t="s">
        <v>2162</v>
      </c>
      <c r="Q36" s="84" t="s">
        <v>2163</v>
      </c>
      <c r="R36" s="84" t="s">
        <v>2164</v>
      </c>
      <c r="S36" s="84" t="s">
        <v>2165</v>
      </c>
      <c r="T36" s="84" t="s">
        <v>1723</v>
      </c>
      <c r="U36" s="84" t="s">
        <v>1973</v>
      </c>
      <c r="V36" s="10" t="s">
        <v>2166</v>
      </c>
      <c r="W36" s="84" t="s">
        <v>2167</v>
      </c>
      <c r="X36" s="84" t="s">
        <v>2168</v>
      </c>
      <c r="Y36" s="10" t="s">
        <v>2169</v>
      </c>
      <c r="Z36" s="10" t="s">
        <v>2170</v>
      </c>
      <c r="AA36" s="10" t="s">
        <v>2171</v>
      </c>
      <c r="AB36" s="84" t="s">
        <v>1721</v>
      </c>
      <c r="AC36" s="10" t="s">
        <v>2172</v>
      </c>
      <c r="AD36" s="84" t="s">
        <v>2173</v>
      </c>
      <c r="AE36" s="84" t="s">
        <v>2174</v>
      </c>
      <c r="AF36" s="84" t="s">
        <v>1865</v>
      </c>
      <c r="AG36" s="84" t="s">
        <v>2175</v>
      </c>
      <c r="AH36" s="84" t="s">
        <v>2176</v>
      </c>
      <c r="AI36" s="84" t="s">
        <v>1903</v>
      </c>
      <c r="AJ36" s="84" t="s">
        <v>1763</v>
      </c>
      <c r="AK36" s="10" t="s">
        <v>2177</v>
      </c>
      <c r="AL36" s="84" t="s">
        <v>2091</v>
      </c>
      <c r="AM36" s="84" t="s">
        <v>1903</v>
      </c>
      <c r="AN36" s="84" t="s">
        <v>1865</v>
      </c>
      <c r="AO36" s="108"/>
      <c r="AP36" s="10" t="s">
        <v>2178</v>
      </c>
      <c r="AQ36" s="84" t="s">
        <v>2179</v>
      </c>
      <c r="AR36" s="84" t="s">
        <v>2180</v>
      </c>
      <c r="AS36" s="84" t="s">
        <v>2091</v>
      </c>
      <c r="AT36" s="84" t="s">
        <v>1721</v>
      </c>
      <c r="AU36" s="84" t="s">
        <v>2181</v>
      </c>
      <c r="AV36" s="84" t="s">
        <v>2182</v>
      </c>
      <c r="AW36" s="84" t="s">
        <v>1941</v>
      </c>
      <c r="AX36" s="84" t="s">
        <v>2021</v>
      </c>
      <c r="AY36" s="84" t="s">
        <v>1763</v>
      </c>
      <c r="AZ36" s="84" t="s">
        <v>1945</v>
      </c>
      <c r="BA36" s="84" t="s">
        <v>1902</v>
      </c>
      <c r="BB36" s="69"/>
      <c r="BC36" s="84" t="s">
        <v>2183</v>
      </c>
      <c r="BD36" s="84" t="s">
        <v>2184</v>
      </c>
      <c r="BE36" s="84" t="s">
        <v>2154</v>
      </c>
      <c r="BF36" s="84" t="s">
        <v>1973</v>
      </c>
      <c r="BG36" s="84" t="s">
        <v>2185</v>
      </c>
      <c r="BH36" s="84" t="s">
        <v>1771</v>
      </c>
      <c r="BI36" s="84" t="s">
        <v>2186</v>
      </c>
      <c r="BJ36" s="84" t="s">
        <v>1714</v>
      </c>
      <c r="BK36" s="84" t="s">
        <v>2187</v>
      </c>
      <c r="BL36" s="84" t="s">
        <v>1714</v>
      </c>
      <c r="BM36" s="84" t="s">
        <v>2188</v>
      </c>
      <c r="BN36" s="86" t="s">
        <v>598</v>
      </c>
    </row>
    <row r="37" ht="15.75" customHeight="1">
      <c r="A37" s="27">
        <v>45764.0</v>
      </c>
      <c r="B37" s="10"/>
      <c r="C37" s="84" t="s">
        <v>1898</v>
      </c>
      <c r="D37" s="107"/>
      <c r="E37" s="84" t="s">
        <v>2116</v>
      </c>
      <c r="F37" s="84" t="s">
        <v>2152</v>
      </c>
      <c r="G37" s="10" t="s">
        <v>2189</v>
      </c>
      <c r="H37" s="84" t="s">
        <v>2190</v>
      </c>
      <c r="I37" s="84" t="s">
        <v>2191</v>
      </c>
      <c r="J37" s="84" t="s">
        <v>2081</v>
      </c>
      <c r="K37" s="84" t="s">
        <v>2071</v>
      </c>
      <c r="L37" s="84" t="s">
        <v>2192</v>
      </c>
      <c r="M37" s="112" t="s">
        <v>653</v>
      </c>
      <c r="N37" s="84" t="s">
        <v>1898</v>
      </c>
      <c r="O37" s="84" t="s">
        <v>2193</v>
      </c>
      <c r="P37" s="10" t="s">
        <v>2194</v>
      </c>
      <c r="Q37" s="84" t="s">
        <v>2195</v>
      </c>
      <c r="R37" s="84" t="s">
        <v>2196</v>
      </c>
      <c r="S37" s="84" t="s">
        <v>2197</v>
      </c>
      <c r="T37" s="84" t="s">
        <v>2198</v>
      </c>
      <c r="U37" s="84" t="s">
        <v>2199</v>
      </c>
      <c r="V37" s="10" t="s">
        <v>2200</v>
      </c>
      <c r="W37" s="84" t="s">
        <v>2201</v>
      </c>
      <c r="X37" s="84" t="s">
        <v>2085</v>
      </c>
      <c r="Y37" s="84" t="s">
        <v>2202</v>
      </c>
      <c r="Z37" s="10" t="s">
        <v>2203</v>
      </c>
      <c r="AA37" s="84" t="s">
        <v>2204</v>
      </c>
      <c r="AB37" s="84" t="s">
        <v>664</v>
      </c>
      <c r="AC37" s="10" t="s">
        <v>2205</v>
      </c>
      <c r="AD37" s="84" t="s">
        <v>2206</v>
      </c>
      <c r="AE37" s="84" t="s">
        <v>2058</v>
      </c>
      <c r="AF37" s="84" t="s">
        <v>1714</v>
      </c>
      <c r="AG37" s="10" t="s">
        <v>2207</v>
      </c>
      <c r="AH37" s="84" t="s">
        <v>2208</v>
      </c>
      <c r="AI37" s="84" t="s">
        <v>2209</v>
      </c>
      <c r="AJ37" s="84" t="s">
        <v>659</v>
      </c>
      <c r="AK37" s="10" t="s">
        <v>2210</v>
      </c>
      <c r="AL37" s="84" t="s">
        <v>2211</v>
      </c>
      <c r="AM37" s="84" t="s">
        <v>2212</v>
      </c>
      <c r="AN37" s="84" t="s">
        <v>2213</v>
      </c>
      <c r="AO37" s="108"/>
      <c r="AP37" s="10" t="s">
        <v>2214</v>
      </c>
      <c r="AQ37" s="84" t="s">
        <v>2108</v>
      </c>
      <c r="AR37" s="10" t="s">
        <v>2215</v>
      </c>
      <c r="AS37" s="84" t="s">
        <v>2154</v>
      </c>
      <c r="AT37" s="84" t="s">
        <v>2216</v>
      </c>
      <c r="AU37" s="84" t="s">
        <v>2217</v>
      </c>
      <c r="AV37" s="84" t="s">
        <v>2218</v>
      </c>
      <c r="AW37" s="84" t="s">
        <v>1941</v>
      </c>
      <c r="AX37" s="84" t="s">
        <v>2219</v>
      </c>
      <c r="AY37" s="84" t="s">
        <v>664</v>
      </c>
      <c r="AZ37" s="84" t="s">
        <v>2220</v>
      </c>
      <c r="BA37" s="84" t="s">
        <v>2078</v>
      </c>
      <c r="BB37" s="69"/>
      <c r="BC37" s="84" t="s">
        <v>2221</v>
      </c>
      <c r="BD37" s="84" t="s">
        <v>2222</v>
      </c>
      <c r="BE37" s="84" t="s">
        <v>2223</v>
      </c>
      <c r="BF37" s="84" t="s">
        <v>2204</v>
      </c>
      <c r="BG37" s="84" t="s">
        <v>2224</v>
      </c>
      <c r="BH37" s="84" t="s">
        <v>664</v>
      </c>
      <c r="BI37" s="84" t="s">
        <v>2225</v>
      </c>
      <c r="BJ37" s="84" t="s">
        <v>2226</v>
      </c>
      <c r="BK37" s="84" t="s">
        <v>2227</v>
      </c>
      <c r="BL37" s="84" t="s">
        <v>2071</v>
      </c>
      <c r="BM37" s="84" t="s">
        <v>2228</v>
      </c>
      <c r="BN37" s="86" t="s">
        <v>598</v>
      </c>
    </row>
    <row r="38" ht="15.75" customHeight="1">
      <c r="A38" s="24">
        <v>45765.0</v>
      </c>
      <c r="B38" s="10"/>
      <c r="C38" s="84" t="s">
        <v>2229</v>
      </c>
      <c r="D38" s="107"/>
      <c r="E38" s="84" t="s">
        <v>2230</v>
      </c>
      <c r="F38" s="84"/>
      <c r="G38" s="10"/>
      <c r="H38" s="84" t="s">
        <v>2231</v>
      </c>
      <c r="I38" s="84"/>
      <c r="J38" s="84" t="s">
        <v>2232</v>
      </c>
      <c r="K38" s="84" t="s">
        <v>2233</v>
      </c>
      <c r="L38" s="84" t="s">
        <v>2232</v>
      </c>
      <c r="M38" s="112" t="s">
        <v>2234</v>
      </c>
      <c r="N38" s="84"/>
      <c r="O38" s="84"/>
      <c r="P38" s="10"/>
      <c r="Q38" s="84"/>
      <c r="R38" s="84"/>
      <c r="S38" s="84"/>
      <c r="T38" s="84"/>
      <c r="U38" s="84"/>
      <c r="V38" s="10"/>
      <c r="W38" s="84"/>
      <c r="X38" s="84"/>
      <c r="Y38" s="84"/>
      <c r="Z38" s="10"/>
      <c r="AA38" s="84" t="s">
        <v>2229</v>
      </c>
      <c r="AB38" s="84" t="s">
        <v>2235</v>
      </c>
      <c r="AC38" s="10"/>
      <c r="AD38" s="84"/>
      <c r="AE38" s="84"/>
      <c r="AF38" s="84" t="s">
        <v>2236</v>
      </c>
      <c r="AG38" s="10"/>
      <c r="AH38" s="84"/>
      <c r="AI38" s="84" t="s">
        <v>2237</v>
      </c>
      <c r="AJ38" s="84" t="s">
        <v>2238</v>
      </c>
      <c r="AK38" s="10"/>
      <c r="AL38" s="84"/>
      <c r="AM38" s="84" t="s">
        <v>1669</v>
      </c>
      <c r="AN38" s="84" t="s">
        <v>1669</v>
      </c>
      <c r="AO38" s="108"/>
      <c r="AP38" s="10"/>
      <c r="AQ38" s="84"/>
      <c r="AR38" s="10"/>
      <c r="AS38" s="84"/>
      <c r="AT38" s="84" t="s">
        <v>1691</v>
      </c>
      <c r="AU38" s="84"/>
      <c r="AV38" s="84"/>
      <c r="AW38" s="84" t="s">
        <v>2239</v>
      </c>
      <c r="AX38" s="84"/>
      <c r="AY38" s="84" t="s">
        <v>2229</v>
      </c>
      <c r="AZ38" s="84" t="s">
        <v>2238</v>
      </c>
      <c r="BA38" s="84" t="s">
        <v>1668</v>
      </c>
      <c r="BB38" s="69"/>
      <c r="BC38" s="84" t="s">
        <v>2232</v>
      </c>
      <c r="BD38" s="84"/>
      <c r="BE38" s="84" t="s">
        <v>2229</v>
      </c>
      <c r="BF38" s="84"/>
      <c r="BG38" s="84"/>
      <c r="BH38" s="84"/>
      <c r="BI38" s="84"/>
      <c r="BJ38" s="84" t="s">
        <v>2240</v>
      </c>
      <c r="BK38" s="84"/>
      <c r="BL38" s="84"/>
      <c r="BM38" s="84"/>
      <c r="BN38" s="86" t="s">
        <v>2241</v>
      </c>
    </row>
    <row r="39" ht="15.75" customHeight="1">
      <c r="A39" s="27">
        <v>45768.0</v>
      </c>
      <c r="B39" s="10"/>
      <c r="C39" s="84" t="s">
        <v>1725</v>
      </c>
      <c r="D39" s="107"/>
      <c r="E39" s="84" t="s">
        <v>2242</v>
      </c>
      <c r="F39" s="84" t="s">
        <v>698</v>
      </c>
      <c r="G39" s="10" t="s">
        <v>2243</v>
      </c>
      <c r="H39" s="84" t="s">
        <v>1777</v>
      </c>
      <c r="I39" s="84" t="s">
        <v>660</v>
      </c>
      <c r="J39" s="84" t="s">
        <v>2213</v>
      </c>
      <c r="K39" s="84" t="s">
        <v>1838</v>
      </c>
      <c r="L39" s="84" t="s">
        <v>2244</v>
      </c>
      <c r="M39" s="112" t="s">
        <v>2245</v>
      </c>
      <c r="N39" s="84" t="s">
        <v>1838</v>
      </c>
      <c r="O39" s="84" t="s">
        <v>1865</v>
      </c>
      <c r="P39" s="84" t="s">
        <v>2246</v>
      </c>
      <c r="Q39" s="84" t="s">
        <v>660</v>
      </c>
      <c r="R39" s="84" t="s">
        <v>1742</v>
      </c>
      <c r="S39" s="84" t="s">
        <v>693</v>
      </c>
      <c r="T39" s="84" t="s">
        <v>693</v>
      </c>
      <c r="U39" s="84" t="s">
        <v>2247</v>
      </c>
      <c r="V39" s="10" t="s">
        <v>2248</v>
      </c>
      <c r="W39" s="84" t="s">
        <v>650</v>
      </c>
      <c r="X39" s="84" t="s">
        <v>2249</v>
      </c>
      <c r="Y39" s="84" t="s">
        <v>2250</v>
      </c>
      <c r="Z39" s="10" t="s">
        <v>2251</v>
      </c>
      <c r="AA39" s="84" t="s">
        <v>2252</v>
      </c>
      <c r="AB39" s="84" t="s">
        <v>2253</v>
      </c>
      <c r="AC39" s="84" t="s">
        <v>2254</v>
      </c>
      <c r="AD39" s="84" t="s">
        <v>2255</v>
      </c>
      <c r="AE39" s="84" t="s">
        <v>2256</v>
      </c>
      <c r="AF39" s="84" t="s">
        <v>2257</v>
      </c>
      <c r="AG39" s="84" t="s">
        <v>2258</v>
      </c>
      <c r="AH39" s="84" t="s">
        <v>2259</v>
      </c>
      <c r="AI39" s="84" t="s">
        <v>2260</v>
      </c>
      <c r="AJ39" s="84" t="s">
        <v>1903</v>
      </c>
      <c r="AK39" s="10" t="s">
        <v>2261</v>
      </c>
      <c r="AL39" s="84" t="s">
        <v>2262</v>
      </c>
      <c r="AM39" s="84" t="s">
        <v>2213</v>
      </c>
      <c r="AN39" s="84" t="s">
        <v>2019</v>
      </c>
      <c r="AO39" s="108"/>
      <c r="AP39" s="10" t="s">
        <v>2263</v>
      </c>
      <c r="AQ39" s="84" t="s">
        <v>1838</v>
      </c>
      <c r="AR39" s="84" t="s">
        <v>1771</v>
      </c>
      <c r="AS39" s="84" t="s">
        <v>660</v>
      </c>
      <c r="AT39" s="84" t="s">
        <v>1763</v>
      </c>
      <c r="AU39" s="84" t="s">
        <v>1763</v>
      </c>
      <c r="AV39" s="84" t="s">
        <v>655</v>
      </c>
      <c r="AW39" s="84" t="s">
        <v>2183</v>
      </c>
      <c r="AX39" s="84" t="s">
        <v>1906</v>
      </c>
      <c r="AY39" s="84" t="s">
        <v>2264</v>
      </c>
      <c r="AZ39" s="84" t="s">
        <v>2085</v>
      </c>
      <c r="BA39" s="84" t="s">
        <v>2036</v>
      </c>
      <c r="BB39" s="69"/>
      <c r="BC39" s="84" t="s">
        <v>1941</v>
      </c>
      <c r="BD39" s="84" t="s">
        <v>2265</v>
      </c>
      <c r="BE39" s="84" t="s">
        <v>660</v>
      </c>
      <c r="BF39" s="84" t="s">
        <v>2266</v>
      </c>
      <c r="BG39" s="84" t="s">
        <v>660</v>
      </c>
      <c r="BH39" s="84" t="s">
        <v>660</v>
      </c>
      <c r="BI39" s="84" t="s">
        <v>660</v>
      </c>
      <c r="BJ39" s="84" t="s">
        <v>2267</v>
      </c>
      <c r="BK39" s="84" t="s">
        <v>2250</v>
      </c>
      <c r="BL39" s="84" t="s">
        <v>660</v>
      </c>
      <c r="BM39" s="84" t="s">
        <v>2268</v>
      </c>
      <c r="BN39" s="86" t="s">
        <v>653</v>
      </c>
    </row>
    <row r="40" ht="15.75" customHeight="1">
      <c r="A40" s="27">
        <v>45769.0</v>
      </c>
      <c r="B40" s="10"/>
      <c r="C40" s="84" t="s">
        <v>2269</v>
      </c>
      <c r="D40" s="107"/>
      <c r="E40" s="113" t="s">
        <v>2152</v>
      </c>
      <c r="F40" s="84" t="s">
        <v>2270</v>
      </c>
      <c r="G40" s="84" t="s">
        <v>2050</v>
      </c>
      <c r="H40" s="84" t="s">
        <v>1462</v>
      </c>
      <c r="I40" s="84" t="s">
        <v>660</v>
      </c>
      <c r="J40" s="84" t="s">
        <v>2271</v>
      </c>
      <c r="K40" s="84" t="s">
        <v>2272</v>
      </c>
      <c r="L40" s="84" t="s">
        <v>2244</v>
      </c>
      <c r="M40" s="112" t="s">
        <v>2273</v>
      </c>
      <c r="N40" s="84" t="s">
        <v>2274</v>
      </c>
      <c r="O40" s="84" t="s">
        <v>2275</v>
      </c>
      <c r="P40" s="84" t="s">
        <v>2276</v>
      </c>
      <c r="Q40" s="84" t="s">
        <v>660</v>
      </c>
      <c r="R40" s="84" t="s">
        <v>2277</v>
      </c>
      <c r="S40" s="84" t="s">
        <v>660</v>
      </c>
      <c r="T40" s="84" t="s">
        <v>2278</v>
      </c>
      <c r="U40" s="84" t="s">
        <v>2112</v>
      </c>
      <c r="V40" s="10" t="s">
        <v>2279</v>
      </c>
      <c r="W40" s="84" t="s">
        <v>2112</v>
      </c>
      <c r="X40" s="84" t="s">
        <v>2237</v>
      </c>
      <c r="Y40" s="84" t="s">
        <v>2112</v>
      </c>
      <c r="Z40" s="10" t="s">
        <v>192</v>
      </c>
      <c r="AA40" s="84" t="s">
        <v>2280</v>
      </c>
      <c r="AB40" s="84" t="s">
        <v>2281</v>
      </c>
      <c r="AC40" s="84" t="s">
        <v>2282</v>
      </c>
      <c r="AD40" s="84" t="s">
        <v>660</v>
      </c>
      <c r="AE40" s="84" t="s">
        <v>2283</v>
      </c>
      <c r="AF40" s="84" t="s">
        <v>1691</v>
      </c>
      <c r="AG40" s="84" t="s">
        <v>2258</v>
      </c>
      <c r="AH40" s="84" t="s">
        <v>2259</v>
      </c>
      <c r="AI40" s="84" t="s">
        <v>2284</v>
      </c>
      <c r="AJ40" s="84" t="s">
        <v>2019</v>
      </c>
      <c r="AK40" s="10" t="s">
        <v>2285</v>
      </c>
      <c r="AL40" s="84" t="s">
        <v>2286</v>
      </c>
      <c r="AM40" s="84" t="s">
        <v>2244</v>
      </c>
      <c r="AN40" s="84" t="s">
        <v>1888</v>
      </c>
      <c r="AO40" s="108"/>
      <c r="AP40" s="10" t="s">
        <v>2287</v>
      </c>
      <c r="AQ40" s="84" t="s">
        <v>2288</v>
      </c>
      <c r="AR40" s="84" t="s">
        <v>1898</v>
      </c>
      <c r="AS40" s="84" t="s">
        <v>2289</v>
      </c>
      <c r="AT40" s="84" t="s">
        <v>1669</v>
      </c>
      <c r="AU40" s="84" t="s">
        <v>1669</v>
      </c>
      <c r="AV40" s="84" t="s">
        <v>650</v>
      </c>
      <c r="AW40" s="84" t="s">
        <v>2290</v>
      </c>
      <c r="AX40" s="84" t="s">
        <v>2233</v>
      </c>
      <c r="AY40" s="84" t="s">
        <v>2233</v>
      </c>
      <c r="AZ40" s="84" t="s">
        <v>2237</v>
      </c>
      <c r="BA40" s="84" t="s">
        <v>2291</v>
      </c>
      <c r="BB40" s="69"/>
      <c r="BC40" s="84" t="s">
        <v>2271</v>
      </c>
      <c r="BD40" s="84" t="s">
        <v>2158</v>
      </c>
      <c r="BE40" s="84" t="s">
        <v>660</v>
      </c>
      <c r="BF40" s="84" t="s">
        <v>2266</v>
      </c>
      <c r="BG40" s="84" t="s">
        <v>2080</v>
      </c>
      <c r="BH40" s="84" t="s">
        <v>660</v>
      </c>
      <c r="BI40" s="84" t="s">
        <v>660</v>
      </c>
      <c r="BJ40" s="84" t="s">
        <v>2232</v>
      </c>
      <c r="BK40" s="84" t="s">
        <v>2292</v>
      </c>
      <c r="BL40" s="84" t="s">
        <v>2278</v>
      </c>
      <c r="BM40" s="84" t="s">
        <v>2293</v>
      </c>
      <c r="BN40" s="86" t="s">
        <v>2294</v>
      </c>
    </row>
    <row r="41" ht="15.75" customHeight="1">
      <c r="A41" s="27">
        <v>45770.0</v>
      </c>
      <c r="B41" s="10"/>
      <c r="C41" s="84"/>
      <c r="D41" s="107"/>
      <c r="E41" s="84"/>
      <c r="F41" s="84"/>
      <c r="G41" s="84"/>
      <c r="H41" s="84"/>
      <c r="I41" s="84"/>
      <c r="J41" s="84" t="s">
        <v>2291</v>
      </c>
      <c r="K41" s="84" t="s">
        <v>2295</v>
      </c>
      <c r="L41" s="84" t="s">
        <v>2244</v>
      </c>
      <c r="M41" s="10" t="s">
        <v>2296</v>
      </c>
      <c r="N41" s="84"/>
      <c r="O41" s="84"/>
      <c r="P41" s="84"/>
      <c r="Q41" s="84"/>
      <c r="R41" s="84"/>
      <c r="S41" s="84"/>
      <c r="T41" s="84"/>
      <c r="U41" s="84"/>
      <c r="V41" s="10"/>
      <c r="W41" s="84"/>
      <c r="X41" s="84"/>
      <c r="Y41" s="84"/>
      <c r="Z41" s="10"/>
      <c r="AA41" s="84"/>
      <c r="AB41" s="84"/>
      <c r="AC41" s="84"/>
      <c r="AD41" s="84" t="s">
        <v>2297</v>
      </c>
      <c r="AE41" s="84"/>
      <c r="AF41" s="84" t="s">
        <v>2238</v>
      </c>
      <c r="AG41" s="84"/>
      <c r="AH41" s="84"/>
      <c r="AI41" s="84"/>
      <c r="AJ41" s="84" t="s">
        <v>2298</v>
      </c>
      <c r="AK41" s="10"/>
      <c r="AL41" s="84"/>
      <c r="AM41" s="84" t="s">
        <v>2244</v>
      </c>
      <c r="AN41" s="84" t="s">
        <v>1669</v>
      </c>
      <c r="AO41" s="108"/>
      <c r="AP41" s="10"/>
      <c r="AQ41" s="84"/>
      <c r="AR41" s="84"/>
      <c r="AS41" s="84"/>
      <c r="AT41" s="84" t="s">
        <v>1669</v>
      </c>
      <c r="AU41" s="84" t="s">
        <v>2236</v>
      </c>
      <c r="AV41" s="10"/>
      <c r="AW41" s="84" t="s">
        <v>2244</v>
      </c>
      <c r="AX41" s="84"/>
      <c r="AY41" s="84"/>
      <c r="AZ41" s="84" t="s">
        <v>2230</v>
      </c>
      <c r="BA41" s="84" t="s">
        <v>2291</v>
      </c>
      <c r="BB41" s="69"/>
      <c r="BC41" s="84" t="s">
        <v>2237</v>
      </c>
      <c r="BD41" s="84"/>
      <c r="BE41" s="84" t="s">
        <v>2202</v>
      </c>
      <c r="BF41" s="84"/>
      <c r="BG41" s="84"/>
      <c r="BH41" s="84" t="s">
        <v>1006</v>
      </c>
      <c r="BI41" s="84" t="s">
        <v>2299</v>
      </c>
      <c r="BJ41" s="84" t="s">
        <v>2291</v>
      </c>
      <c r="BK41" s="84"/>
      <c r="BL41" s="84"/>
      <c r="BM41" s="84" t="s">
        <v>2298</v>
      </c>
      <c r="BN41" s="86" t="s">
        <v>2300</v>
      </c>
    </row>
    <row r="42" ht="15.75" customHeight="1">
      <c r="A42" s="27">
        <v>45771.0</v>
      </c>
      <c r="B42" s="10"/>
      <c r="C42" s="84" t="s">
        <v>2301</v>
      </c>
      <c r="D42" s="107"/>
      <c r="E42" s="84" t="s">
        <v>2302</v>
      </c>
      <c r="F42" s="84" t="s">
        <v>2303</v>
      </c>
      <c r="G42" s="84" t="s">
        <v>2304</v>
      </c>
      <c r="H42" s="84" t="s">
        <v>2305</v>
      </c>
      <c r="I42" s="84" t="s">
        <v>2091</v>
      </c>
      <c r="J42" s="84" t="s">
        <v>2082</v>
      </c>
      <c r="K42" s="84" t="s">
        <v>2306</v>
      </c>
      <c r="L42" s="84" t="s">
        <v>2232</v>
      </c>
      <c r="M42" s="112" t="s">
        <v>2307</v>
      </c>
      <c r="N42" s="84" t="s">
        <v>2308</v>
      </c>
      <c r="O42" s="84" t="s">
        <v>2267</v>
      </c>
      <c r="P42" s="84" t="s">
        <v>2305</v>
      </c>
      <c r="Q42" s="84" t="s">
        <v>2309</v>
      </c>
      <c r="R42" s="84" t="s">
        <v>2310</v>
      </c>
      <c r="S42" s="84" t="s">
        <v>2311</v>
      </c>
      <c r="T42" s="84" t="s">
        <v>2312</v>
      </c>
      <c r="U42" s="84" t="s">
        <v>2313</v>
      </c>
      <c r="V42" s="10" t="s">
        <v>2314</v>
      </c>
      <c r="W42" s="84" t="s">
        <v>2030</v>
      </c>
      <c r="X42" s="84" t="s">
        <v>2315</v>
      </c>
      <c r="Y42" s="84" t="s">
        <v>2316</v>
      </c>
      <c r="Z42" s="10" t="s">
        <v>2317</v>
      </c>
      <c r="AA42" s="84" t="s">
        <v>2318</v>
      </c>
      <c r="AB42" s="84" t="s">
        <v>2319</v>
      </c>
      <c r="AC42" s="84" t="s">
        <v>2320</v>
      </c>
      <c r="AD42" s="84" t="s">
        <v>2321</v>
      </c>
      <c r="AE42" s="84" t="s">
        <v>2321</v>
      </c>
      <c r="AF42" s="84" t="s">
        <v>2053</v>
      </c>
      <c r="AG42" s="84" t="s">
        <v>2322</v>
      </c>
      <c r="AH42" s="84" t="s">
        <v>2323</v>
      </c>
      <c r="AI42" s="84" t="s">
        <v>2324</v>
      </c>
      <c r="AJ42" s="84" t="s">
        <v>2325</v>
      </c>
      <c r="AK42" s="10" t="s">
        <v>2326</v>
      </c>
      <c r="AL42" s="84" t="s">
        <v>660</v>
      </c>
      <c r="AM42" s="84" t="s">
        <v>2290</v>
      </c>
      <c r="AN42" s="84" t="s">
        <v>1668</v>
      </c>
      <c r="AO42" s="108"/>
      <c r="AP42" s="10" t="s">
        <v>2327</v>
      </c>
      <c r="AQ42" s="84" t="s">
        <v>2328</v>
      </c>
      <c r="AR42" s="84" t="s">
        <v>2329</v>
      </c>
      <c r="AS42" s="84" t="s">
        <v>2000</v>
      </c>
      <c r="AT42" s="84" t="s">
        <v>2108</v>
      </c>
      <c r="AU42" s="84" t="s">
        <v>2240</v>
      </c>
      <c r="AV42" s="10" t="s">
        <v>192</v>
      </c>
      <c r="AW42" s="84" t="s">
        <v>2244</v>
      </c>
      <c r="AX42" s="84" t="s">
        <v>1898</v>
      </c>
      <c r="AY42" s="84" t="s">
        <v>2330</v>
      </c>
      <c r="AZ42" s="84" t="s">
        <v>2108</v>
      </c>
      <c r="BA42" s="84" t="s">
        <v>2291</v>
      </c>
      <c r="BB42" s="69"/>
      <c r="BC42" s="84" t="s">
        <v>2331</v>
      </c>
      <c r="BD42" s="84" t="s">
        <v>2332</v>
      </c>
      <c r="BE42" s="84" t="s">
        <v>2091</v>
      </c>
      <c r="BF42" s="84" t="s">
        <v>2091</v>
      </c>
      <c r="BG42" s="84" t="s">
        <v>2333</v>
      </c>
      <c r="BH42" s="84" t="s">
        <v>2334</v>
      </c>
      <c r="BI42" s="84" t="s">
        <v>2019</v>
      </c>
      <c r="BJ42" s="84" t="s">
        <v>2291</v>
      </c>
      <c r="BK42" s="84" t="s">
        <v>664</v>
      </c>
      <c r="BL42" s="84" t="s">
        <v>2335</v>
      </c>
      <c r="BM42" s="84" t="s">
        <v>2019</v>
      </c>
      <c r="BN42" s="86" t="s">
        <v>653</v>
      </c>
    </row>
    <row r="43" ht="15.75" customHeight="1">
      <c r="A43" s="24">
        <v>45772.0</v>
      </c>
      <c r="B43" s="10"/>
      <c r="C43" s="84" t="s">
        <v>2301</v>
      </c>
      <c r="D43" s="107"/>
      <c r="E43" s="84" t="s">
        <v>2336</v>
      </c>
      <c r="F43" s="84" t="s">
        <v>2337</v>
      </c>
      <c r="G43" s="84" t="s">
        <v>2338</v>
      </c>
      <c r="H43" s="84" t="s">
        <v>2339</v>
      </c>
      <c r="I43" s="84" t="s">
        <v>2338</v>
      </c>
      <c r="J43" s="84" t="s">
        <v>2340</v>
      </c>
      <c r="K43" s="84" t="s">
        <v>2341</v>
      </c>
      <c r="L43" s="84" t="s">
        <v>2290</v>
      </c>
      <c r="M43" s="112" t="s">
        <v>653</v>
      </c>
      <c r="N43" s="84" t="s">
        <v>2337</v>
      </c>
      <c r="O43" s="84" t="s">
        <v>697</v>
      </c>
      <c r="P43" s="84" t="s">
        <v>2342</v>
      </c>
      <c r="Q43" s="84" t="s">
        <v>2338</v>
      </c>
      <c r="R43" s="84" t="s">
        <v>2342</v>
      </c>
      <c r="S43" s="84" t="s">
        <v>693</v>
      </c>
      <c r="T43" s="84" t="s">
        <v>2343</v>
      </c>
      <c r="U43" s="84" t="s">
        <v>2247</v>
      </c>
      <c r="V43" s="10" t="s">
        <v>2344</v>
      </c>
      <c r="W43" s="84" t="s">
        <v>2338</v>
      </c>
      <c r="X43" s="84" t="s">
        <v>2345</v>
      </c>
      <c r="Y43" s="84" t="s">
        <v>693</v>
      </c>
      <c r="Z43" s="10" t="s">
        <v>2346</v>
      </c>
      <c r="AA43" s="84" t="s">
        <v>2337</v>
      </c>
      <c r="AB43" s="84" t="s">
        <v>2347</v>
      </c>
      <c r="AC43" s="84" t="s">
        <v>693</v>
      </c>
      <c r="AD43" s="84" t="s">
        <v>693</v>
      </c>
      <c r="AE43" s="84" t="s">
        <v>2247</v>
      </c>
      <c r="AF43" s="84" t="s">
        <v>1714</v>
      </c>
      <c r="AG43" s="84" t="s">
        <v>693</v>
      </c>
      <c r="AH43" s="84" t="s">
        <v>693</v>
      </c>
      <c r="AI43" s="84" t="s">
        <v>2338</v>
      </c>
      <c r="AJ43" s="84" t="s">
        <v>2342</v>
      </c>
      <c r="AK43" s="10"/>
      <c r="AL43" s="84" t="s">
        <v>693</v>
      </c>
      <c r="AM43" s="84" t="s">
        <v>2290</v>
      </c>
      <c r="AN43" s="84" t="s">
        <v>1669</v>
      </c>
      <c r="AO43" s="108"/>
      <c r="AQ43" s="84" t="s">
        <v>2348</v>
      </c>
      <c r="AR43" s="84" t="s">
        <v>693</v>
      </c>
      <c r="AS43" s="84" t="s">
        <v>693</v>
      </c>
      <c r="AT43" s="84" t="s">
        <v>1763</v>
      </c>
      <c r="AU43" s="84" t="s">
        <v>1763</v>
      </c>
      <c r="AV43" s="10"/>
      <c r="AW43" s="84" t="s">
        <v>1714</v>
      </c>
      <c r="AX43" s="84" t="s">
        <v>693</v>
      </c>
      <c r="AY43" s="84" t="s">
        <v>2345</v>
      </c>
      <c r="AZ43" s="84" t="s">
        <v>699</v>
      </c>
      <c r="BA43" s="84" t="s">
        <v>1691</v>
      </c>
      <c r="BB43" s="69"/>
      <c r="BC43" s="84" t="s">
        <v>1668</v>
      </c>
      <c r="BD43" s="84" t="s">
        <v>2338</v>
      </c>
      <c r="BE43" s="84" t="s">
        <v>693</v>
      </c>
      <c r="BF43" s="84" t="s">
        <v>693</v>
      </c>
      <c r="BG43" s="84" t="s">
        <v>2342</v>
      </c>
      <c r="BH43" s="84" t="s">
        <v>693</v>
      </c>
      <c r="BI43" s="84" t="s">
        <v>693</v>
      </c>
      <c r="BJ43" s="84" t="s">
        <v>2237</v>
      </c>
      <c r="BK43" s="84" t="s">
        <v>693</v>
      </c>
      <c r="BL43" s="84" t="s">
        <v>2338</v>
      </c>
      <c r="BM43" s="84" t="s">
        <v>2342</v>
      </c>
      <c r="BN43" s="86" t="s">
        <v>653</v>
      </c>
    </row>
    <row r="44" ht="15.75" customHeight="1">
      <c r="A44" s="27">
        <v>45775.0</v>
      </c>
      <c r="B44" s="10" t="s">
        <v>2349</v>
      </c>
      <c r="C44" s="84" t="s">
        <v>2350</v>
      </c>
      <c r="D44" s="107"/>
      <c r="E44" s="84" t="s">
        <v>2351</v>
      </c>
      <c r="F44" s="84" t="s">
        <v>2352</v>
      </c>
      <c r="G44" s="84" t="s">
        <v>2353</v>
      </c>
      <c r="H44" s="84" t="s">
        <v>2181</v>
      </c>
      <c r="I44" s="84" t="s">
        <v>2354</v>
      </c>
      <c r="J44" s="84" t="s">
        <v>1763</v>
      </c>
      <c r="K44" s="84" t="s">
        <v>2202</v>
      </c>
      <c r="L44" s="84" t="s">
        <v>2271</v>
      </c>
      <c r="M44" s="112" t="s">
        <v>653</v>
      </c>
      <c r="N44" s="84" t="s">
        <v>2355</v>
      </c>
      <c r="O44" s="84" t="s">
        <v>2356</v>
      </c>
      <c r="P44" s="84" t="s">
        <v>2357</v>
      </c>
      <c r="Q44" s="84" t="s">
        <v>2202</v>
      </c>
      <c r="R44" s="84" t="s">
        <v>2342</v>
      </c>
      <c r="S44" s="84" t="s">
        <v>2181</v>
      </c>
      <c r="T44" s="84" t="s">
        <v>2358</v>
      </c>
      <c r="U44" s="84" t="s">
        <v>2313</v>
      </c>
      <c r="V44" s="10"/>
      <c r="W44" s="84" t="s">
        <v>2202</v>
      </c>
      <c r="X44" s="84" t="s">
        <v>2359</v>
      </c>
      <c r="Y44" s="84" t="s">
        <v>2359</v>
      </c>
      <c r="Z44" s="10"/>
      <c r="AA44" s="84" t="s">
        <v>2355</v>
      </c>
      <c r="AB44" s="84" t="s">
        <v>2360</v>
      </c>
      <c r="AC44" s="84" t="s">
        <v>2354</v>
      </c>
      <c r="AD44" s="84" t="s">
        <v>2361</v>
      </c>
      <c r="AE44" s="84" t="s">
        <v>2362</v>
      </c>
      <c r="AF44" s="84" t="s">
        <v>2342</v>
      </c>
      <c r="AG44" s="84" t="s">
        <v>2359</v>
      </c>
      <c r="AH44" s="84" t="s">
        <v>2363</v>
      </c>
      <c r="AI44" s="84" t="s">
        <v>2359</v>
      </c>
      <c r="AJ44" s="84" t="s">
        <v>2181</v>
      </c>
      <c r="AK44" s="10"/>
      <c r="AL44" s="84" t="s">
        <v>2181</v>
      </c>
      <c r="AM44" s="84" t="s">
        <v>2291</v>
      </c>
      <c r="AN44" s="84" t="s">
        <v>1668</v>
      </c>
      <c r="AO44" s="108"/>
      <c r="AP44" s="10"/>
      <c r="AQ44" s="84" t="s">
        <v>2348</v>
      </c>
      <c r="AR44" s="84" t="s">
        <v>2364</v>
      </c>
      <c r="AS44" s="84" t="s">
        <v>2358</v>
      </c>
      <c r="AT44" s="84" t="s">
        <v>1865</v>
      </c>
      <c r="AU44" s="84" t="s">
        <v>1721</v>
      </c>
      <c r="AV44" s="10"/>
      <c r="AW44" s="84" t="s">
        <v>2365</v>
      </c>
      <c r="AX44" s="84"/>
      <c r="AY44" s="84"/>
      <c r="AZ44" s="84" t="s">
        <v>2342</v>
      </c>
      <c r="BA44" s="84" t="s">
        <v>1691</v>
      </c>
      <c r="BB44" s="69"/>
      <c r="BC44" s="84" t="s">
        <v>1668</v>
      </c>
      <c r="BD44" s="84"/>
      <c r="BE44" s="84" t="s">
        <v>2366</v>
      </c>
      <c r="BF44" s="84" t="s">
        <v>2354</v>
      </c>
      <c r="BG44" s="84" t="s">
        <v>2342</v>
      </c>
      <c r="BH44" s="84" t="s">
        <v>2367</v>
      </c>
      <c r="BI44" s="84" t="s">
        <v>2368</v>
      </c>
      <c r="BJ44" s="84" t="s">
        <v>2232</v>
      </c>
      <c r="BK44" s="84" t="s">
        <v>2369</v>
      </c>
      <c r="BL44" s="84" t="s">
        <v>2370</v>
      </c>
      <c r="BM44" s="84" t="s">
        <v>2371</v>
      </c>
      <c r="BN44" s="86" t="s">
        <v>653</v>
      </c>
    </row>
    <row r="45" ht="15.75" customHeight="1">
      <c r="A45" s="27">
        <v>45777.0</v>
      </c>
      <c r="B45" s="10"/>
      <c r="C45" s="84" t="s">
        <v>2301</v>
      </c>
      <c r="D45" s="107"/>
      <c r="E45" s="84" t="s">
        <v>1903</v>
      </c>
      <c r="F45" s="84" t="s">
        <v>2372</v>
      </c>
      <c r="G45" s="84" t="s">
        <v>2250</v>
      </c>
      <c r="H45" s="84" t="s">
        <v>2373</v>
      </c>
      <c r="I45" s="84" t="s">
        <v>2374</v>
      </c>
      <c r="J45" s="84" t="s">
        <v>664</v>
      </c>
      <c r="K45" s="84" t="s">
        <v>2323</v>
      </c>
      <c r="L45" s="84" t="s">
        <v>2271</v>
      </c>
      <c r="M45" s="112" t="s">
        <v>653</v>
      </c>
      <c r="N45" s="84" t="s">
        <v>2375</v>
      </c>
      <c r="O45" s="84" t="s">
        <v>2376</v>
      </c>
      <c r="P45" s="84" t="s">
        <v>2377</v>
      </c>
      <c r="Q45" s="84" t="s">
        <v>2323</v>
      </c>
      <c r="R45" s="84" t="s">
        <v>664</v>
      </c>
      <c r="S45" s="84" t="s">
        <v>2378</v>
      </c>
      <c r="T45" s="84" t="s">
        <v>2379</v>
      </c>
      <c r="U45" s="84" t="s">
        <v>2380</v>
      </c>
      <c r="V45" s="10" t="s">
        <v>2381</v>
      </c>
      <c r="W45" s="84" t="s">
        <v>2382</v>
      </c>
      <c r="X45" s="84" t="s">
        <v>2383</v>
      </c>
      <c r="Y45" s="84" t="s">
        <v>660</v>
      </c>
      <c r="Z45" s="10" t="s">
        <v>192</v>
      </c>
      <c r="AA45" s="84" t="s">
        <v>2384</v>
      </c>
      <c r="AB45" s="84" t="s">
        <v>2385</v>
      </c>
      <c r="AC45" s="84" t="s">
        <v>2386</v>
      </c>
      <c r="AD45" s="84" t="s">
        <v>2387</v>
      </c>
      <c r="AE45" s="84" t="s">
        <v>2388</v>
      </c>
      <c r="AF45" s="84" t="s">
        <v>2288</v>
      </c>
      <c r="AG45" s="84" t="s">
        <v>2389</v>
      </c>
      <c r="AH45" s="84" t="s">
        <v>2390</v>
      </c>
      <c r="AI45" s="84" t="s">
        <v>2374</v>
      </c>
      <c r="AJ45" s="84" t="s">
        <v>664</v>
      </c>
      <c r="AK45" s="10" t="s">
        <v>192</v>
      </c>
      <c r="AL45" s="84" t="s">
        <v>2323</v>
      </c>
      <c r="AM45" s="84" t="s">
        <v>2267</v>
      </c>
      <c r="AN45" s="84" t="s">
        <v>2391</v>
      </c>
      <c r="AO45" s="108"/>
      <c r="AP45" s="10" t="s">
        <v>192</v>
      </c>
      <c r="AQ45" s="84" t="s">
        <v>2392</v>
      </c>
      <c r="AR45" s="10" t="s">
        <v>2393</v>
      </c>
      <c r="AS45" s="84" t="s">
        <v>2227</v>
      </c>
      <c r="AT45" s="84" t="s">
        <v>2394</v>
      </c>
      <c r="AU45" s="84" t="s">
        <v>2108</v>
      </c>
      <c r="AV45" s="84" t="s">
        <v>2395</v>
      </c>
      <c r="AW45" s="84" t="s">
        <v>2396</v>
      </c>
      <c r="AX45" s="84" t="s">
        <v>1898</v>
      </c>
      <c r="AY45" s="84" t="s">
        <v>2397</v>
      </c>
      <c r="AZ45" s="84" t="s">
        <v>2071</v>
      </c>
      <c r="BA45" s="84" t="s">
        <v>2077</v>
      </c>
      <c r="BB45" s="69"/>
      <c r="BC45" s="84" t="s">
        <v>2398</v>
      </c>
      <c r="BD45" s="84" t="s">
        <v>2323</v>
      </c>
      <c r="BE45" s="84" t="s">
        <v>2323</v>
      </c>
      <c r="BF45" s="84" t="s">
        <v>2227</v>
      </c>
      <c r="BG45" s="84" t="s">
        <v>1777</v>
      </c>
      <c r="BH45" s="84" t="s">
        <v>2399</v>
      </c>
      <c r="BI45" s="84" t="s">
        <v>2400</v>
      </c>
      <c r="BJ45" s="84" t="s">
        <v>2082</v>
      </c>
      <c r="BK45" s="84" t="s">
        <v>2401</v>
      </c>
      <c r="BL45" s="84" t="s">
        <v>2227</v>
      </c>
      <c r="BM45" s="10" t="s">
        <v>2402</v>
      </c>
      <c r="BN45" s="86" t="s">
        <v>653</v>
      </c>
    </row>
    <row r="46" ht="15.75" customHeight="1">
      <c r="A46" s="27">
        <v>45778.0</v>
      </c>
      <c r="B46" s="10"/>
      <c r="C46" s="84" t="s">
        <v>2403</v>
      </c>
      <c r="D46" s="107"/>
      <c r="E46" s="84" t="s">
        <v>2404</v>
      </c>
      <c r="F46" s="84" t="s">
        <v>2278</v>
      </c>
      <c r="G46" s="84" t="s">
        <v>2405</v>
      </c>
      <c r="H46" s="84" t="s">
        <v>2406</v>
      </c>
      <c r="I46" s="84" t="s">
        <v>2112</v>
      </c>
      <c r="J46" s="84" t="s">
        <v>791</v>
      </c>
      <c r="K46" s="84" t="s">
        <v>2074</v>
      </c>
      <c r="L46" s="84" t="s">
        <v>2290</v>
      </c>
      <c r="M46" s="114" t="s">
        <v>653</v>
      </c>
      <c r="N46" s="84" t="s">
        <v>2407</v>
      </c>
      <c r="O46" s="84" t="s">
        <v>2408</v>
      </c>
      <c r="P46" s="84" t="s">
        <v>2409</v>
      </c>
      <c r="Q46" s="84" t="s">
        <v>2154</v>
      </c>
      <c r="R46" s="84" t="s">
        <v>664</v>
      </c>
      <c r="S46" s="84" t="s">
        <v>2410</v>
      </c>
      <c r="T46" s="84" t="s">
        <v>2301</v>
      </c>
      <c r="U46" s="84" t="s">
        <v>2411</v>
      </c>
      <c r="V46" s="84" t="s">
        <v>2301</v>
      </c>
      <c r="W46" s="84" t="s">
        <v>2034</v>
      </c>
      <c r="X46" s="10" t="s">
        <v>192</v>
      </c>
      <c r="Y46" s="84" t="s">
        <v>2412</v>
      </c>
      <c r="Z46" s="10" t="s">
        <v>192</v>
      </c>
      <c r="AA46" s="84" t="s">
        <v>2413</v>
      </c>
      <c r="AB46" s="84" t="s">
        <v>2414</v>
      </c>
      <c r="AC46" s="10" t="s">
        <v>2415</v>
      </c>
      <c r="AD46" s="84" t="s">
        <v>660</v>
      </c>
      <c r="AE46" s="84" t="s">
        <v>2416</v>
      </c>
      <c r="AF46" s="84" t="s">
        <v>2417</v>
      </c>
      <c r="AG46" s="10" t="s">
        <v>2418</v>
      </c>
      <c r="AH46" s="84" t="s">
        <v>2108</v>
      </c>
      <c r="AI46" s="84" t="s">
        <v>2419</v>
      </c>
      <c r="AJ46" s="84" t="s">
        <v>2019</v>
      </c>
      <c r="AK46" s="10" t="s">
        <v>192</v>
      </c>
      <c r="AL46" s="84" t="s">
        <v>2420</v>
      </c>
      <c r="AM46" s="84" t="s">
        <v>2082</v>
      </c>
      <c r="AN46" s="10" t="s">
        <v>2421</v>
      </c>
      <c r="AO46" s="108"/>
      <c r="AP46" s="10" t="s">
        <v>192</v>
      </c>
      <c r="AQ46" s="84" t="s">
        <v>2422</v>
      </c>
      <c r="AR46" s="84" t="s">
        <v>2423</v>
      </c>
      <c r="AS46" s="84" t="s">
        <v>2112</v>
      </c>
      <c r="AT46" s="84" t="s">
        <v>2071</v>
      </c>
      <c r="AU46" s="84" t="s">
        <v>659</v>
      </c>
      <c r="AV46" s="84" t="s">
        <v>2325</v>
      </c>
      <c r="AW46" s="84" t="s">
        <v>2424</v>
      </c>
      <c r="AX46" s="84" t="s">
        <v>2019</v>
      </c>
      <c r="AY46" s="84" t="s">
        <v>2425</v>
      </c>
      <c r="AZ46" s="84" t="s">
        <v>1721</v>
      </c>
      <c r="BA46" s="84" t="s">
        <v>2148</v>
      </c>
      <c r="BB46" s="69"/>
      <c r="BC46" s="84" t="s">
        <v>1962</v>
      </c>
      <c r="BD46" s="84" t="s">
        <v>2426</v>
      </c>
      <c r="BE46" s="84" t="s">
        <v>2410</v>
      </c>
      <c r="BF46" s="84" t="s">
        <v>2392</v>
      </c>
      <c r="BG46" s="84" t="s">
        <v>1763</v>
      </c>
      <c r="BH46" s="84" t="s">
        <v>2427</v>
      </c>
      <c r="BI46" s="84" t="s">
        <v>1903</v>
      </c>
      <c r="BJ46" s="84" t="s">
        <v>2078</v>
      </c>
      <c r="BK46" s="84" t="s">
        <v>1906</v>
      </c>
      <c r="BL46" s="84" t="s">
        <v>2428</v>
      </c>
      <c r="BM46" s="10" t="s">
        <v>2429</v>
      </c>
      <c r="BN46" s="86" t="s">
        <v>653</v>
      </c>
    </row>
    <row r="47" ht="15.75" customHeight="1">
      <c r="A47" s="27">
        <v>45779.0</v>
      </c>
      <c r="B47" s="10"/>
      <c r="C47" s="13" t="s">
        <v>2235</v>
      </c>
      <c r="D47" s="107"/>
      <c r="E47" s="10" t="s">
        <v>2430</v>
      </c>
      <c r="G47" s="10" t="s">
        <v>2235</v>
      </c>
      <c r="H47" s="10"/>
      <c r="I47" s="10"/>
      <c r="J47" s="10" t="s">
        <v>2281</v>
      </c>
      <c r="K47" s="10" t="s">
        <v>2235</v>
      </c>
      <c r="L47" s="10" t="s">
        <v>2232</v>
      </c>
      <c r="M47" s="10" t="s">
        <v>653</v>
      </c>
      <c r="N47" s="10" t="s">
        <v>2281</v>
      </c>
      <c r="O47" s="10"/>
      <c r="P47" s="10" t="s">
        <v>2281</v>
      </c>
      <c r="Q47" s="10"/>
      <c r="R47" s="10" t="s">
        <v>2229</v>
      </c>
      <c r="S47" s="10"/>
      <c r="T47" s="10" t="s">
        <v>2235</v>
      </c>
      <c r="U47" s="10"/>
      <c r="V47" s="10"/>
      <c r="W47" s="10"/>
      <c r="X47" s="10"/>
      <c r="Y47" s="10"/>
      <c r="Z47" s="10"/>
      <c r="AA47" s="10"/>
      <c r="AB47" s="10" t="s">
        <v>2281</v>
      </c>
      <c r="AC47" s="10"/>
      <c r="AD47" s="10" t="s">
        <v>2431</v>
      </c>
      <c r="AE47" s="10"/>
      <c r="AF47" s="10" t="s">
        <v>1669</v>
      </c>
      <c r="AG47" s="10"/>
      <c r="AH47" s="10" t="s">
        <v>1669</v>
      </c>
      <c r="AI47" s="10"/>
      <c r="AJ47" s="10" t="s">
        <v>2233</v>
      </c>
      <c r="AK47" s="10" t="s">
        <v>2432</v>
      </c>
      <c r="AL47" s="10" t="s">
        <v>2237</v>
      </c>
      <c r="AM47" s="10" t="s">
        <v>2290</v>
      </c>
      <c r="AN47" s="10" t="s">
        <v>2238</v>
      </c>
      <c r="AO47" s="108"/>
      <c r="AP47" s="10"/>
      <c r="AQ47" s="10" t="s">
        <v>2433</v>
      </c>
      <c r="AR47" s="10" t="s">
        <v>2434</v>
      </c>
      <c r="AS47" s="10"/>
      <c r="AT47" s="10" t="s">
        <v>2238</v>
      </c>
      <c r="AU47" s="10" t="s">
        <v>2238</v>
      </c>
      <c r="AV47" s="10" t="s">
        <v>2434</v>
      </c>
      <c r="AW47" s="10" t="s">
        <v>2290</v>
      </c>
      <c r="AX47" s="10"/>
      <c r="AY47" s="10"/>
      <c r="AZ47" s="10" t="s">
        <v>2435</v>
      </c>
      <c r="BA47" s="10" t="s">
        <v>2244</v>
      </c>
      <c r="BB47" s="69"/>
      <c r="BC47" s="10" t="s">
        <v>1691</v>
      </c>
      <c r="BD47" s="10"/>
      <c r="BE47" s="10"/>
      <c r="BF47" s="10" t="s">
        <v>2436</v>
      </c>
      <c r="BG47" s="10" t="s">
        <v>2229</v>
      </c>
      <c r="BH47" s="10" t="s">
        <v>2375</v>
      </c>
      <c r="BI47" s="10"/>
      <c r="BJ47" s="10" t="s">
        <v>2437</v>
      </c>
      <c r="BK47" s="10"/>
      <c r="BL47" s="10" t="s">
        <v>2375</v>
      </c>
      <c r="BM47" s="10"/>
      <c r="BN47" s="10" t="s">
        <v>653</v>
      </c>
    </row>
    <row r="48" ht="15.75" customHeight="1">
      <c r="A48" s="27">
        <v>45782.0</v>
      </c>
      <c r="B48" s="10"/>
      <c r="C48" s="84" t="s">
        <v>655</v>
      </c>
      <c r="D48" s="107"/>
      <c r="E48" s="84" t="s">
        <v>655</v>
      </c>
      <c r="F48" s="84" t="s">
        <v>2438</v>
      </c>
      <c r="G48" s="84" t="s">
        <v>655</v>
      </c>
      <c r="H48" s="84" t="s">
        <v>2439</v>
      </c>
      <c r="I48" s="84" t="s">
        <v>698</v>
      </c>
      <c r="J48" s="84" t="s">
        <v>2440</v>
      </c>
      <c r="K48" s="84" t="s">
        <v>2441</v>
      </c>
      <c r="L48" s="84" t="s">
        <v>2077</v>
      </c>
      <c r="M48" s="112" t="s">
        <v>653</v>
      </c>
      <c r="N48" s="84" t="s">
        <v>2442</v>
      </c>
      <c r="O48" s="84" t="s">
        <v>2443</v>
      </c>
      <c r="P48" s="84" t="s">
        <v>2444</v>
      </c>
      <c r="Q48" s="84" t="s">
        <v>2445</v>
      </c>
      <c r="R48" s="84" t="s">
        <v>2108</v>
      </c>
      <c r="S48" s="84" t="s">
        <v>2446</v>
      </c>
      <c r="T48" s="84" t="s">
        <v>2278</v>
      </c>
      <c r="U48" s="84" t="s">
        <v>650</v>
      </c>
      <c r="V48" s="84" t="s">
        <v>2447</v>
      </c>
      <c r="W48" s="84" t="s">
        <v>2448</v>
      </c>
      <c r="X48" s="84" t="s">
        <v>2449</v>
      </c>
      <c r="Y48" s="84" t="s">
        <v>655</v>
      </c>
      <c r="Z48" s="10" t="s">
        <v>192</v>
      </c>
      <c r="AA48" s="84" t="s">
        <v>2450</v>
      </c>
      <c r="AB48" s="84" t="s">
        <v>664</v>
      </c>
      <c r="AC48" s="84" t="s">
        <v>2451</v>
      </c>
      <c r="AD48" s="84" t="s">
        <v>2452</v>
      </c>
      <c r="AE48" s="84" t="s">
        <v>2453</v>
      </c>
      <c r="AF48" s="84" t="s">
        <v>2454</v>
      </c>
      <c r="AG48" s="10" t="s">
        <v>2455</v>
      </c>
      <c r="AH48" s="84" t="s">
        <v>659</v>
      </c>
      <c r="AI48" s="84" t="s">
        <v>2456</v>
      </c>
      <c r="AJ48" s="84" t="s">
        <v>664</v>
      </c>
      <c r="AK48" s="10"/>
      <c r="AL48" s="84" t="s">
        <v>2082</v>
      </c>
      <c r="AM48" s="84" t="s">
        <v>2457</v>
      </c>
      <c r="AN48" s="84" t="s">
        <v>659</v>
      </c>
      <c r="AO48" s="108"/>
      <c r="AP48" s="10"/>
      <c r="AQ48" s="84" t="s">
        <v>2392</v>
      </c>
      <c r="AR48" s="84" t="s">
        <v>2458</v>
      </c>
      <c r="AS48" s="84" t="s">
        <v>2112</v>
      </c>
      <c r="AT48" s="84" t="s">
        <v>2108</v>
      </c>
      <c r="AU48" s="84" t="s">
        <v>2108</v>
      </c>
      <c r="AV48" s="84" t="s">
        <v>650</v>
      </c>
      <c r="AW48" s="84" t="s">
        <v>2082</v>
      </c>
      <c r="AX48" s="84" t="s">
        <v>2051</v>
      </c>
      <c r="AY48" s="84" t="s">
        <v>1906</v>
      </c>
      <c r="AZ48" s="84" t="s">
        <v>664</v>
      </c>
      <c r="BA48" s="84" t="s">
        <v>2459</v>
      </c>
      <c r="BB48" s="69"/>
      <c r="BC48" s="84" t="s">
        <v>2148</v>
      </c>
      <c r="BD48" s="84" t="s">
        <v>2460</v>
      </c>
      <c r="BE48" s="84" t="s">
        <v>2461</v>
      </c>
      <c r="BF48" s="84" t="s">
        <v>2462</v>
      </c>
      <c r="BG48" s="84" t="s">
        <v>2108</v>
      </c>
      <c r="BH48" s="84" t="s">
        <v>2463</v>
      </c>
      <c r="BI48" s="84" t="s">
        <v>2278</v>
      </c>
      <c r="BJ48" s="84" t="s">
        <v>2464</v>
      </c>
      <c r="BK48" s="84" t="s">
        <v>660</v>
      </c>
      <c r="BL48" s="84" t="s">
        <v>2465</v>
      </c>
      <c r="BM48" s="84" t="s">
        <v>2036</v>
      </c>
      <c r="BN48" s="86" t="s">
        <v>653</v>
      </c>
    </row>
    <row r="49" ht="15.75" customHeight="1">
      <c r="A49" s="27">
        <v>45783.0</v>
      </c>
      <c r="B49" s="10"/>
      <c r="C49" s="113" t="s">
        <v>655</v>
      </c>
      <c r="D49" s="107"/>
      <c r="E49" s="84" t="s">
        <v>655</v>
      </c>
      <c r="F49" s="84" t="s">
        <v>1906</v>
      </c>
      <c r="G49" s="84" t="s">
        <v>655</v>
      </c>
      <c r="H49" s="84" t="s">
        <v>650</v>
      </c>
      <c r="I49" s="84"/>
      <c r="J49" s="84" t="s">
        <v>2230</v>
      </c>
      <c r="K49" s="84"/>
      <c r="L49" s="84" t="s">
        <v>2232</v>
      </c>
      <c r="M49" s="112" t="s">
        <v>653</v>
      </c>
      <c r="N49" s="84" t="s">
        <v>2433</v>
      </c>
      <c r="O49" s="10"/>
      <c r="P49" s="84" t="s">
        <v>2466</v>
      </c>
      <c r="Q49" s="84"/>
      <c r="R49" s="84" t="s">
        <v>1669</v>
      </c>
      <c r="S49" s="84"/>
      <c r="T49" s="84"/>
      <c r="U49" s="84"/>
      <c r="V49" s="84"/>
      <c r="W49" s="84"/>
      <c r="X49" s="84" t="s">
        <v>2238</v>
      </c>
      <c r="Y49" s="84"/>
      <c r="Z49" s="10"/>
      <c r="AA49" s="84"/>
      <c r="AB49" s="84" t="s">
        <v>2230</v>
      </c>
      <c r="AC49" s="84" t="s">
        <v>2230</v>
      </c>
      <c r="AD49" s="84" t="s">
        <v>2233</v>
      </c>
      <c r="AE49" s="84"/>
      <c r="AF49" s="84"/>
      <c r="AG49" s="10" t="s">
        <v>650</v>
      </c>
      <c r="AH49" s="84" t="s">
        <v>2230</v>
      </c>
      <c r="AI49" s="84" t="s">
        <v>2233</v>
      </c>
      <c r="AJ49" s="84" t="s">
        <v>2230</v>
      </c>
      <c r="AK49" s="10"/>
      <c r="AL49" s="84" t="s">
        <v>2244</v>
      </c>
      <c r="AM49" s="84" t="s">
        <v>2290</v>
      </c>
      <c r="AN49" s="84" t="s">
        <v>1669</v>
      </c>
      <c r="AO49" s="108"/>
      <c r="AP49" s="10"/>
      <c r="AQ49" s="84" t="s">
        <v>2467</v>
      </c>
      <c r="AR49" s="84" t="s">
        <v>2467</v>
      </c>
      <c r="AS49" s="84"/>
      <c r="AT49" s="84" t="s">
        <v>2229</v>
      </c>
      <c r="AU49" s="84" t="s">
        <v>1669</v>
      </c>
      <c r="AV49" s="84"/>
      <c r="AW49" s="84" t="s">
        <v>2271</v>
      </c>
      <c r="AX49" s="84" t="s">
        <v>2233</v>
      </c>
      <c r="AY49" s="84"/>
      <c r="AZ49" s="84" t="s">
        <v>2298</v>
      </c>
      <c r="BA49" s="84" t="s">
        <v>2238</v>
      </c>
      <c r="BB49" s="69"/>
      <c r="BC49" s="84" t="s">
        <v>1691</v>
      </c>
      <c r="BD49" s="84"/>
      <c r="BE49" s="84"/>
      <c r="BF49" s="84" t="s">
        <v>2281</v>
      </c>
      <c r="BG49" s="84" t="s">
        <v>2298</v>
      </c>
      <c r="BH49" s="84"/>
      <c r="BI49" s="84"/>
      <c r="BJ49" s="84" t="s">
        <v>2236</v>
      </c>
      <c r="BK49" s="84"/>
      <c r="BL49" s="84"/>
      <c r="BM49" s="84" t="s">
        <v>2430</v>
      </c>
      <c r="BN49" s="86" t="s">
        <v>653</v>
      </c>
    </row>
    <row r="50" ht="15.75" customHeight="1">
      <c r="A50" s="27">
        <v>45784.0</v>
      </c>
      <c r="B50" s="10"/>
      <c r="C50" s="113" t="s">
        <v>2468</v>
      </c>
      <c r="D50" s="107"/>
      <c r="E50" s="84" t="s">
        <v>2468</v>
      </c>
      <c r="F50" s="84" t="s">
        <v>2469</v>
      </c>
      <c r="G50" s="84" t="s">
        <v>2470</v>
      </c>
      <c r="H50" s="84" t="s">
        <v>2471</v>
      </c>
      <c r="I50" s="84" t="s">
        <v>2472</v>
      </c>
      <c r="J50" s="84" t="s">
        <v>659</v>
      </c>
      <c r="K50" s="84" t="s">
        <v>2473</v>
      </c>
      <c r="L50" s="84" t="s">
        <v>2396</v>
      </c>
      <c r="M50" s="112" t="s">
        <v>653</v>
      </c>
      <c r="N50" s="84" t="s">
        <v>2474</v>
      </c>
      <c r="O50" s="10" t="s">
        <v>2475</v>
      </c>
      <c r="P50" s="84" t="s">
        <v>2476</v>
      </c>
      <c r="Q50" s="84" t="s">
        <v>2477</v>
      </c>
      <c r="R50" s="84" t="s">
        <v>664</v>
      </c>
      <c r="S50" s="84" t="s">
        <v>2478</v>
      </c>
      <c r="T50" s="84" t="s">
        <v>2479</v>
      </c>
      <c r="U50" s="84" t="s">
        <v>2480</v>
      </c>
      <c r="V50" s="84" t="s">
        <v>2468</v>
      </c>
      <c r="W50" s="84" t="s">
        <v>2481</v>
      </c>
      <c r="X50" s="84" t="s">
        <v>2080</v>
      </c>
      <c r="Y50" s="84" t="s">
        <v>2481</v>
      </c>
      <c r="Z50" s="10"/>
      <c r="AA50" s="84" t="s">
        <v>2482</v>
      </c>
      <c r="AB50" s="84" t="s">
        <v>664</v>
      </c>
      <c r="AC50" s="84" t="s">
        <v>2071</v>
      </c>
      <c r="AD50" s="84" t="s">
        <v>2483</v>
      </c>
      <c r="AE50" s="84" t="s">
        <v>2484</v>
      </c>
      <c r="AF50" s="84" t="s">
        <v>2485</v>
      </c>
      <c r="AG50" s="10" t="s">
        <v>2486</v>
      </c>
      <c r="AH50" s="84" t="s">
        <v>1721</v>
      </c>
      <c r="AI50" s="84" t="s">
        <v>2487</v>
      </c>
      <c r="AJ50" s="84" t="s">
        <v>2319</v>
      </c>
      <c r="AK50" s="10" t="s">
        <v>2488</v>
      </c>
      <c r="AL50" s="84" t="s">
        <v>1941</v>
      </c>
      <c r="AM50" s="84" t="s">
        <v>1727</v>
      </c>
      <c r="AN50" s="84" t="s">
        <v>791</v>
      </c>
      <c r="AO50" s="108"/>
      <c r="AP50" s="10" t="s">
        <v>2489</v>
      </c>
      <c r="AQ50" s="84" t="s">
        <v>2490</v>
      </c>
      <c r="AR50" s="84" t="s">
        <v>2491</v>
      </c>
      <c r="AS50" s="84" t="s">
        <v>2492</v>
      </c>
      <c r="AT50" s="84" t="s">
        <v>664</v>
      </c>
      <c r="AU50" s="84" t="s">
        <v>2493</v>
      </c>
      <c r="AV50" s="84" t="s">
        <v>2494</v>
      </c>
      <c r="AW50" s="84" t="s">
        <v>2424</v>
      </c>
      <c r="AX50" s="84" t="s">
        <v>2064</v>
      </c>
      <c r="AY50" s="84" t="s">
        <v>2495</v>
      </c>
      <c r="AZ50" s="84" t="s">
        <v>2496</v>
      </c>
      <c r="BA50" s="84" t="s">
        <v>2497</v>
      </c>
      <c r="BB50" s="69"/>
      <c r="BC50" s="84" t="s">
        <v>2148</v>
      </c>
      <c r="BD50" s="84" t="s">
        <v>2481</v>
      </c>
      <c r="BE50" s="84" t="s">
        <v>2498</v>
      </c>
      <c r="BF50" s="84" t="s">
        <v>2499</v>
      </c>
      <c r="BG50" s="84" t="s">
        <v>2500</v>
      </c>
      <c r="BH50" s="84" t="s">
        <v>2501</v>
      </c>
      <c r="BI50" s="84" t="s">
        <v>2502</v>
      </c>
      <c r="BJ50" s="84" t="s">
        <v>2503</v>
      </c>
      <c r="BK50" s="84" t="s">
        <v>2504</v>
      </c>
      <c r="BL50" s="84" t="s">
        <v>1898</v>
      </c>
      <c r="BM50" s="84" t="s">
        <v>2085</v>
      </c>
      <c r="BN50" s="86" t="s">
        <v>653</v>
      </c>
    </row>
    <row r="51" ht="15.75" customHeight="1">
      <c r="A51" s="27">
        <v>45786.0</v>
      </c>
      <c r="B51" s="10"/>
      <c r="C51" s="10"/>
      <c r="D51" s="107"/>
      <c r="E51" s="10"/>
      <c r="F51" s="10"/>
      <c r="G51" s="10"/>
      <c r="H51" s="10"/>
      <c r="I51" s="10"/>
      <c r="J51" s="10" t="s">
        <v>2226</v>
      </c>
      <c r="K51" s="10"/>
      <c r="L51" s="13" t="s">
        <v>2505</v>
      </c>
      <c r="M51" s="10" t="s">
        <v>653</v>
      </c>
      <c r="N51" s="13" t="s">
        <v>2230</v>
      </c>
      <c r="O51" s="10"/>
      <c r="P51" s="10"/>
      <c r="R51" s="10" t="s">
        <v>2230</v>
      </c>
      <c r="S51" s="10"/>
      <c r="T51" s="10"/>
      <c r="U51" s="10"/>
      <c r="V51" s="10"/>
      <c r="W51" s="10" t="s">
        <v>2230</v>
      </c>
      <c r="X51" s="10"/>
      <c r="Y51" s="10"/>
      <c r="Z51" s="10"/>
      <c r="AA51" s="10"/>
      <c r="AB51" s="10" t="s">
        <v>2229</v>
      </c>
      <c r="AC51" s="10" t="s">
        <v>2230</v>
      </c>
      <c r="AD51" s="10"/>
      <c r="AE51" s="10"/>
      <c r="AF51" s="10" t="s">
        <v>1668</v>
      </c>
      <c r="AG51" s="10"/>
      <c r="AH51" s="10" t="s">
        <v>2229</v>
      </c>
      <c r="AI51" s="10"/>
      <c r="AJ51" s="10" t="s">
        <v>2229</v>
      </c>
      <c r="AK51" s="10" t="s">
        <v>2435</v>
      </c>
      <c r="AL51" s="10" t="s">
        <v>2290</v>
      </c>
      <c r="AM51" s="10" t="s">
        <v>2290</v>
      </c>
      <c r="AN51" s="10" t="s">
        <v>2230</v>
      </c>
      <c r="AO51" s="108"/>
      <c r="AP51" s="10"/>
      <c r="AQ51" s="10" t="s">
        <v>2433</v>
      </c>
      <c r="AR51" s="10" t="s">
        <v>2467</v>
      </c>
      <c r="AS51" s="10"/>
      <c r="AT51" s="10" t="s">
        <v>2238</v>
      </c>
      <c r="AU51" s="10" t="s">
        <v>2229</v>
      </c>
      <c r="AV51" s="10" t="s">
        <v>2430</v>
      </c>
      <c r="AW51" s="10" t="s">
        <v>2271</v>
      </c>
      <c r="AX51" s="10" t="s">
        <v>2430</v>
      </c>
      <c r="AY51" s="10" t="s">
        <v>2430</v>
      </c>
      <c r="AZ51" s="10" t="s">
        <v>2229</v>
      </c>
      <c r="BA51" s="10" t="s">
        <v>1691</v>
      </c>
      <c r="BB51" s="69"/>
      <c r="BC51" s="10" t="s">
        <v>2240</v>
      </c>
      <c r="BD51" s="10"/>
      <c r="BE51" s="10"/>
      <c r="BF51" s="10" t="s">
        <v>2298</v>
      </c>
      <c r="BG51" s="10" t="s">
        <v>2230</v>
      </c>
      <c r="BH51" s="10"/>
      <c r="BI51" s="10"/>
      <c r="BJ51" s="13" t="s">
        <v>2506</v>
      </c>
      <c r="BK51" s="10"/>
      <c r="BL51" s="13" t="s">
        <v>2233</v>
      </c>
      <c r="BM51" s="10" t="s">
        <v>2237</v>
      </c>
      <c r="BN51" s="10" t="s">
        <v>653</v>
      </c>
    </row>
    <row r="52" ht="15.75" customHeight="1">
      <c r="A52" s="10"/>
      <c r="B52" s="10"/>
      <c r="D52" s="107"/>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8"/>
      <c r="AP52" s="10"/>
      <c r="AQ52" s="10"/>
      <c r="AR52" s="10"/>
      <c r="AS52" s="10"/>
      <c r="AT52" s="10"/>
      <c r="AU52" s="10"/>
      <c r="AV52" s="10"/>
      <c r="AW52" s="10"/>
      <c r="AX52" s="10"/>
      <c r="AY52" s="10"/>
      <c r="AZ52" s="10"/>
      <c r="BA52" s="10"/>
      <c r="BB52" s="69"/>
      <c r="BC52" s="10"/>
      <c r="BD52" s="10"/>
      <c r="BE52" s="10"/>
      <c r="BF52" s="10"/>
      <c r="BG52" s="10"/>
      <c r="BH52" s="10"/>
      <c r="BI52" s="10"/>
      <c r="BJ52" s="10"/>
      <c r="BK52" s="10"/>
      <c r="BL52" s="10"/>
      <c r="BM52" s="10"/>
      <c r="BN52" s="10"/>
    </row>
    <row r="53" ht="15.75" customHeight="1">
      <c r="A53" s="10"/>
      <c r="B53" s="10"/>
      <c r="D53" s="107"/>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8"/>
      <c r="AP53" s="10"/>
      <c r="AQ53" s="10"/>
      <c r="AR53" s="10"/>
      <c r="AS53" s="10"/>
      <c r="AT53" s="10"/>
      <c r="AU53" s="10"/>
      <c r="AV53" s="10"/>
      <c r="AW53" s="10"/>
      <c r="AX53" s="10"/>
      <c r="AY53" s="10"/>
      <c r="AZ53" s="10"/>
      <c r="BA53" s="10"/>
      <c r="BB53" s="69"/>
      <c r="BC53" s="10"/>
      <c r="BD53" s="10"/>
      <c r="BE53" s="10"/>
      <c r="BF53" s="10"/>
      <c r="BG53" s="10"/>
      <c r="BH53" s="10"/>
      <c r="BI53" s="10"/>
      <c r="BJ53" s="10"/>
      <c r="BK53" s="10"/>
      <c r="BL53" s="10"/>
      <c r="BM53" s="10"/>
      <c r="BN53" s="10"/>
    </row>
    <row r="54" ht="15.75" customHeight="1">
      <c r="A54" s="10"/>
      <c r="B54" s="10"/>
      <c r="C54" s="10"/>
      <c r="D54" s="107"/>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8"/>
      <c r="AP54" s="10"/>
      <c r="AQ54" s="10"/>
      <c r="AR54" s="10"/>
      <c r="AS54" s="10"/>
      <c r="AT54" s="10"/>
      <c r="AU54" s="10"/>
      <c r="AV54" s="10"/>
      <c r="AW54" s="10"/>
      <c r="AX54" s="10"/>
      <c r="AY54" s="10"/>
      <c r="AZ54" s="10"/>
      <c r="BA54" s="10"/>
      <c r="BB54" s="69"/>
      <c r="BC54" s="10"/>
      <c r="BD54" s="10"/>
      <c r="BE54" s="10"/>
      <c r="BF54" s="10"/>
      <c r="BG54" s="10"/>
      <c r="BH54" s="10"/>
      <c r="BI54" s="10"/>
      <c r="BJ54" s="10"/>
      <c r="BK54" s="10"/>
      <c r="BL54" s="10"/>
      <c r="BM54" s="10"/>
      <c r="BN54" s="10"/>
    </row>
    <row r="55" ht="15.75" customHeight="1">
      <c r="A55" s="10"/>
      <c r="B55" s="10"/>
      <c r="C55" s="10"/>
      <c r="D55" s="107"/>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8"/>
      <c r="AP55" s="10"/>
      <c r="AQ55" s="10"/>
      <c r="AR55" s="10"/>
      <c r="AS55" s="10"/>
      <c r="AT55" s="10"/>
      <c r="AU55" s="10"/>
      <c r="AV55" s="10"/>
      <c r="AW55" s="10"/>
      <c r="AX55" s="10"/>
      <c r="AY55" s="10"/>
      <c r="AZ55" s="10"/>
      <c r="BA55" s="10"/>
      <c r="BB55" s="69"/>
      <c r="BC55" s="10"/>
      <c r="BD55" s="10"/>
      <c r="BE55" s="10"/>
      <c r="BF55" s="10"/>
      <c r="BG55" s="10"/>
      <c r="BH55" s="10"/>
      <c r="BI55" s="10"/>
      <c r="BJ55" s="10"/>
      <c r="BK55" s="10"/>
      <c r="BL55" s="10"/>
      <c r="BM55" s="10"/>
      <c r="BN55" s="10"/>
    </row>
    <row r="56" ht="15.75" customHeight="1">
      <c r="A56" s="10"/>
      <c r="B56" s="10"/>
      <c r="C56" s="10"/>
      <c r="D56" s="107"/>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8"/>
      <c r="AP56" s="10"/>
      <c r="AQ56" s="10"/>
      <c r="AR56" s="10"/>
      <c r="AS56" s="10"/>
      <c r="AT56" s="10"/>
      <c r="AU56" s="10"/>
      <c r="AV56" s="10"/>
      <c r="AW56" s="10"/>
      <c r="AX56" s="10"/>
      <c r="AY56" s="10"/>
      <c r="AZ56" s="10"/>
      <c r="BA56" s="10"/>
      <c r="BB56" s="69"/>
      <c r="BC56" s="10"/>
      <c r="BD56" s="10"/>
      <c r="BE56" s="10"/>
      <c r="BF56" s="10"/>
      <c r="BG56" s="10"/>
      <c r="BH56" s="10"/>
      <c r="BI56" s="10"/>
      <c r="BJ56" s="10"/>
      <c r="BK56" s="10"/>
      <c r="BL56" s="10"/>
      <c r="BM56" s="10"/>
      <c r="BN56" s="10"/>
    </row>
    <row r="57" ht="15.75" customHeight="1">
      <c r="A57" s="10"/>
      <c r="B57" s="10"/>
      <c r="C57" s="10"/>
      <c r="D57" s="107"/>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8"/>
      <c r="AP57" s="10"/>
      <c r="AQ57" s="10"/>
      <c r="AR57" s="10"/>
      <c r="AS57" s="10"/>
      <c r="AT57" s="10"/>
      <c r="AU57" s="10"/>
      <c r="AV57" s="10"/>
      <c r="AW57" s="10"/>
      <c r="AX57" s="10"/>
      <c r="AY57" s="10"/>
      <c r="AZ57" s="10"/>
      <c r="BA57" s="10"/>
      <c r="BB57" s="69"/>
      <c r="BC57" s="10"/>
      <c r="BD57" s="10"/>
      <c r="BE57" s="10"/>
      <c r="BF57" s="10"/>
      <c r="BG57" s="10"/>
      <c r="BH57" s="10"/>
      <c r="BI57" s="10"/>
      <c r="BJ57" s="10"/>
      <c r="BK57" s="10"/>
      <c r="BL57" s="10"/>
      <c r="BM57" s="10"/>
      <c r="BN57" s="10"/>
    </row>
    <row r="58" ht="15.75" customHeight="1">
      <c r="A58" s="10"/>
      <c r="B58" s="10"/>
      <c r="C58" s="10"/>
      <c r="D58" s="107"/>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8"/>
      <c r="AP58" s="10"/>
      <c r="AQ58" s="10"/>
      <c r="AR58" s="10"/>
      <c r="AS58" s="10"/>
      <c r="AT58" s="10"/>
      <c r="AU58" s="10"/>
      <c r="AV58" s="10"/>
      <c r="AW58" s="10"/>
      <c r="AX58" s="10"/>
      <c r="AY58" s="10"/>
      <c r="AZ58" s="10"/>
      <c r="BA58" s="10"/>
      <c r="BB58" s="69"/>
      <c r="BC58" s="10"/>
      <c r="BD58" s="10"/>
      <c r="BE58" s="10"/>
      <c r="BF58" s="10"/>
      <c r="BG58" s="10"/>
      <c r="BH58" s="10"/>
      <c r="BI58" s="10"/>
      <c r="BJ58" s="10"/>
      <c r="BK58" s="10"/>
      <c r="BL58" s="10"/>
      <c r="BM58" s="10"/>
      <c r="BN58" s="10"/>
    </row>
    <row r="59" ht="15.75" customHeight="1">
      <c r="A59" s="10"/>
      <c r="B59" s="10"/>
      <c r="C59" s="10"/>
      <c r="D59" s="107"/>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8"/>
      <c r="AP59" s="10"/>
      <c r="AQ59" s="10"/>
      <c r="AR59" s="10"/>
      <c r="AS59" s="10"/>
      <c r="AT59" s="10"/>
      <c r="AU59" s="10"/>
      <c r="AV59" s="10"/>
      <c r="AW59" s="10"/>
      <c r="AX59" s="10"/>
      <c r="AY59" s="10"/>
      <c r="AZ59" s="10"/>
      <c r="BA59" s="10"/>
      <c r="BB59" s="69"/>
      <c r="BC59" s="10"/>
      <c r="BD59" s="10"/>
      <c r="BE59" s="10"/>
      <c r="BF59" s="10"/>
      <c r="BG59" s="10"/>
      <c r="BH59" s="10"/>
      <c r="BI59" s="10"/>
      <c r="BJ59" s="10"/>
      <c r="BK59" s="10"/>
      <c r="BL59" s="10"/>
      <c r="BM59" s="10"/>
      <c r="BN59" s="10"/>
    </row>
    <row r="60" ht="15.75" customHeight="1">
      <c r="A60" s="10"/>
      <c r="B60" s="10"/>
      <c r="C60" s="10"/>
      <c r="D60" s="107"/>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8"/>
      <c r="AP60" s="10"/>
      <c r="AQ60" s="10"/>
      <c r="AR60" s="10"/>
      <c r="AS60" s="10"/>
      <c r="AT60" s="10"/>
      <c r="AU60" s="10"/>
      <c r="AV60" s="10"/>
      <c r="AW60" s="10"/>
      <c r="AX60" s="10"/>
      <c r="AY60" s="10"/>
      <c r="AZ60" s="10"/>
      <c r="BA60" s="10"/>
      <c r="BB60" s="69"/>
      <c r="BC60" s="10"/>
      <c r="BD60" s="10"/>
      <c r="BE60" s="10"/>
      <c r="BF60" s="10"/>
      <c r="BG60" s="10"/>
      <c r="BH60" s="10"/>
      <c r="BI60" s="10"/>
      <c r="BJ60" s="10"/>
      <c r="BK60" s="10"/>
      <c r="BL60" s="10"/>
      <c r="BM60" s="10"/>
      <c r="BN60" s="10"/>
    </row>
    <row r="61" ht="15.75" customHeight="1">
      <c r="A61" s="10"/>
      <c r="B61" s="10"/>
      <c r="C61" s="10"/>
      <c r="D61" s="107"/>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8"/>
      <c r="AP61" s="10"/>
      <c r="AQ61" s="10"/>
      <c r="AR61" s="10"/>
      <c r="AS61" s="10"/>
      <c r="AT61" s="10"/>
      <c r="AU61" s="10"/>
      <c r="AV61" s="10"/>
      <c r="AW61" s="10"/>
      <c r="AX61" s="10"/>
      <c r="AY61" s="10"/>
      <c r="AZ61" s="10"/>
      <c r="BA61" s="10"/>
      <c r="BB61" s="69"/>
      <c r="BC61" s="10"/>
      <c r="BD61" s="10"/>
      <c r="BE61" s="10"/>
      <c r="BF61" s="10"/>
      <c r="BG61" s="10"/>
      <c r="BH61" s="10"/>
      <c r="BI61" s="10"/>
      <c r="BJ61" s="10"/>
      <c r="BK61" s="10"/>
      <c r="BL61" s="10"/>
      <c r="BM61" s="10"/>
      <c r="BN61" s="10"/>
    </row>
    <row r="62" ht="15.75" customHeight="1">
      <c r="A62" s="10"/>
      <c r="B62" s="10"/>
      <c r="C62" s="10"/>
      <c r="D62" s="107"/>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8"/>
      <c r="AP62" s="10"/>
      <c r="AQ62" s="10"/>
      <c r="AR62" s="10"/>
      <c r="AS62" s="10"/>
      <c r="AT62" s="10"/>
      <c r="AU62" s="10"/>
      <c r="AV62" s="10"/>
      <c r="AW62" s="10"/>
      <c r="AX62" s="10"/>
      <c r="AY62" s="10"/>
      <c r="AZ62" s="10"/>
      <c r="BA62" s="10"/>
      <c r="BB62" s="69"/>
      <c r="BC62" s="10"/>
      <c r="BD62" s="10"/>
      <c r="BE62" s="10"/>
      <c r="BF62" s="10"/>
      <c r="BG62" s="10"/>
      <c r="BH62" s="10"/>
      <c r="BI62" s="10"/>
      <c r="BJ62" s="10"/>
      <c r="BK62" s="10"/>
      <c r="BL62" s="10"/>
      <c r="BM62" s="10"/>
      <c r="BN62" s="10"/>
    </row>
    <row r="63" ht="15.75" customHeight="1">
      <c r="A63" s="10"/>
      <c r="B63" s="10"/>
      <c r="C63" s="10"/>
      <c r="D63" s="107"/>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8"/>
      <c r="AP63" s="10"/>
      <c r="AQ63" s="10"/>
      <c r="AR63" s="10"/>
      <c r="AS63" s="10"/>
      <c r="AT63" s="10"/>
      <c r="AU63" s="10"/>
      <c r="AV63" s="10"/>
      <c r="AW63" s="10"/>
      <c r="AX63" s="10"/>
      <c r="AY63" s="10"/>
      <c r="AZ63" s="10"/>
      <c r="BA63" s="10"/>
      <c r="BB63" s="69"/>
      <c r="BC63" s="10"/>
      <c r="BD63" s="10"/>
      <c r="BE63" s="10"/>
      <c r="BF63" s="10"/>
      <c r="BG63" s="10"/>
      <c r="BH63" s="10"/>
      <c r="BI63" s="10"/>
      <c r="BJ63" s="10"/>
      <c r="BK63" s="10"/>
      <c r="BL63" s="10"/>
      <c r="BM63" s="10"/>
      <c r="BN63" s="10"/>
    </row>
    <row r="64" ht="15.75" customHeight="1">
      <c r="A64" s="10"/>
      <c r="B64" s="10"/>
      <c r="C64" s="10"/>
      <c r="D64" s="107"/>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8"/>
      <c r="AP64" s="10"/>
      <c r="AQ64" s="10"/>
      <c r="AR64" s="10"/>
      <c r="AS64" s="10"/>
      <c r="AT64" s="10"/>
      <c r="AU64" s="10"/>
      <c r="AV64" s="10"/>
      <c r="AW64" s="10"/>
      <c r="AX64" s="10"/>
      <c r="AY64" s="10"/>
      <c r="AZ64" s="10"/>
      <c r="BA64" s="10"/>
      <c r="BB64" s="69"/>
      <c r="BC64" s="10"/>
      <c r="BD64" s="10"/>
      <c r="BE64" s="10"/>
      <c r="BF64" s="10"/>
      <c r="BG64" s="10"/>
      <c r="BH64" s="10"/>
      <c r="BI64" s="10"/>
      <c r="BJ64" s="10"/>
      <c r="BK64" s="10"/>
      <c r="BL64" s="10"/>
      <c r="BM64" s="10"/>
      <c r="BN64" s="10"/>
    </row>
    <row r="65" ht="15.75" customHeight="1">
      <c r="A65" s="10"/>
      <c r="B65" s="10"/>
      <c r="C65" s="10"/>
      <c r="D65" s="107"/>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8"/>
      <c r="AP65" s="10"/>
      <c r="AQ65" s="10"/>
      <c r="AR65" s="10"/>
      <c r="AS65" s="10"/>
      <c r="AT65" s="10"/>
      <c r="AU65" s="10"/>
      <c r="AV65" s="10"/>
      <c r="AW65" s="10"/>
      <c r="AX65" s="10"/>
      <c r="AY65" s="10"/>
      <c r="AZ65" s="10"/>
      <c r="BA65" s="10"/>
      <c r="BB65" s="69"/>
      <c r="BC65" s="10"/>
      <c r="BD65" s="10"/>
      <c r="BE65" s="10"/>
      <c r="BF65" s="10"/>
      <c r="BG65" s="10"/>
      <c r="BH65" s="10"/>
      <c r="BI65" s="10"/>
      <c r="BJ65" s="10"/>
      <c r="BK65" s="10"/>
      <c r="BL65" s="10"/>
      <c r="BM65" s="10"/>
      <c r="BN65" s="10"/>
    </row>
    <row r="66" ht="15.75" customHeight="1">
      <c r="A66" s="10"/>
      <c r="B66" s="10"/>
      <c r="C66" s="10"/>
      <c r="D66" s="107"/>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8"/>
      <c r="AP66" s="10"/>
      <c r="AQ66" s="10"/>
      <c r="AR66" s="10"/>
      <c r="AS66" s="10"/>
      <c r="AT66" s="10"/>
      <c r="AU66" s="10"/>
      <c r="AV66" s="10"/>
      <c r="AW66" s="10"/>
      <c r="AX66" s="10"/>
      <c r="AY66" s="10"/>
      <c r="AZ66" s="10"/>
      <c r="BA66" s="10"/>
      <c r="BB66" s="69"/>
      <c r="BC66" s="10"/>
      <c r="BD66" s="10"/>
      <c r="BE66" s="10"/>
      <c r="BF66" s="10"/>
      <c r="BG66" s="10"/>
      <c r="BH66" s="10"/>
      <c r="BI66" s="10"/>
      <c r="BJ66" s="10"/>
      <c r="BK66" s="10"/>
      <c r="BL66" s="10"/>
      <c r="BM66" s="10"/>
      <c r="BN66" s="10"/>
    </row>
    <row r="67" ht="15.75" customHeight="1">
      <c r="A67" s="10"/>
      <c r="B67" s="10"/>
      <c r="C67" s="10"/>
      <c r="D67" s="107"/>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8"/>
      <c r="AP67" s="10"/>
      <c r="AQ67" s="10"/>
      <c r="AR67" s="10"/>
      <c r="AS67" s="10"/>
      <c r="AT67" s="10"/>
      <c r="AU67" s="10"/>
      <c r="AV67" s="10"/>
      <c r="AW67" s="10"/>
      <c r="AX67" s="10"/>
      <c r="AY67" s="10"/>
      <c r="AZ67" s="10"/>
      <c r="BA67" s="10"/>
      <c r="BB67" s="69"/>
      <c r="BC67" s="10"/>
      <c r="BD67" s="10"/>
      <c r="BE67" s="10"/>
      <c r="BF67" s="10"/>
      <c r="BG67" s="10"/>
      <c r="BH67" s="10"/>
      <c r="BI67" s="10"/>
      <c r="BJ67" s="10"/>
      <c r="BK67" s="10"/>
      <c r="BL67" s="10"/>
      <c r="BM67" s="10"/>
      <c r="BN67" s="10"/>
    </row>
    <row r="68" ht="15.75" customHeight="1">
      <c r="A68" s="10"/>
      <c r="B68" s="10"/>
      <c r="C68" s="10"/>
      <c r="D68" s="107"/>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8"/>
      <c r="AP68" s="10"/>
      <c r="AQ68" s="10"/>
      <c r="AR68" s="10"/>
      <c r="AS68" s="10"/>
      <c r="AT68" s="10"/>
      <c r="AU68" s="10"/>
      <c r="AV68" s="10"/>
      <c r="AW68" s="10"/>
      <c r="AX68" s="10"/>
      <c r="AY68" s="10"/>
      <c r="AZ68" s="10"/>
      <c r="BA68" s="10"/>
      <c r="BB68" s="69"/>
      <c r="BC68" s="10"/>
      <c r="BD68" s="10"/>
      <c r="BE68" s="10"/>
      <c r="BF68" s="10"/>
      <c r="BG68" s="10"/>
      <c r="BH68" s="10"/>
      <c r="BI68" s="10"/>
      <c r="BJ68" s="10"/>
      <c r="BK68" s="10"/>
      <c r="BL68" s="10"/>
      <c r="BM68" s="10"/>
      <c r="BN68" s="10"/>
    </row>
    <row r="69" ht="15.75" customHeight="1">
      <c r="A69" s="10"/>
      <c r="B69" s="10"/>
      <c r="C69" s="10"/>
      <c r="D69" s="107"/>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8"/>
      <c r="AP69" s="10"/>
      <c r="AQ69" s="10"/>
      <c r="AR69" s="10"/>
      <c r="AS69" s="10"/>
      <c r="AT69" s="10"/>
      <c r="AU69" s="10"/>
      <c r="AV69" s="10"/>
      <c r="AW69" s="10"/>
      <c r="AX69" s="10"/>
      <c r="AY69" s="10"/>
      <c r="AZ69" s="10"/>
      <c r="BA69" s="10"/>
      <c r="BB69" s="69"/>
      <c r="BC69" s="10"/>
      <c r="BD69" s="10"/>
      <c r="BE69" s="10"/>
      <c r="BF69" s="10"/>
      <c r="BG69" s="10"/>
      <c r="BH69" s="10"/>
      <c r="BI69" s="10"/>
      <c r="BJ69" s="10"/>
      <c r="BK69" s="10"/>
      <c r="BL69" s="10"/>
      <c r="BM69" s="10"/>
      <c r="BN69" s="10"/>
    </row>
    <row r="70" ht="15.75" customHeight="1">
      <c r="A70" s="10"/>
      <c r="B70" s="10"/>
      <c r="C70" s="10"/>
      <c r="D70" s="107"/>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8"/>
      <c r="AP70" s="10"/>
      <c r="AQ70" s="10"/>
      <c r="AR70" s="10"/>
      <c r="AS70" s="10"/>
      <c r="AT70" s="10"/>
      <c r="AU70" s="10"/>
      <c r="AV70" s="10"/>
      <c r="AW70" s="10"/>
      <c r="AX70" s="10"/>
      <c r="AY70" s="10"/>
      <c r="AZ70" s="10"/>
      <c r="BA70" s="10"/>
      <c r="BB70" s="69"/>
      <c r="BC70" s="10"/>
      <c r="BD70" s="10"/>
      <c r="BE70" s="10"/>
      <c r="BF70" s="10"/>
      <c r="BG70" s="10"/>
      <c r="BH70" s="10"/>
      <c r="BI70" s="10"/>
      <c r="BJ70" s="10"/>
      <c r="BK70" s="10"/>
      <c r="BL70" s="10"/>
      <c r="BM70" s="10"/>
      <c r="BN70" s="10"/>
    </row>
    <row r="71" ht="15.75" customHeight="1">
      <c r="A71" s="10"/>
      <c r="B71" s="10"/>
      <c r="C71" s="10"/>
      <c r="D71" s="107"/>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8"/>
      <c r="AP71" s="10"/>
      <c r="AQ71" s="10"/>
      <c r="AR71" s="10"/>
      <c r="AS71" s="10"/>
      <c r="AT71" s="10"/>
      <c r="AU71" s="10"/>
      <c r="AV71" s="10"/>
      <c r="AW71" s="10"/>
      <c r="AX71" s="10"/>
      <c r="AY71" s="10"/>
      <c r="AZ71" s="10"/>
      <c r="BA71" s="10"/>
      <c r="BB71" s="69"/>
      <c r="BC71" s="10"/>
      <c r="BD71" s="10"/>
      <c r="BE71" s="10"/>
      <c r="BF71" s="10"/>
      <c r="BG71" s="10"/>
      <c r="BH71" s="10"/>
      <c r="BI71" s="10"/>
      <c r="BJ71" s="10"/>
      <c r="BK71" s="10"/>
      <c r="BL71" s="10"/>
      <c r="BM71" s="10"/>
      <c r="BN71" s="10"/>
    </row>
    <row r="72" ht="15.75" customHeight="1">
      <c r="A72" s="10"/>
      <c r="B72" s="10"/>
      <c r="C72" s="10"/>
      <c r="D72" s="107"/>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8"/>
      <c r="AP72" s="10"/>
      <c r="AQ72" s="10"/>
      <c r="AR72" s="10"/>
      <c r="AS72" s="10"/>
      <c r="AT72" s="10"/>
      <c r="AU72" s="10"/>
      <c r="AV72" s="10"/>
      <c r="AW72" s="10"/>
      <c r="AX72" s="10"/>
      <c r="AY72" s="10"/>
      <c r="AZ72" s="10"/>
      <c r="BA72" s="10"/>
      <c r="BB72" s="69"/>
      <c r="BC72" s="10"/>
      <c r="BD72" s="10"/>
      <c r="BE72" s="10"/>
      <c r="BF72" s="10"/>
      <c r="BG72" s="10"/>
      <c r="BH72" s="10"/>
      <c r="BI72" s="10"/>
      <c r="BJ72" s="10"/>
      <c r="BK72" s="10"/>
      <c r="BL72" s="10"/>
      <c r="BM72" s="10"/>
      <c r="BN72" s="10"/>
    </row>
    <row r="73" ht="15.75" customHeight="1">
      <c r="A73" s="10"/>
      <c r="B73" s="10"/>
      <c r="C73" s="10"/>
      <c r="D73" s="107"/>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8"/>
      <c r="AP73" s="10"/>
      <c r="AQ73" s="10"/>
      <c r="AR73" s="10"/>
      <c r="AS73" s="10"/>
      <c r="AT73" s="10"/>
      <c r="AU73" s="10"/>
      <c r="AV73" s="10"/>
      <c r="AW73" s="10"/>
      <c r="AX73" s="10"/>
      <c r="AY73" s="10"/>
      <c r="AZ73" s="10"/>
      <c r="BA73" s="10"/>
      <c r="BB73" s="69"/>
      <c r="BC73" s="10"/>
      <c r="BD73" s="10"/>
      <c r="BE73" s="10"/>
      <c r="BF73" s="10"/>
      <c r="BG73" s="10"/>
      <c r="BH73" s="10"/>
      <c r="BI73" s="10"/>
      <c r="BJ73" s="10"/>
      <c r="BK73" s="10"/>
      <c r="BL73" s="10"/>
      <c r="BM73" s="10"/>
      <c r="BN73" s="10"/>
    </row>
    <row r="74" ht="15.75" customHeight="1">
      <c r="A74" s="10"/>
      <c r="B74" s="10"/>
      <c r="C74" s="10"/>
      <c r="D74" s="107"/>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8"/>
      <c r="AP74" s="10"/>
      <c r="AQ74" s="10"/>
      <c r="AR74" s="10"/>
      <c r="AS74" s="10"/>
      <c r="AT74" s="10"/>
      <c r="AU74" s="10"/>
      <c r="AV74" s="10"/>
      <c r="AW74" s="10"/>
      <c r="AX74" s="10"/>
      <c r="AY74" s="10"/>
      <c r="AZ74" s="10"/>
      <c r="BA74" s="10"/>
      <c r="BB74" s="69"/>
      <c r="BC74" s="10"/>
      <c r="BD74" s="10"/>
      <c r="BE74" s="10"/>
      <c r="BF74" s="10"/>
      <c r="BG74" s="10"/>
      <c r="BH74" s="10"/>
      <c r="BI74" s="10"/>
      <c r="BJ74" s="10"/>
      <c r="BK74" s="10"/>
      <c r="BL74" s="10"/>
      <c r="BM74" s="10"/>
      <c r="BN74" s="10"/>
    </row>
    <row r="75" ht="15.75" customHeight="1">
      <c r="A75" s="10"/>
      <c r="B75" s="10"/>
      <c r="C75" s="10"/>
      <c r="D75" s="107"/>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8"/>
      <c r="AP75" s="10"/>
      <c r="AQ75" s="10"/>
      <c r="AR75" s="10"/>
      <c r="AS75" s="10"/>
      <c r="AT75" s="10"/>
      <c r="AU75" s="10"/>
      <c r="AV75" s="10"/>
      <c r="AW75" s="10"/>
      <c r="AX75" s="10"/>
      <c r="AY75" s="10"/>
      <c r="AZ75" s="10"/>
      <c r="BA75" s="10"/>
      <c r="BB75" s="69"/>
      <c r="BC75" s="10"/>
      <c r="BD75" s="10"/>
      <c r="BE75" s="10"/>
      <c r="BF75" s="10"/>
      <c r="BG75" s="10"/>
      <c r="BH75" s="10"/>
      <c r="BI75" s="10"/>
      <c r="BJ75" s="10"/>
      <c r="BK75" s="10"/>
      <c r="BL75" s="10"/>
      <c r="BM75" s="10"/>
      <c r="BN75" s="10"/>
    </row>
    <row r="76" ht="15.75" customHeight="1">
      <c r="A76" s="10"/>
      <c r="B76" s="10"/>
      <c r="C76" s="10"/>
      <c r="D76" s="107"/>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8"/>
      <c r="AP76" s="10"/>
      <c r="AQ76" s="10"/>
      <c r="AR76" s="10"/>
      <c r="AS76" s="10"/>
      <c r="AT76" s="10"/>
      <c r="AU76" s="10"/>
      <c r="AV76" s="10"/>
      <c r="AW76" s="10"/>
      <c r="AX76" s="10"/>
      <c r="AY76" s="10"/>
      <c r="AZ76" s="10"/>
      <c r="BA76" s="10"/>
      <c r="BB76" s="69"/>
      <c r="BC76" s="10"/>
      <c r="BD76" s="10"/>
      <c r="BE76" s="10"/>
      <c r="BF76" s="10"/>
      <c r="BG76" s="10"/>
      <c r="BH76" s="10"/>
      <c r="BI76" s="10"/>
      <c r="BJ76" s="10"/>
      <c r="BK76" s="10"/>
      <c r="BL76" s="10"/>
      <c r="BM76" s="10"/>
      <c r="BN76" s="10"/>
    </row>
    <row r="77" ht="15.75" customHeight="1">
      <c r="A77" s="10"/>
      <c r="B77" s="10"/>
      <c r="C77" s="10"/>
      <c r="D77" s="107"/>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8"/>
      <c r="AP77" s="10"/>
      <c r="AQ77" s="10"/>
      <c r="AR77" s="10"/>
      <c r="AS77" s="10"/>
      <c r="AT77" s="10"/>
      <c r="AU77" s="10"/>
      <c r="AV77" s="10"/>
      <c r="AW77" s="10"/>
      <c r="AX77" s="10"/>
      <c r="AY77" s="10"/>
      <c r="AZ77" s="10"/>
      <c r="BA77" s="10"/>
      <c r="BB77" s="69"/>
      <c r="BC77" s="10"/>
      <c r="BD77" s="10"/>
      <c r="BE77" s="10"/>
      <c r="BF77" s="10"/>
      <c r="BG77" s="10"/>
      <c r="BH77" s="10"/>
      <c r="BI77" s="10"/>
      <c r="BJ77" s="10"/>
      <c r="BK77" s="10"/>
      <c r="BL77" s="10"/>
      <c r="BM77" s="10"/>
      <c r="BN77" s="10"/>
    </row>
    <row r="78" ht="15.75" customHeight="1">
      <c r="A78" s="10"/>
      <c r="B78" s="10"/>
      <c r="C78" s="10"/>
      <c r="D78" s="107"/>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8"/>
      <c r="AP78" s="10"/>
      <c r="AQ78" s="10"/>
      <c r="AR78" s="10"/>
      <c r="AS78" s="10"/>
      <c r="AT78" s="10"/>
      <c r="AU78" s="10"/>
      <c r="AV78" s="10"/>
      <c r="AW78" s="10"/>
      <c r="AX78" s="10"/>
      <c r="AY78" s="10"/>
      <c r="AZ78" s="10"/>
      <c r="BA78" s="10"/>
      <c r="BB78" s="69"/>
      <c r="BC78" s="10"/>
      <c r="BD78" s="10"/>
      <c r="BE78" s="10"/>
      <c r="BF78" s="10"/>
      <c r="BG78" s="10"/>
      <c r="BH78" s="10"/>
      <c r="BI78" s="10"/>
      <c r="BJ78" s="10"/>
      <c r="BK78" s="10"/>
      <c r="BL78" s="10"/>
      <c r="BM78" s="10"/>
      <c r="BN78" s="10"/>
    </row>
    <row r="79" ht="15.75" customHeight="1">
      <c r="A79" s="10"/>
      <c r="B79" s="10"/>
      <c r="C79" s="10"/>
      <c r="D79" s="107"/>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8"/>
      <c r="AP79" s="10"/>
      <c r="AQ79" s="10"/>
      <c r="AR79" s="10"/>
      <c r="AS79" s="10"/>
      <c r="AT79" s="10"/>
      <c r="AU79" s="10"/>
      <c r="AV79" s="10"/>
      <c r="AW79" s="10"/>
      <c r="AX79" s="10"/>
      <c r="AY79" s="10"/>
      <c r="AZ79" s="10"/>
      <c r="BA79" s="10"/>
      <c r="BB79" s="69"/>
      <c r="BC79" s="10"/>
      <c r="BD79" s="10"/>
      <c r="BE79" s="10"/>
      <c r="BF79" s="10"/>
      <c r="BG79" s="10"/>
      <c r="BH79" s="10"/>
      <c r="BI79" s="10"/>
      <c r="BJ79" s="10"/>
      <c r="BK79" s="10"/>
      <c r="BL79" s="10"/>
      <c r="BM79" s="10"/>
      <c r="BN79" s="10"/>
    </row>
    <row r="80" ht="15.75" customHeight="1">
      <c r="A80" s="10"/>
      <c r="B80" s="10"/>
      <c r="C80" s="10"/>
      <c r="D80" s="107"/>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8"/>
      <c r="AP80" s="10"/>
      <c r="AQ80" s="10"/>
      <c r="AR80" s="10"/>
      <c r="AS80" s="10"/>
      <c r="AT80" s="10"/>
      <c r="AU80" s="10"/>
      <c r="AV80" s="10"/>
      <c r="AW80" s="10"/>
      <c r="AX80" s="10"/>
      <c r="AY80" s="10"/>
      <c r="AZ80" s="10"/>
      <c r="BA80" s="10"/>
      <c r="BB80" s="69"/>
      <c r="BC80" s="10"/>
      <c r="BD80" s="10"/>
      <c r="BE80" s="10"/>
      <c r="BF80" s="10"/>
      <c r="BG80" s="10"/>
      <c r="BH80" s="10"/>
      <c r="BI80" s="10"/>
      <c r="BJ80" s="10"/>
      <c r="BK80" s="10"/>
      <c r="BL80" s="10"/>
      <c r="BM80" s="10"/>
      <c r="BN80" s="10"/>
    </row>
    <row r="81" ht="15.75" customHeight="1">
      <c r="A81" s="10"/>
      <c r="B81" s="10"/>
      <c r="C81" s="10"/>
      <c r="D81" s="107"/>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8"/>
      <c r="AP81" s="10"/>
      <c r="AQ81" s="10"/>
      <c r="AR81" s="10"/>
      <c r="AS81" s="10"/>
      <c r="AT81" s="10"/>
      <c r="AU81" s="10"/>
      <c r="AV81" s="10"/>
      <c r="AW81" s="10"/>
      <c r="AX81" s="10"/>
      <c r="AY81" s="10"/>
      <c r="AZ81" s="10"/>
      <c r="BA81" s="10"/>
      <c r="BB81" s="69"/>
      <c r="BC81" s="10"/>
      <c r="BD81" s="10"/>
      <c r="BE81" s="10"/>
      <c r="BF81" s="10"/>
      <c r="BG81" s="10"/>
      <c r="BH81" s="10"/>
      <c r="BI81" s="10"/>
      <c r="BJ81" s="10"/>
      <c r="BK81" s="10"/>
      <c r="BL81" s="10"/>
      <c r="BM81" s="10"/>
      <c r="BN81" s="10"/>
    </row>
    <row r="82" ht="15.75" customHeight="1">
      <c r="A82" s="10"/>
      <c r="B82" s="10"/>
      <c r="C82" s="10"/>
      <c r="D82" s="107"/>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8"/>
      <c r="AP82" s="10"/>
      <c r="AQ82" s="10"/>
      <c r="AR82" s="10"/>
      <c r="AS82" s="10"/>
      <c r="AT82" s="10"/>
      <c r="AU82" s="10"/>
      <c r="AV82" s="10"/>
      <c r="AW82" s="10"/>
      <c r="AX82" s="10"/>
      <c r="AY82" s="10"/>
      <c r="AZ82" s="10"/>
      <c r="BA82" s="10"/>
      <c r="BB82" s="69"/>
      <c r="BC82" s="10"/>
      <c r="BD82" s="10"/>
      <c r="BE82" s="10"/>
      <c r="BF82" s="10"/>
      <c r="BG82" s="10"/>
      <c r="BH82" s="10"/>
      <c r="BI82" s="10"/>
      <c r="BJ82" s="10"/>
      <c r="BK82" s="10"/>
      <c r="BL82" s="10"/>
      <c r="BM82" s="10"/>
      <c r="BN82" s="10"/>
    </row>
    <row r="83" ht="15.75" customHeight="1">
      <c r="A83" s="10"/>
      <c r="B83" s="10"/>
      <c r="C83" s="10"/>
      <c r="D83" s="107"/>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8"/>
      <c r="AP83" s="10"/>
      <c r="AQ83" s="10"/>
      <c r="AR83" s="10"/>
      <c r="AS83" s="10"/>
      <c r="AT83" s="10"/>
      <c r="AU83" s="10"/>
      <c r="AV83" s="10"/>
      <c r="AW83" s="10"/>
      <c r="AX83" s="10"/>
      <c r="AY83" s="10"/>
      <c r="AZ83" s="10"/>
      <c r="BA83" s="10"/>
      <c r="BB83" s="69"/>
      <c r="BC83" s="10"/>
      <c r="BD83" s="10"/>
      <c r="BE83" s="10"/>
      <c r="BF83" s="10"/>
      <c r="BG83" s="10"/>
      <c r="BH83" s="10"/>
      <c r="BI83" s="10"/>
      <c r="BJ83" s="10"/>
      <c r="BK83" s="10"/>
      <c r="BL83" s="10"/>
      <c r="BM83" s="10"/>
      <c r="BN83" s="10"/>
    </row>
    <row r="84" ht="15.75" customHeight="1">
      <c r="A84" s="10"/>
      <c r="B84" s="10"/>
      <c r="C84" s="10"/>
      <c r="D84" s="107"/>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8"/>
      <c r="AP84" s="10"/>
      <c r="AQ84" s="10"/>
      <c r="AR84" s="10"/>
      <c r="AS84" s="10"/>
      <c r="AT84" s="10"/>
      <c r="AU84" s="10"/>
      <c r="AV84" s="10"/>
      <c r="AW84" s="10"/>
      <c r="AX84" s="10"/>
      <c r="AY84" s="10"/>
      <c r="AZ84" s="10"/>
      <c r="BA84" s="10"/>
      <c r="BB84" s="69"/>
      <c r="BC84" s="10"/>
      <c r="BD84" s="10"/>
      <c r="BE84" s="10"/>
      <c r="BF84" s="10"/>
      <c r="BG84" s="10"/>
      <c r="BH84" s="10"/>
      <c r="BI84" s="10"/>
      <c r="BJ84" s="10"/>
      <c r="BK84" s="10"/>
      <c r="BL84" s="10"/>
      <c r="BM84" s="10"/>
      <c r="BN84" s="10"/>
    </row>
    <row r="85" ht="15.75" customHeight="1">
      <c r="A85" s="10"/>
      <c r="B85" s="10"/>
      <c r="C85" s="10"/>
      <c r="D85" s="107"/>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8"/>
      <c r="AP85" s="10"/>
      <c r="AQ85" s="10"/>
      <c r="AR85" s="10"/>
      <c r="AS85" s="10"/>
      <c r="AT85" s="10"/>
      <c r="AU85" s="10"/>
      <c r="AV85" s="10"/>
      <c r="AW85" s="10"/>
      <c r="AX85" s="10"/>
      <c r="AY85" s="10"/>
      <c r="AZ85" s="10"/>
      <c r="BA85" s="10"/>
      <c r="BB85" s="69"/>
      <c r="BC85" s="10"/>
      <c r="BD85" s="10"/>
      <c r="BE85" s="10"/>
      <c r="BF85" s="10"/>
      <c r="BG85" s="10"/>
      <c r="BH85" s="10"/>
      <c r="BI85" s="10"/>
      <c r="BJ85" s="10"/>
      <c r="BK85" s="10"/>
      <c r="BL85" s="10"/>
      <c r="BM85" s="10"/>
      <c r="BN85" s="10"/>
    </row>
    <row r="86" ht="15.75" customHeight="1">
      <c r="A86" s="10"/>
      <c r="B86" s="10"/>
      <c r="C86" s="10"/>
      <c r="D86" s="107"/>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8"/>
      <c r="AP86" s="10"/>
      <c r="AQ86" s="10"/>
      <c r="AR86" s="10"/>
      <c r="AS86" s="10"/>
      <c r="AT86" s="10"/>
      <c r="AU86" s="10"/>
      <c r="AV86" s="10"/>
      <c r="AW86" s="10"/>
      <c r="AX86" s="10"/>
      <c r="AY86" s="10"/>
      <c r="AZ86" s="10"/>
      <c r="BA86" s="10"/>
      <c r="BB86" s="69"/>
      <c r="BC86" s="10"/>
      <c r="BD86" s="10"/>
      <c r="BE86" s="10"/>
      <c r="BF86" s="10"/>
      <c r="BG86" s="10"/>
      <c r="BH86" s="10"/>
      <c r="BI86" s="10"/>
      <c r="BJ86" s="10"/>
      <c r="BK86" s="10"/>
      <c r="BL86" s="10"/>
      <c r="BM86" s="10"/>
      <c r="BN86" s="10"/>
    </row>
    <row r="87" ht="15.75" customHeight="1">
      <c r="A87" s="10"/>
      <c r="B87" s="10"/>
      <c r="C87" s="10"/>
      <c r="D87" s="107"/>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8"/>
      <c r="AP87" s="10"/>
      <c r="AQ87" s="10"/>
      <c r="AR87" s="10"/>
      <c r="AS87" s="10"/>
      <c r="AT87" s="10"/>
      <c r="AU87" s="10"/>
      <c r="AV87" s="10"/>
      <c r="AW87" s="10"/>
      <c r="AX87" s="10"/>
      <c r="AY87" s="10"/>
      <c r="AZ87" s="10"/>
      <c r="BA87" s="10"/>
      <c r="BB87" s="69"/>
      <c r="BC87" s="10"/>
      <c r="BD87" s="10"/>
      <c r="BE87" s="10"/>
      <c r="BF87" s="10"/>
      <c r="BG87" s="10"/>
      <c r="BH87" s="10"/>
      <c r="BI87" s="10"/>
      <c r="BJ87" s="10"/>
      <c r="BK87" s="10"/>
      <c r="BL87" s="10"/>
      <c r="BM87" s="10"/>
      <c r="BN87" s="10"/>
    </row>
    <row r="88" ht="15.75" customHeight="1">
      <c r="A88" s="10"/>
      <c r="B88" s="10"/>
      <c r="C88" s="10"/>
      <c r="D88" s="107"/>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8"/>
      <c r="AP88" s="10"/>
      <c r="AQ88" s="10"/>
      <c r="AR88" s="10"/>
      <c r="AS88" s="10"/>
      <c r="AT88" s="10"/>
      <c r="AU88" s="10"/>
      <c r="AV88" s="10"/>
      <c r="AW88" s="10"/>
      <c r="AX88" s="10"/>
      <c r="AY88" s="10"/>
      <c r="AZ88" s="10"/>
      <c r="BA88" s="10"/>
      <c r="BB88" s="69"/>
      <c r="BC88" s="10"/>
      <c r="BD88" s="10"/>
      <c r="BE88" s="10"/>
      <c r="BF88" s="10"/>
      <c r="BG88" s="10"/>
      <c r="BH88" s="10"/>
      <c r="BI88" s="10"/>
      <c r="BJ88" s="10"/>
      <c r="BK88" s="10"/>
      <c r="BL88" s="10"/>
      <c r="BM88" s="10"/>
      <c r="BN88" s="10"/>
    </row>
    <row r="89" ht="15.75" customHeight="1">
      <c r="A89" s="10"/>
      <c r="B89" s="10"/>
      <c r="C89" s="10"/>
      <c r="D89" s="107"/>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8"/>
      <c r="AP89" s="10"/>
      <c r="AQ89" s="10"/>
      <c r="AR89" s="10"/>
      <c r="AS89" s="10"/>
      <c r="AT89" s="10"/>
      <c r="AU89" s="10"/>
      <c r="AV89" s="10"/>
      <c r="AW89" s="10"/>
      <c r="AX89" s="10"/>
      <c r="AY89" s="10"/>
      <c r="AZ89" s="10"/>
      <c r="BA89" s="10"/>
      <c r="BB89" s="69"/>
      <c r="BC89" s="10"/>
      <c r="BD89" s="10"/>
      <c r="BE89" s="10"/>
      <c r="BF89" s="10"/>
      <c r="BG89" s="10"/>
      <c r="BH89" s="10"/>
      <c r="BI89" s="10"/>
      <c r="BJ89" s="10"/>
      <c r="BK89" s="10"/>
      <c r="BL89" s="10"/>
      <c r="BM89" s="10"/>
      <c r="BN89" s="10"/>
    </row>
    <row r="90" ht="15.75" customHeight="1">
      <c r="A90" s="10"/>
      <c r="B90" s="10"/>
      <c r="C90" s="10"/>
      <c r="D90" s="107"/>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8"/>
      <c r="AP90" s="10"/>
      <c r="AQ90" s="10"/>
      <c r="AR90" s="10"/>
      <c r="AS90" s="10"/>
      <c r="AT90" s="10"/>
      <c r="AU90" s="10"/>
      <c r="AV90" s="10"/>
      <c r="AW90" s="10"/>
      <c r="AX90" s="10"/>
      <c r="AY90" s="10"/>
      <c r="AZ90" s="10"/>
      <c r="BA90" s="10"/>
      <c r="BB90" s="69"/>
      <c r="BC90" s="10"/>
      <c r="BD90" s="10"/>
      <c r="BE90" s="10"/>
      <c r="BF90" s="10"/>
      <c r="BG90" s="10"/>
      <c r="BH90" s="10"/>
      <c r="BI90" s="10"/>
      <c r="BJ90" s="10"/>
      <c r="BK90" s="10"/>
      <c r="BL90" s="10"/>
      <c r="BM90" s="10"/>
      <c r="BN90" s="10"/>
    </row>
    <row r="91" ht="15.75" customHeight="1">
      <c r="A91" s="10"/>
      <c r="B91" s="10"/>
      <c r="C91" s="10"/>
      <c r="D91" s="107"/>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8"/>
      <c r="AP91" s="10"/>
      <c r="AQ91" s="10"/>
      <c r="AR91" s="10"/>
      <c r="AS91" s="10"/>
      <c r="AT91" s="10"/>
      <c r="AU91" s="10"/>
      <c r="AV91" s="10"/>
      <c r="AW91" s="10"/>
      <c r="AX91" s="10"/>
      <c r="AY91" s="10"/>
      <c r="AZ91" s="10"/>
      <c r="BA91" s="10"/>
      <c r="BB91" s="69"/>
      <c r="BC91" s="10"/>
      <c r="BD91" s="10"/>
      <c r="BE91" s="10"/>
      <c r="BF91" s="10"/>
      <c r="BG91" s="10"/>
      <c r="BH91" s="10"/>
      <c r="BI91" s="10"/>
      <c r="BJ91" s="10"/>
      <c r="BK91" s="10"/>
      <c r="BL91" s="10"/>
      <c r="BM91" s="10"/>
      <c r="BN91" s="10"/>
    </row>
    <row r="92" ht="15.75" customHeight="1">
      <c r="A92" s="10"/>
      <c r="B92" s="10"/>
      <c r="C92" s="10"/>
      <c r="D92" s="107"/>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8"/>
      <c r="AP92" s="10"/>
      <c r="AQ92" s="10"/>
      <c r="AR92" s="10"/>
      <c r="AS92" s="10"/>
      <c r="AT92" s="10"/>
      <c r="AU92" s="10"/>
      <c r="AV92" s="10"/>
      <c r="AW92" s="10"/>
      <c r="AX92" s="10"/>
      <c r="AY92" s="10"/>
      <c r="AZ92" s="10"/>
      <c r="BA92" s="10"/>
      <c r="BB92" s="69"/>
      <c r="BC92" s="10"/>
      <c r="BD92" s="10"/>
      <c r="BE92" s="10"/>
      <c r="BF92" s="10"/>
      <c r="BG92" s="10"/>
      <c r="BH92" s="10"/>
      <c r="BI92" s="10"/>
      <c r="BJ92" s="10"/>
      <c r="BK92" s="10"/>
      <c r="BL92" s="10"/>
      <c r="BM92" s="10"/>
      <c r="BN92" s="10"/>
    </row>
    <row r="93" ht="15.75" customHeight="1">
      <c r="A93" s="10"/>
      <c r="B93" s="10"/>
      <c r="C93" s="10"/>
      <c r="D93" s="107"/>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8"/>
      <c r="AP93" s="10"/>
      <c r="AQ93" s="10"/>
      <c r="AR93" s="10"/>
      <c r="AS93" s="10"/>
      <c r="AT93" s="10"/>
      <c r="AU93" s="10"/>
      <c r="AV93" s="10"/>
      <c r="AW93" s="10"/>
      <c r="AX93" s="10"/>
      <c r="AY93" s="10"/>
      <c r="AZ93" s="10"/>
      <c r="BA93" s="10"/>
      <c r="BB93" s="69"/>
      <c r="BC93" s="10"/>
      <c r="BD93" s="10"/>
      <c r="BE93" s="10"/>
      <c r="BF93" s="10"/>
      <c r="BG93" s="10"/>
      <c r="BH93" s="10"/>
      <c r="BI93" s="10"/>
      <c r="BJ93" s="10"/>
      <c r="BK93" s="10"/>
      <c r="BL93" s="10"/>
      <c r="BM93" s="10"/>
      <c r="BN93" s="10"/>
    </row>
    <row r="94" ht="15.75" customHeight="1">
      <c r="A94" s="10"/>
      <c r="B94" s="10"/>
      <c r="C94" s="10"/>
      <c r="D94" s="107"/>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8"/>
      <c r="AP94" s="10"/>
      <c r="AQ94" s="10"/>
      <c r="AR94" s="10"/>
      <c r="AS94" s="10"/>
      <c r="AT94" s="10"/>
      <c r="AU94" s="10"/>
      <c r="AV94" s="10"/>
      <c r="AW94" s="10"/>
      <c r="AX94" s="10"/>
      <c r="AY94" s="10"/>
      <c r="AZ94" s="10"/>
      <c r="BA94" s="10"/>
      <c r="BB94" s="69"/>
      <c r="BC94" s="10"/>
      <c r="BD94" s="10"/>
      <c r="BE94" s="10"/>
      <c r="BF94" s="10"/>
      <c r="BG94" s="10"/>
      <c r="BH94" s="10"/>
      <c r="BI94" s="10"/>
      <c r="BJ94" s="10"/>
      <c r="BK94" s="10"/>
      <c r="BL94" s="10"/>
      <c r="BM94" s="10"/>
      <c r="BN94" s="10"/>
    </row>
    <row r="95" ht="15.75" customHeight="1">
      <c r="A95" s="10"/>
      <c r="B95" s="10"/>
      <c r="C95" s="10"/>
      <c r="D95" s="107"/>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8"/>
      <c r="AP95" s="10"/>
      <c r="AQ95" s="10"/>
      <c r="AR95" s="10"/>
      <c r="AS95" s="10"/>
      <c r="AT95" s="10"/>
      <c r="AU95" s="10"/>
      <c r="AV95" s="10"/>
      <c r="AW95" s="10"/>
      <c r="AX95" s="10"/>
      <c r="AY95" s="10"/>
      <c r="AZ95" s="10"/>
      <c r="BA95" s="10"/>
      <c r="BB95" s="69"/>
      <c r="BC95" s="10"/>
      <c r="BD95" s="10"/>
      <c r="BE95" s="10"/>
      <c r="BF95" s="10"/>
      <c r="BG95" s="10"/>
      <c r="BH95" s="10"/>
      <c r="BI95" s="10"/>
      <c r="BJ95" s="10"/>
      <c r="BK95" s="10"/>
      <c r="BL95" s="10"/>
      <c r="BM95" s="10"/>
      <c r="BN95" s="10"/>
    </row>
    <row r="96" ht="15.75" customHeight="1">
      <c r="A96" s="10"/>
      <c r="B96" s="10"/>
      <c r="C96" s="10"/>
      <c r="D96" s="107"/>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8"/>
      <c r="AP96" s="10"/>
      <c r="AQ96" s="10"/>
      <c r="AR96" s="10"/>
      <c r="AS96" s="10"/>
      <c r="AT96" s="10"/>
      <c r="AU96" s="10"/>
      <c r="AV96" s="10"/>
      <c r="AW96" s="10"/>
      <c r="AX96" s="10"/>
      <c r="AY96" s="10"/>
      <c r="AZ96" s="10"/>
      <c r="BA96" s="10"/>
      <c r="BB96" s="69"/>
      <c r="BC96" s="10"/>
      <c r="BD96" s="10"/>
      <c r="BE96" s="10"/>
      <c r="BF96" s="10"/>
      <c r="BG96" s="10"/>
      <c r="BH96" s="10"/>
      <c r="BI96" s="10"/>
      <c r="BJ96" s="10"/>
      <c r="BK96" s="10"/>
      <c r="BL96" s="10"/>
      <c r="BM96" s="10"/>
      <c r="BN96" s="10"/>
    </row>
    <row r="97" ht="15.75" customHeight="1">
      <c r="A97" s="10"/>
      <c r="B97" s="10"/>
      <c r="C97" s="10"/>
      <c r="D97" s="107"/>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8"/>
      <c r="AP97" s="10"/>
      <c r="AQ97" s="10"/>
      <c r="AR97" s="10"/>
      <c r="AS97" s="10"/>
      <c r="AT97" s="10"/>
      <c r="AU97" s="10"/>
      <c r="AV97" s="10"/>
      <c r="AW97" s="10"/>
      <c r="AX97" s="10"/>
      <c r="AY97" s="10"/>
      <c r="AZ97" s="10"/>
      <c r="BA97" s="10"/>
      <c r="BB97" s="69"/>
      <c r="BC97" s="10"/>
      <c r="BD97" s="10"/>
      <c r="BE97" s="10"/>
      <c r="BF97" s="10"/>
      <c r="BG97" s="10"/>
      <c r="BH97" s="10"/>
      <c r="BI97" s="10"/>
      <c r="BJ97" s="10"/>
      <c r="BK97" s="10"/>
      <c r="BL97" s="10"/>
      <c r="BM97" s="10"/>
      <c r="BN97" s="10"/>
    </row>
    <row r="98" ht="15.75" customHeight="1">
      <c r="A98" s="10"/>
      <c r="B98" s="10"/>
      <c r="C98" s="10"/>
      <c r="D98" s="107"/>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8"/>
      <c r="AP98" s="10"/>
      <c r="AQ98" s="10"/>
      <c r="AR98" s="10"/>
      <c r="AS98" s="10"/>
      <c r="AT98" s="10"/>
      <c r="AU98" s="10"/>
      <c r="AV98" s="10"/>
      <c r="AW98" s="10"/>
      <c r="AX98" s="10"/>
      <c r="AY98" s="10"/>
      <c r="AZ98" s="10"/>
      <c r="BA98" s="10"/>
      <c r="BB98" s="69"/>
      <c r="BC98" s="10"/>
      <c r="BD98" s="10"/>
      <c r="BE98" s="10"/>
      <c r="BF98" s="10"/>
      <c r="BG98" s="10"/>
      <c r="BH98" s="10"/>
      <c r="BI98" s="10"/>
      <c r="BJ98" s="10"/>
      <c r="BK98" s="10"/>
      <c r="BL98" s="10"/>
      <c r="BM98" s="10"/>
      <c r="BN98" s="10"/>
    </row>
    <row r="99" ht="15.75" customHeight="1">
      <c r="A99" s="10"/>
      <c r="B99" s="10"/>
      <c r="C99" s="10"/>
      <c r="D99" s="107"/>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8"/>
      <c r="AP99" s="10"/>
      <c r="AQ99" s="10"/>
      <c r="AR99" s="10"/>
      <c r="AS99" s="10"/>
      <c r="AT99" s="10"/>
      <c r="AU99" s="10"/>
      <c r="AV99" s="10"/>
      <c r="AW99" s="10"/>
      <c r="AX99" s="10"/>
      <c r="AY99" s="10"/>
      <c r="AZ99" s="10"/>
      <c r="BA99" s="10"/>
      <c r="BB99" s="69"/>
      <c r="BC99" s="10"/>
      <c r="BD99" s="10"/>
      <c r="BE99" s="10"/>
      <c r="BF99" s="10"/>
      <c r="BG99" s="10"/>
      <c r="BH99" s="10"/>
      <c r="BI99" s="10"/>
      <c r="BJ99" s="10"/>
      <c r="BK99" s="10"/>
      <c r="BL99" s="10"/>
      <c r="BM99" s="10"/>
      <c r="BN99" s="10"/>
    </row>
    <row r="100" ht="15.75" customHeight="1">
      <c r="A100" s="10"/>
      <c r="B100" s="10"/>
      <c r="C100" s="10"/>
      <c r="D100" s="107"/>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8"/>
      <c r="AP100" s="10"/>
      <c r="AQ100" s="10"/>
      <c r="AR100" s="10"/>
      <c r="AS100" s="10"/>
      <c r="AT100" s="10"/>
      <c r="AU100" s="10"/>
      <c r="AV100" s="10"/>
      <c r="AW100" s="10"/>
      <c r="AX100" s="10"/>
      <c r="AY100" s="10"/>
      <c r="AZ100" s="10"/>
      <c r="BA100" s="10"/>
      <c r="BB100" s="69"/>
      <c r="BC100" s="10"/>
      <c r="BD100" s="10"/>
      <c r="BE100" s="10"/>
      <c r="BF100" s="10"/>
      <c r="BG100" s="10"/>
      <c r="BH100" s="10"/>
      <c r="BI100" s="10"/>
      <c r="BJ100" s="10"/>
      <c r="BK100" s="10"/>
      <c r="BL100" s="10"/>
      <c r="BM100" s="10"/>
      <c r="BN100" s="10"/>
    </row>
    <row r="101" ht="15.75" customHeight="1">
      <c r="A101" s="10"/>
      <c r="B101" s="10"/>
      <c r="C101" s="10"/>
      <c r="D101" s="107"/>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8"/>
      <c r="AP101" s="10"/>
      <c r="AQ101" s="10"/>
      <c r="AR101" s="10"/>
      <c r="AS101" s="10"/>
      <c r="AT101" s="10"/>
      <c r="AU101" s="10"/>
      <c r="AV101" s="10"/>
      <c r="AW101" s="10"/>
      <c r="AX101" s="10"/>
      <c r="AY101" s="10"/>
      <c r="AZ101" s="10"/>
      <c r="BA101" s="10"/>
      <c r="BB101" s="69"/>
      <c r="BC101" s="10"/>
      <c r="BD101" s="10"/>
      <c r="BE101" s="10"/>
      <c r="BF101" s="10"/>
      <c r="BG101" s="10"/>
      <c r="BH101" s="10"/>
      <c r="BI101" s="10"/>
      <c r="BJ101" s="10"/>
      <c r="BK101" s="10"/>
      <c r="BL101" s="10"/>
      <c r="BM101" s="10"/>
      <c r="BN101" s="10"/>
    </row>
    <row r="102" ht="15.75" customHeight="1">
      <c r="A102" s="10"/>
      <c r="B102" s="10"/>
      <c r="C102" s="10"/>
      <c r="D102" s="107"/>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8"/>
      <c r="AP102" s="10"/>
      <c r="AQ102" s="10"/>
      <c r="AR102" s="10"/>
      <c r="AS102" s="10"/>
      <c r="AT102" s="10"/>
      <c r="AU102" s="10"/>
      <c r="AV102" s="10"/>
      <c r="AW102" s="10"/>
      <c r="AX102" s="10"/>
      <c r="AY102" s="10"/>
      <c r="AZ102" s="10"/>
      <c r="BA102" s="10"/>
      <c r="BB102" s="69"/>
      <c r="BC102" s="10"/>
      <c r="BD102" s="10"/>
      <c r="BE102" s="10"/>
      <c r="BF102" s="10"/>
      <c r="BG102" s="10"/>
      <c r="BH102" s="10"/>
      <c r="BI102" s="10"/>
      <c r="BJ102" s="10"/>
      <c r="BK102" s="10"/>
      <c r="BL102" s="10"/>
      <c r="BM102" s="10"/>
      <c r="BN102" s="10"/>
    </row>
    <row r="103" ht="15.75" customHeight="1">
      <c r="A103" s="10"/>
      <c r="B103" s="10"/>
      <c r="C103" s="10"/>
      <c r="D103" s="107"/>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8"/>
      <c r="AP103" s="10"/>
      <c r="AQ103" s="10"/>
      <c r="AR103" s="10"/>
      <c r="AS103" s="10"/>
      <c r="AT103" s="10"/>
      <c r="AU103" s="10"/>
      <c r="AV103" s="10"/>
      <c r="AW103" s="10"/>
      <c r="AX103" s="10"/>
      <c r="AY103" s="10"/>
      <c r="AZ103" s="10"/>
      <c r="BA103" s="10"/>
      <c r="BB103" s="69"/>
      <c r="BC103" s="10"/>
      <c r="BD103" s="10"/>
      <c r="BE103" s="10"/>
      <c r="BF103" s="10"/>
      <c r="BG103" s="10"/>
      <c r="BH103" s="10"/>
      <c r="BI103" s="10"/>
      <c r="BJ103" s="10"/>
      <c r="BK103" s="10"/>
      <c r="BL103" s="10"/>
      <c r="BM103" s="10"/>
      <c r="BN103" s="10"/>
    </row>
    <row r="104" ht="15.75" customHeight="1">
      <c r="A104" s="10"/>
      <c r="B104" s="10"/>
      <c r="C104" s="10"/>
      <c r="D104" s="107"/>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8"/>
      <c r="AP104" s="10"/>
      <c r="AQ104" s="10"/>
      <c r="AR104" s="10"/>
      <c r="AS104" s="10"/>
      <c r="AT104" s="10"/>
      <c r="AU104" s="10"/>
      <c r="AV104" s="10"/>
      <c r="AW104" s="10"/>
      <c r="AX104" s="10"/>
      <c r="AY104" s="10"/>
      <c r="AZ104" s="10"/>
      <c r="BA104" s="10"/>
      <c r="BB104" s="69"/>
      <c r="BC104" s="10"/>
      <c r="BD104" s="10"/>
      <c r="BE104" s="10"/>
      <c r="BF104" s="10"/>
      <c r="BG104" s="10"/>
      <c r="BH104" s="10"/>
      <c r="BI104" s="10"/>
      <c r="BJ104" s="10"/>
      <c r="BK104" s="10"/>
      <c r="BL104" s="10"/>
      <c r="BM104" s="10"/>
      <c r="BN104" s="10"/>
    </row>
    <row r="105" ht="15.75" customHeight="1">
      <c r="A105" s="10"/>
      <c r="B105" s="10"/>
      <c r="C105" s="10"/>
      <c r="D105" s="107"/>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8"/>
      <c r="AP105" s="10"/>
      <c r="AQ105" s="10"/>
      <c r="AR105" s="10"/>
      <c r="AS105" s="10"/>
      <c r="AT105" s="10"/>
      <c r="AU105" s="10"/>
      <c r="AV105" s="10"/>
      <c r="AW105" s="10"/>
      <c r="AX105" s="10"/>
      <c r="AY105" s="10"/>
      <c r="AZ105" s="10"/>
      <c r="BA105" s="10"/>
      <c r="BB105" s="69"/>
      <c r="BC105" s="10"/>
      <c r="BD105" s="10"/>
      <c r="BE105" s="10"/>
      <c r="BF105" s="10"/>
      <c r="BG105" s="10"/>
      <c r="BH105" s="10"/>
      <c r="BI105" s="10"/>
      <c r="BJ105" s="10"/>
      <c r="BK105" s="10"/>
      <c r="BL105" s="10"/>
      <c r="BM105" s="10"/>
      <c r="BN105" s="10"/>
    </row>
    <row r="106" ht="15.75" customHeight="1">
      <c r="A106" s="10"/>
      <c r="B106" s="10"/>
      <c r="C106" s="10"/>
      <c r="D106" s="107"/>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8"/>
      <c r="AP106" s="10"/>
      <c r="AQ106" s="10"/>
      <c r="AR106" s="10"/>
      <c r="AS106" s="10"/>
      <c r="AT106" s="10"/>
      <c r="AU106" s="10"/>
      <c r="AV106" s="10"/>
      <c r="AW106" s="10"/>
      <c r="AX106" s="10"/>
      <c r="AY106" s="10"/>
      <c r="AZ106" s="10"/>
      <c r="BA106" s="10"/>
      <c r="BB106" s="69"/>
      <c r="BC106" s="10"/>
      <c r="BD106" s="10"/>
      <c r="BE106" s="10"/>
      <c r="BF106" s="10"/>
      <c r="BG106" s="10"/>
      <c r="BH106" s="10"/>
      <c r="BI106" s="10"/>
      <c r="BJ106" s="10"/>
      <c r="BK106" s="10"/>
      <c r="BL106" s="10"/>
      <c r="BM106" s="10"/>
      <c r="BN106" s="10"/>
    </row>
    <row r="107" ht="15.75" customHeight="1">
      <c r="A107" s="10"/>
      <c r="B107" s="10"/>
      <c r="C107" s="10"/>
      <c r="D107" s="107"/>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8"/>
      <c r="AP107" s="10"/>
      <c r="AQ107" s="10"/>
      <c r="AR107" s="10"/>
      <c r="AS107" s="10"/>
      <c r="AT107" s="10"/>
      <c r="AU107" s="10"/>
      <c r="AV107" s="10"/>
      <c r="AW107" s="10"/>
      <c r="AX107" s="10"/>
      <c r="AY107" s="10"/>
      <c r="AZ107" s="10"/>
      <c r="BA107" s="10"/>
      <c r="BB107" s="69"/>
      <c r="BC107" s="10"/>
      <c r="BD107" s="10"/>
      <c r="BE107" s="10"/>
      <c r="BF107" s="10"/>
      <c r="BG107" s="10"/>
      <c r="BH107" s="10"/>
      <c r="BI107" s="10"/>
      <c r="BJ107" s="10"/>
      <c r="BK107" s="10"/>
      <c r="BL107" s="10"/>
      <c r="BM107" s="10"/>
      <c r="BN107" s="10"/>
    </row>
    <row r="108" ht="15.75" customHeight="1">
      <c r="A108" s="10"/>
      <c r="B108" s="10"/>
      <c r="C108" s="10"/>
      <c r="D108" s="107"/>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8"/>
      <c r="AP108" s="10"/>
      <c r="AQ108" s="10"/>
      <c r="AR108" s="10"/>
      <c r="AS108" s="10"/>
      <c r="AT108" s="10"/>
      <c r="AU108" s="10"/>
      <c r="AV108" s="10"/>
      <c r="AW108" s="10"/>
      <c r="AX108" s="10"/>
      <c r="AY108" s="10"/>
      <c r="AZ108" s="10"/>
      <c r="BA108" s="10"/>
      <c r="BB108" s="69"/>
      <c r="BC108" s="10"/>
      <c r="BD108" s="10"/>
      <c r="BE108" s="10"/>
      <c r="BF108" s="10"/>
      <c r="BG108" s="10"/>
      <c r="BH108" s="10"/>
      <c r="BI108" s="10"/>
      <c r="BJ108" s="10"/>
      <c r="BK108" s="10"/>
      <c r="BL108" s="10"/>
      <c r="BM108" s="10"/>
      <c r="BN108" s="10"/>
    </row>
    <row r="109" ht="15.75" customHeight="1">
      <c r="A109" s="10"/>
      <c r="B109" s="10"/>
      <c r="C109" s="10"/>
      <c r="D109" s="107"/>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8"/>
      <c r="AP109" s="10"/>
      <c r="AQ109" s="10"/>
      <c r="AR109" s="10"/>
      <c r="AS109" s="10"/>
      <c r="AT109" s="10"/>
      <c r="AU109" s="10"/>
      <c r="AV109" s="10"/>
      <c r="AW109" s="10"/>
      <c r="AX109" s="10"/>
      <c r="AY109" s="10"/>
      <c r="AZ109" s="10"/>
      <c r="BA109" s="10"/>
      <c r="BB109" s="69"/>
      <c r="BC109" s="10"/>
      <c r="BD109" s="10"/>
      <c r="BE109" s="10"/>
      <c r="BF109" s="10"/>
      <c r="BG109" s="10"/>
      <c r="BH109" s="10"/>
      <c r="BI109" s="10"/>
      <c r="BJ109" s="10"/>
      <c r="BK109" s="10"/>
      <c r="BL109" s="10"/>
      <c r="BM109" s="10"/>
      <c r="BN109" s="10"/>
    </row>
    <row r="110" ht="15.75" customHeight="1">
      <c r="A110" s="10"/>
      <c r="B110" s="10"/>
      <c r="C110" s="10"/>
      <c r="D110" s="107"/>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8"/>
      <c r="AP110" s="10"/>
      <c r="AQ110" s="10"/>
      <c r="AR110" s="10"/>
      <c r="AS110" s="10"/>
      <c r="AT110" s="10"/>
      <c r="AU110" s="10"/>
      <c r="AV110" s="10"/>
      <c r="AW110" s="10"/>
      <c r="AX110" s="10"/>
      <c r="AY110" s="10"/>
      <c r="AZ110" s="10"/>
      <c r="BA110" s="10"/>
      <c r="BB110" s="69"/>
      <c r="BC110" s="10"/>
      <c r="BD110" s="10"/>
      <c r="BE110" s="10"/>
      <c r="BF110" s="10"/>
      <c r="BG110" s="10"/>
      <c r="BH110" s="10"/>
      <c r="BI110" s="10"/>
      <c r="BJ110" s="10"/>
      <c r="BK110" s="10"/>
      <c r="BL110" s="10"/>
      <c r="BM110" s="10"/>
      <c r="BN110" s="10"/>
    </row>
    <row r="111" ht="15.75" customHeight="1">
      <c r="A111" s="10"/>
      <c r="B111" s="10"/>
      <c r="C111" s="10"/>
      <c r="D111" s="107"/>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8"/>
      <c r="AP111" s="10"/>
      <c r="AQ111" s="10"/>
      <c r="AR111" s="10"/>
      <c r="AS111" s="10"/>
      <c r="AT111" s="10"/>
      <c r="AU111" s="10"/>
      <c r="AV111" s="10"/>
      <c r="AW111" s="10"/>
      <c r="AX111" s="10"/>
      <c r="AY111" s="10"/>
      <c r="AZ111" s="10"/>
      <c r="BA111" s="10"/>
      <c r="BB111" s="69"/>
      <c r="BC111" s="10"/>
      <c r="BD111" s="10"/>
      <c r="BE111" s="10"/>
      <c r="BF111" s="10"/>
      <c r="BG111" s="10"/>
      <c r="BH111" s="10"/>
      <c r="BI111" s="10"/>
      <c r="BJ111" s="10"/>
      <c r="BK111" s="10"/>
      <c r="BL111" s="10"/>
      <c r="BM111" s="10"/>
      <c r="BN111" s="10"/>
    </row>
    <row r="112" ht="15.75" customHeight="1">
      <c r="A112" s="10"/>
      <c r="B112" s="10"/>
      <c r="C112" s="10"/>
      <c r="D112" s="107"/>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8"/>
      <c r="AP112" s="10"/>
      <c r="AQ112" s="10"/>
      <c r="AR112" s="10"/>
      <c r="AS112" s="10"/>
      <c r="AT112" s="10"/>
      <c r="AU112" s="10"/>
      <c r="AV112" s="10"/>
      <c r="AW112" s="10"/>
      <c r="AX112" s="10"/>
      <c r="AY112" s="10"/>
      <c r="AZ112" s="10"/>
      <c r="BA112" s="10"/>
      <c r="BB112" s="69"/>
      <c r="BC112" s="10"/>
      <c r="BD112" s="10"/>
      <c r="BE112" s="10"/>
      <c r="BF112" s="10"/>
      <c r="BG112" s="10"/>
      <c r="BH112" s="10"/>
      <c r="BI112" s="10"/>
      <c r="BJ112" s="10"/>
      <c r="BK112" s="10"/>
      <c r="BL112" s="10"/>
      <c r="BM112" s="10"/>
      <c r="BN112" s="10"/>
    </row>
    <row r="113" ht="15.75" customHeight="1">
      <c r="A113" s="10"/>
      <c r="B113" s="10"/>
      <c r="C113" s="10"/>
      <c r="D113" s="107"/>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8"/>
      <c r="AP113" s="10"/>
      <c r="AQ113" s="10"/>
      <c r="AR113" s="10"/>
      <c r="AS113" s="10"/>
      <c r="AT113" s="10"/>
      <c r="AU113" s="10"/>
      <c r="AV113" s="10"/>
      <c r="AW113" s="10"/>
      <c r="AX113" s="10"/>
      <c r="AY113" s="10"/>
      <c r="AZ113" s="10"/>
      <c r="BA113" s="10"/>
      <c r="BB113" s="69"/>
      <c r="BC113" s="10"/>
      <c r="BD113" s="10"/>
      <c r="BE113" s="10"/>
      <c r="BF113" s="10"/>
      <c r="BG113" s="10"/>
      <c r="BH113" s="10"/>
      <c r="BI113" s="10"/>
      <c r="BJ113" s="10"/>
      <c r="BK113" s="10"/>
      <c r="BL113" s="10"/>
      <c r="BM113" s="10"/>
      <c r="BN113" s="10"/>
    </row>
    <row r="114" ht="15.75" customHeight="1">
      <c r="A114" s="10"/>
      <c r="B114" s="10"/>
      <c r="C114" s="10"/>
      <c r="D114" s="107"/>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8"/>
      <c r="AP114" s="10"/>
      <c r="AQ114" s="10"/>
      <c r="AR114" s="10"/>
      <c r="AS114" s="10"/>
      <c r="AT114" s="10"/>
      <c r="AU114" s="10"/>
      <c r="AV114" s="10"/>
      <c r="AW114" s="10"/>
      <c r="AX114" s="10"/>
      <c r="AY114" s="10"/>
      <c r="AZ114" s="10"/>
      <c r="BA114" s="10"/>
      <c r="BB114" s="69"/>
      <c r="BC114" s="10"/>
      <c r="BD114" s="10"/>
      <c r="BE114" s="10"/>
      <c r="BF114" s="10"/>
      <c r="BG114" s="10"/>
      <c r="BH114" s="10"/>
      <c r="BI114" s="10"/>
      <c r="BJ114" s="10"/>
      <c r="BK114" s="10"/>
      <c r="BL114" s="10"/>
      <c r="BM114" s="10"/>
      <c r="BN114" s="10"/>
    </row>
    <row r="115" ht="15.75" customHeight="1">
      <c r="A115" s="10"/>
      <c r="B115" s="10"/>
      <c r="C115" s="10"/>
      <c r="D115" s="107"/>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8"/>
      <c r="AP115" s="10"/>
      <c r="AQ115" s="10"/>
      <c r="AR115" s="10"/>
      <c r="AS115" s="10"/>
      <c r="AT115" s="10"/>
      <c r="AU115" s="10"/>
      <c r="AV115" s="10"/>
      <c r="AW115" s="10"/>
      <c r="AX115" s="10"/>
      <c r="AY115" s="10"/>
      <c r="AZ115" s="10"/>
      <c r="BA115" s="10"/>
      <c r="BB115" s="69"/>
      <c r="BC115" s="10"/>
      <c r="BD115" s="10"/>
      <c r="BE115" s="10"/>
      <c r="BF115" s="10"/>
      <c r="BG115" s="10"/>
      <c r="BH115" s="10"/>
      <c r="BI115" s="10"/>
      <c r="BJ115" s="10"/>
      <c r="BK115" s="10"/>
      <c r="BL115" s="10"/>
      <c r="BM115" s="10"/>
      <c r="BN115" s="10"/>
    </row>
    <row r="116" ht="15.75" customHeight="1">
      <c r="A116" s="10"/>
      <c r="B116" s="10"/>
      <c r="C116" s="10"/>
      <c r="D116" s="107"/>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8"/>
      <c r="AP116" s="10"/>
      <c r="AQ116" s="10"/>
      <c r="AR116" s="10"/>
      <c r="AS116" s="10"/>
      <c r="AT116" s="10"/>
      <c r="AU116" s="10"/>
      <c r="AV116" s="10"/>
      <c r="AW116" s="10"/>
      <c r="AX116" s="10"/>
      <c r="AY116" s="10"/>
      <c r="AZ116" s="10"/>
      <c r="BA116" s="10"/>
      <c r="BB116" s="69"/>
      <c r="BC116" s="10"/>
      <c r="BD116" s="10"/>
      <c r="BE116" s="10"/>
      <c r="BF116" s="10"/>
      <c r="BG116" s="10"/>
      <c r="BH116" s="10"/>
      <c r="BI116" s="10"/>
      <c r="BJ116" s="10"/>
      <c r="BK116" s="10"/>
      <c r="BL116" s="10"/>
      <c r="BM116" s="10"/>
      <c r="BN116" s="10"/>
    </row>
    <row r="117" ht="15.75" customHeight="1">
      <c r="C117" s="10"/>
      <c r="D117" s="115"/>
      <c r="AO117" s="116"/>
      <c r="BB117" s="117"/>
      <c r="BN117" s="10"/>
    </row>
    <row r="118" ht="15.75" customHeight="1">
      <c r="C118" s="10"/>
      <c r="D118" s="115"/>
      <c r="AO118" s="116"/>
      <c r="BB118" s="117"/>
      <c r="BN118" s="10"/>
    </row>
    <row r="119" ht="15.75" customHeight="1">
      <c r="C119" s="10"/>
      <c r="D119" s="115"/>
      <c r="AO119" s="116"/>
      <c r="BB119" s="117"/>
      <c r="BN119" s="10"/>
    </row>
    <row r="120" ht="15.75" customHeight="1">
      <c r="C120" s="10"/>
      <c r="D120" s="115"/>
      <c r="AO120" s="116"/>
      <c r="BB120" s="117"/>
      <c r="BN120" s="10"/>
    </row>
    <row r="121" ht="15.75" customHeight="1">
      <c r="C121" s="10"/>
      <c r="D121" s="115"/>
      <c r="AO121" s="116"/>
      <c r="BB121" s="117"/>
      <c r="BN121" s="10"/>
    </row>
    <row r="122" ht="15.75" customHeight="1">
      <c r="C122" s="10"/>
      <c r="D122" s="115"/>
      <c r="AO122" s="116"/>
      <c r="BB122" s="117"/>
      <c r="BN122" s="10"/>
    </row>
    <row r="123" ht="15.75" customHeight="1">
      <c r="C123" s="10"/>
      <c r="D123" s="115"/>
      <c r="AO123" s="116"/>
      <c r="BB123" s="117"/>
      <c r="BN123" s="10"/>
    </row>
    <row r="124" ht="15.75" customHeight="1">
      <c r="C124" s="10"/>
      <c r="D124" s="115"/>
      <c r="AO124" s="116"/>
      <c r="BB124" s="117"/>
      <c r="BN124" s="10"/>
    </row>
    <row r="125" ht="15.75" customHeight="1">
      <c r="C125" s="10"/>
      <c r="D125" s="115"/>
      <c r="AO125" s="116"/>
      <c r="BB125" s="117"/>
      <c r="BN125" s="10"/>
    </row>
    <row r="126" ht="15.75" customHeight="1">
      <c r="C126" s="10"/>
      <c r="D126" s="115"/>
      <c r="AO126" s="116"/>
      <c r="BB126" s="117"/>
      <c r="BN126" s="10"/>
    </row>
    <row r="127" ht="15.75" customHeight="1">
      <c r="C127" s="10"/>
      <c r="D127" s="115"/>
      <c r="AO127" s="116"/>
      <c r="BB127" s="117"/>
      <c r="BN127" s="10"/>
    </row>
    <row r="128" ht="15.75" customHeight="1">
      <c r="C128" s="10"/>
      <c r="D128" s="115"/>
      <c r="AO128" s="116"/>
      <c r="BB128" s="117"/>
      <c r="BN128" s="10"/>
    </row>
    <row r="129" ht="15.75" customHeight="1">
      <c r="C129" s="10"/>
      <c r="D129" s="115"/>
      <c r="AO129" s="116"/>
      <c r="BB129" s="117"/>
      <c r="BN129" s="10"/>
    </row>
    <row r="130" ht="15.75" customHeight="1">
      <c r="C130" s="10"/>
      <c r="D130" s="115"/>
      <c r="AO130" s="116"/>
      <c r="BB130" s="117"/>
      <c r="BN130" s="10"/>
    </row>
    <row r="131" ht="15.75" customHeight="1">
      <c r="C131" s="10"/>
      <c r="D131" s="115"/>
      <c r="AO131" s="116"/>
      <c r="BB131" s="117"/>
      <c r="BN131" s="10"/>
    </row>
    <row r="132" ht="15.75" customHeight="1">
      <c r="C132" s="10"/>
      <c r="D132" s="115"/>
      <c r="AO132" s="116"/>
      <c r="BB132" s="117"/>
      <c r="BN132" s="10"/>
    </row>
    <row r="133" ht="15.75" customHeight="1">
      <c r="C133" s="10"/>
      <c r="D133" s="115"/>
      <c r="AO133" s="116"/>
      <c r="BB133" s="117"/>
      <c r="BN133" s="10"/>
    </row>
    <row r="134" ht="15.75" customHeight="1">
      <c r="C134" s="10"/>
      <c r="D134" s="115"/>
      <c r="AO134" s="116"/>
      <c r="BB134" s="117"/>
      <c r="BN134" s="10"/>
    </row>
    <row r="135" ht="15.75" customHeight="1">
      <c r="C135" s="10"/>
      <c r="D135" s="115"/>
      <c r="AO135" s="116"/>
      <c r="BB135" s="117"/>
      <c r="BN135" s="10"/>
    </row>
    <row r="136" ht="15.75" customHeight="1">
      <c r="C136" s="10"/>
      <c r="D136" s="115"/>
      <c r="AO136" s="116"/>
      <c r="BB136" s="117"/>
      <c r="BN136" s="10"/>
    </row>
    <row r="137" ht="15.75" customHeight="1">
      <c r="C137" s="10"/>
      <c r="D137" s="115"/>
      <c r="AO137" s="116"/>
      <c r="BB137" s="117"/>
      <c r="BN137" s="10"/>
    </row>
    <row r="138" ht="15.75" customHeight="1">
      <c r="C138" s="10"/>
      <c r="D138" s="115"/>
      <c r="AO138" s="116"/>
      <c r="BB138" s="117"/>
      <c r="BN138" s="10"/>
    </row>
    <row r="139" ht="15.75" customHeight="1">
      <c r="C139" s="10"/>
      <c r="D139" s="115"/>
      <c r="AO139" s="116"/>
      <c r="BB139" s="117"/>
      <c r="BN139" s="10"/>
    </row>
    <row r="140" ht="15.75" customHeight="1">
      <c r="C140" s="10"/>
      <c r="D140" s="115"/>
      <c r="AO140" s="116"/>
      <c r="BB140" s="117"/>
      <c r="BN140" s="10"/>
    </row>
    <row r="141" ht="15.75" customHeight="1">
      <c r="C141" s="10"/>
      <c r="D141" s="115"/>
      <c r="AO141" s="116"/>
      <c r="BB141" s="117"/>
      <c r="BN141" s="10"/>
    </row>
    <row r="142" ht="15.75" customHeight="1">
      <c r="C142" s="10"/>
      <c r="D142" s="115"/>
      <c r="AO142" s="116"/>
      <c r="BB142" s="117"/>
      <c r="BN142" s="10"/>
    </row>
    <row r="143" ht="15.75" customHeight="1">
      <c r="C143" s="10"/>
      <c r="D143" s="115"/>
      <c r="AO143" s="116"/>
      <c r="BB143" s="117"/>
      <c r="BN143" s="10"/>
    </row>
    <row r="144" ht="15.75" customHeight="1">
      <c r="C144" s="10"/>
      <c r="D144" s="115"/>
      <c r="AO144" s="116"/>
      <c r="BB144" s="117"/>
      <c r="BN144" s="10"/>
    </row>
    <row r="145" ht="15.75" customHeight="1">
      <c r="C145" s="10"/>
      <c r="D145" s="115"/>
      <c r="AO145" s="116"/>
      <c r="BB145" s="117"/>
      <c r="BN145" s="10"/>
    </row>
    <row r="146" ht="15.75" customHeight="1">
      <c r="C146" s="10"/>
      <c r="D146" s="115"/>
      <c r="AO146" s="116"/>
      <c r="BB146" s="117"/>
      <c r="BN146" s="10"/>
    </row>
    <row r="147" ht="15.75" customHeight="1">
      <c r="C147" s="10"/>
      <c r="D147" s="115"/>
      <c r="AO147" s="116"/>
      <c r="BB147" s="117"/>
      <c r="BN147" s="10"/>
    </row>
    <row r="148" ht="15.75" customHeight="1">
      <c r="C148" s="10"/>
      <c r="D148" s="115"/>
      <c r="AO148" s="116"/>
      <c r="BB148" s="117"/>
      <c r="BN148" s="10"/>
    </row>
    <row r="149" ht="15.75" customHeight="1">
      <c r="C149" s="10"/>
      <c r="D149" s="115"/>
      <c r="AO149" s="116"/>
      <c r="BB149" s="117"/>
      <c r="BN149" s="10"/>
    </row>
    <row r="150" ht="15.75" customHeight="1">
      <c r="C150" s="10"/>
      <c r="D150" s="115"/>
      <c r="AO150" s="116"/>
      <c r="BB150" s="117"/>
      <c r="BN150" s="10"/>
    </row>
    <row r="151" ht="15.75" customHeight="1">
      <c r="C151" s="10"/>
      <c r="D151" s="115"/>
      <c r="AO151" s="116"/>
      <c r="BB151" s="117"/>
      <c r="BN151" s="10"/>
    </row>
    <row r="152" ht="15.75" customHeight="1">
      <c r="C152" s="10"/>
      <c r="D152" s="115"/>
      <c r="AO152" s="116"/>
      <c r="BB152" s="117"/>
      <c r="BN152" s="10"/>
    </row>
    <row r="153" ht="15.75" customHeight="1">
      <c r="C153" s="10"/>
      <c r="D153" s="115"/>
      <c r="AO153" s="116"/>
      <c r="BB153" s="117"/>
      <c r="BN153" s="10"/>
    </row>
    <row r="154" ht="15.75" customHeight="1">
      <c r="C154" s="10"/>
      <c r="D154" s="115"/>
      <c r="AO154" s="116"/>
      <c r="BB154" s="117"/>
      <c r="BN154" s="10"/>
    </row>
    <row r="155" ht="15.75" customHeight="1">
      <c r="C155" s="10"/>
      <c r="D155" s="115"/>
      <c r="AO155" s="116"/>
      <c r="BB155" s="117"/>
      <c r="BN155" s="10"/>
    </row>
    <row r="156" ht="15.75" customHeight="1">
      <c r="C156" s="10"/>
      <c r="D156" s="115"/>
      <c r="AO156" s="116"/>
      <c r="BB156" s="117"/>
      <c r="BN156" s="10"/>
    </row>
    <row r="157" ht="15.75" customHeight="1">
      <c r="C157" s="10"/>
      <c r="D157" s="115"/>
      <c r="AO157" s="116"/>
      <c r="BB157" s="117"/>
      <c r="BN157" s="10"/>
    </row>
    <row r="158" ht="15.75" customHeight="1">
      <c r="C158" s="10"/>
      <c r="D158" s="115"/>
      <c r="AO158" s="116"/>
      <c r="BB158" s="117"/>
      <c r="BN158" s="10"/>
    </row>
    <row r="159" ht="15.75" customHeight="1">
      <c r="C159" s="10"/>
      <c r="D159" s="115"/>
      <c r="AO159" s="116"/>
      <c r="BB159" s="117"/>
      <c r="BN159" s="10"/>
    </row>
    <row r="160" ht="15.75" customHeight="1">
      <c r="C160" s="10"/>
      <c r="D160" s="115"/>
      <c r="AO160" s="116"/>
      <c r="BB160" s="117"/>
      <c r="BN160" s="10"/>
    </row>
    <row r="161" ht="15.75" customHeight="1">
      <c r="C161" s="10"/>
      <c r="D161" s="115"/>
      <c r="AO161" s="116"/>
      <c r="BB161" s="117"/>
      <c r="BN161" s="10"/>
    </row>
    <row r="162" ht="15.75" customHeight="1">
      <c r="C162" s="10"/>
      <c r="D162" s="115"/>
      <c r="AO162" s="116"/>
      <c r="BB162" s="117"/>
      <c r="BN162" s="10"/>
    </row>
    <row r="163" ht="15.75" customHeight="1">
      <c r="C163" s="10"/>
      <c r="D163" s="115"/>
      <c r="AO163" s="116"/>
      <c r="BB163" s="117"/>
      <c r="BN163" s="10"/>
    </row>
    <row r="164" ht="15.75" customHeight="1">
      <c r="C164" s="10"/>
      <c r="D164" s="115"/>
      <c r="AO164" s="116"/>
      <c r="BB164" s="117"/>
      <c r="BN164" s="10"/>
    </row>
    <row r="165" ht="15.75" customHeight="1">
      <c r="C165" s="10"/>
      <c r="D165" s="115"/>
      <c r="AO165" s="116"/>
      <c r="BB165" s="117"/>
      <c r="BN165" s="10"/>
    </row>
    <row r="166" ht="15.75" customHeight="1">
      <c r="C166" s="10"/>
      <c r="D166" s="115"/>
      <c r="AO166" s="116"/>
      <c r="BB166" s="117"/>
      <c r="BN166" s="10"/>
    </row>
    <row r="167" ht="15.75" customHeight="1">
      <c r="C167" s="10"/>
      <c r="D167" s="115"/>
      <c r="AO167" s="116"/>
      <c r="BB167" s="117"/>
      <c r="BN167" s="10"/>
    </row>
    <row r="168" ht="15.75" customHeight="1">
      <c r="C168" s="10"/>
      <c r="D168" s="115"/>
      <c r="AO168" s="116"/>
      <c r="BB168" s="117"/>
      <c r="BN168" s="10"/>
    </row>
    <row r="169" ht="15.75" customHeight="1">
      <c r="C169" s="10"/>
      <c r="D169" s="115"/>
      <c r="AO169" s="116"/>
      <c r="BB169" s="117"/>
      <c r="BN169" s="10"/>
    </row>
    <row r="170" ht="15.75" customHeight="1">
      <c r="C170" s="10"/>
      <c r="D170" s="115"/>
      <c r="AO170" s="116"/>
      <c r="BB170" s="117"/>
      <c r="BN170" s="10"/>
    </row>
    <row r="171" ht="15.75" customHeight="1">
      <c r="C171" s="10"/>
      <c r="D171" s="115"/>
      <c r="AO171" s="116"/>
      <c r="BB171" s="117"/>
      <c r="BN171" s="10"/>
    </row>
    <row r="172" ht="15.75" customHeight="1">
      <c r="C172" s="10"/>
      <c r="D172" s="115"/>
      <c r="AO172" s="116"/>
      <c r="BB172" s="117"/>
      <c r="BN172" s="10"/>
    </row>
    <row r="173" ht="15.75" customHeight="1">
      <c r="C173" s="10"/>
      <c r="D173" s="115"/>
      <c r="AO173" s="116"/>
      <c r="BB173" s="117"/>
      <c r="BN173" s="10"/>
    </row>
    <row r="174" ht="15.75" customHeight="1">
      <c r="C174" s="10"/>
      <c r="D174" s="115"/>
      <c r="AO174" s="116"/>
      <c r="BB174" s="117"/>
      <c r="BN174" s="10"/>
    </row>
    <row r="175" ht="15.75" customHeight="1">
      <c r="C175" s="10"/>
      <c r="D175" s="115"/>
      <c r="AO175" s="116"/>
      <c r="BB175" s="117"/>
      <c r="BN175" s="10"/>
    </row>
    <row r="176" ht="15.75" customHeight="1">
      <c r="C176" s="10"/>
      <c r="D176" s="115"/>
      <c r="AO176" s="116"/>
      <c r="BB176" s="117"/>
      <c r="BN176" s="10"/>
    </row>
    <row r="177" ht="15.75" customHeight="1">
      <c r="C177" s="10"/>
      <c r="D177" s="115"/>
      <c r="AO177" s="116"/>
      <c r="BB177" s="117"/>
      <c r="BN177" s="10"/>
    </row>
    <row r="178" ht="15.75" customHeight="1">
      <c r="C178" s="10"/>
      <c r="D178" s="115"/>
      <c r="AO178" s="116"/>
      <c r="BB178" s="117"/>
      <c r="BN178" s="10"/>
    </row>
    <row r="179" ht="15.75" customHeight="1">
      <c r="C179" s="10"/>
      <c r="D179" s="115"/>
      <c r="AO179" s="116"/>
      <c r="BB179" s="117"/>
      <c r="BN179" s="10"/>
    </row>
    <row r="180" ht="15.75" customHeight="1">
      <c r="C180" s="10"/>
      <c r="D180" s="115"/>
      <c r="AO180" s="116"/>
      <c r="BB180" s="117"/>
      <c r="BN180" s="10"/>
    </row>
    <row r="181" ht="15.75" customHeight="1">
      <c r="C181" s="10"/>
      <c r="D181" s="115"/>
      <c r="AO181" s="116"/>
      <c r="BB181" s="117"/>
      <c r="BN181" s="10"/>
    </row>
    <row r="182" ht="15.75" customHeight="1">
      <c r="C182" s="10"/>
      <c r="D182" s="115"/>
      <c r="AO182" s="116"/>
      <c r="BB182" s="117"/>
      <c r="BN182" s="10"/>
    </row>
    <row r="183" ht="15.75" customHeight="1">
      <c r="C183" s="10"/>
      <c r="D183" s="115"/>
      <c r="AO183" s="116"/>
      <c r="BB183" s="117"/>
      <c r="BN183" s="10"/>
    </row>
    <row r="184" ht="15.75" customHeight="1">
      <c r="C184" s="10"/>
      <c r="D184" s="115"/>
      <c r="AO184" s="116"/>
      <c r="BB184" s="117"/>
      <c r="BN184" s="10"/>
    </row>
    <row r="185" ht="15.75" customHeight="1">
      <c r="C185" s="10"/>
      <c r="D185" s="115"/>
      <c r="AO185" s="116"/>
      <c r="BB185" s="117"/>
      <c r="BN185" s="10"/>
    </row>
    <row r="186" ht="15.75" customHeight="1">
      <c r="C186" s="10"/>
      <c r="D186" s="115"/>
      <c r="AO186" s="116"/>
      <c r="BB186" s="117"/>
      <c r="BN186" s="10"/>
    </row>
    <row r="187" ht="15.75" customHeight="1">
      <c r="C187" s="10"/>
      <c r="D187" s="115"/>
      <c r="AO187" s="116"/>
      <c r="BB187" s="117"/>
      <c r="BN187" s="10"/>
    </row>
    <row r="188" ht="15.75" customHeight="1">
      <c r="C188" s="10"/>
      <c r="D188" s="115"/>
      <c r="AO188" s="116"/>
      <c r="BB188" s="117"/>
      <c r="BN188" s="10"/>
    </row>
    <row r="189" ht="15.75" customHeight="1">
      <c r="C189" s="10"/>
      <c r="D189" s="115"/>
      <c r="AO189" s="116"/>
      <c r="BB189" s="117"/>
      <c r="BN189" s="10"/>
    </row>
    <row r="190" ht="15.75" customHeight="1">
      <c r="C190" s="10"/>
      <c r="D190" s="115"/>
      <c r="AO190" s="116"/>
      <c r="BB190" s="117"/>
      <c r="BN190" s="10"/>
    </row>
    <row r="191" ht="15.75" customHeight="1">
      <c r="C191" s="10"/>
      <c r="D191" s="115"/>
      <c r="AO191" s="116"/>
      <c r="BB191" s="117"/>
      <c r="BN191" s="10"/>
    </row>
    <row r="192" ht="15.75" customHeight="1">
      <c r="C192" s="10"/>
      <c r="D192" s="115"/>
      <c r="AO192" s="116"/>
      <c r="BB192" s="117"/>
      <c r="BN192" s="10"/>
    </row>
    <row r="193" ht="15.75" customHeight="1">
      <c r="C193" s="10"/>
      <c r="D193" s="115"/>
      <c r="AO193" s="116"/>
      <c r="BB193" s="117"/>
      <c r="BN193" s="10"/>
    </row>
    <row r="194" ht="15.75" customHeight="1">
      <c r="C194" s="10"/>
      <c r="D194" s="115"/>
      <c r="AO194" s="116"/>
      <c r="BB194" s="117"/>
      <c r="BN194" s="10"/>
    </row>
    <row r="195" ht="15.75" customHeight="1">
      <c r="C195" s="10"/>
      <c r="D195" s="115"/>
      <c r="AO195" s="116"/>
      <c r="BB195" s="117"/>
      <c r="BN195" s="10"/>
    </row>
    <row r="196" ht="15.75" customHeight="1">
      <c r="C196" s="10"/>
      <c r="D196" s="115"/>
      <c r="AO196" s="116"/>
      <c r="BB196" s="117"/>
      <c r="BN196" s="10"/>
    </row>
    <row r="197" ht="15.75" customHeight="1">
      <c r="C197" s="10"/>
      <c r="D197" s="115"/>
      <c r="AO197" s="116"/>
      <c r="BB197" s="117"/>
      <c r="BN197" s="10"/>
    </row>
    <row r="198" ht="15.75" customHeight="1">
      <c r="C198" s="10"/>
      <c r="D198" s="115"/>
      <c r="AO198" s="116"/>
      <c r="BB198" s="117"/>
      <c r="BN198" s="10"/>
    </row>
    <row r="199" ht="15.75" customHeight="1">
      <c r="C199" s="10"/>
      <c r="D199" s="115"/>
      <c r="AO199" s="116"/>
      <c r="BB199" s="117"/>
      <c r="BN199" s="10"/>
    </row>
    <row r="200" ht="15.75" customHeight="1">
      <c r="C200" s="10"/>
      <c r="D200" s="115"/>
      <c r="AO200" s="116"/>
      <c r="BB200" s="117"/>
      <c r="BN200" s="10"/>
    </row>
    <row r="201" ht="15.75" customHeight="1">
      <c r="C201" s="10"/>
      <c r="D201" s="115"/>
      <c r="AO201" s="116"/>
      <c r="BB201" s="117"/>
      <c r="BN201" s="10"/>
    </row>
    <row r="202" ht="15.75" customHeight="1">
      <c r="C202" s="10"/>
      <c r="D202" s="115"/>
      <c r="AO202" s="116"/>
      <c r="BB202" s="117"/>
      <c r="BN202" s="10"/>
    </row>
    <row r="203" ht="15.75" customHeight="1">
      <c r="C203" s="10"/>
      <c r="D203" s="115"/>
      <c r="AO203" s="116"/>
      <c r="BB203" s="117"/>
      <c r="BN203" s="10"/>
    </row>
    <row r="204" ht="15.75" customHeight="1">
      <c r="C204" s="10"/>
      <c r="D204" s="115"/>
      <c r="AO204" s="116"/>
      <c r="BB204" s="117"/>
      <c r="BN204" s="10"/>
    </row>
    <row r="205" ht="15.75" customHeight="1">
      <c r="C205" s="10"/>
      <c r="D205" s="115"/>
      <c r="AO205" s="116"/>
      <c r="BB205" s="117"/>
      <c r="BN205" s="10"/>
    </row>
    <row r="206" ht="15.75" customHeight="1">
      <c r="C206" s="10"/>
      <c r="D206" s="115"/>
      <c r="AO206" s="116"/>
      <c r="BB206" s="117"/>
      <c r="BN206" s="10"/>
    </row>
    <row r="207" ht="15.75" customHeight="1">
      <c r="C207" s="10"/>
      <c r="D207" s="115"/>
      <c r="AO207" s="116"/>
      <c r="BB207" s="117"/>
      <c r="BN207" s="10"/>
    </row>
    <row r="208" ht="15.75" customHeight="1">
      <c r="C208" s="10"/>
      <c r="D208" s="115"/>
      <c r="AO208" s="116"/>
      <c r="BB208" s="117"/>
      <c r="BN208" s="10"/>
    </row>
    <row r="209" ht="15.75" customHeight="1">
      <c r="C209" s="10"/>
      <c r="D209" s="115"/>
      <c r="AO209" s="116"/>
      <c r="BB209" s="117"/>
      <c r="BN209" s="10"/>
    </row>
    <row r="210" ht="15.75" customHeight="1">
      <c r="C210" s="10"/>
      <c r="D210" s="115"/>
      <c r="AO210" s="116"/>
      <c r="BB210" s="117"/>
      <c r="BN210" s="10"/>
    </row>
    <row r="211" ht="15.75" customHeight="1">
      <c r="C211" s="10"/>
      <c r="D211" s="115"/>
      <c r="AO211" s="116"/>
      <c r="BB211" s="117"/>
      <c r="BN211" s="10"/>
    </row>
    <row r="212" ht="15.75" customHeight="1">
      <c r="C212" s="10"/>
      <c r="D212" s="115"/>
      <c r="AO212" s="116"/>
      <c r="BB212" s="117"/>
      <c r="BN212" s="10"/>
    </row>
    <row r="213" ht="15.75" customHeight="1">
      <c r="C213" s="10"/>
      <c r="D213" s="115"/>
      <c r="AO213" s="116"/>
      <c r="BB213" s="117"/>
      <c r="BN213" s="10"/>
    </row>
    <row r="214" ht="15.75" customHeight="1">
      <c r="C214" s="10"/>
      <c r="D214" s="115"/>
      <c r="AO214" s="116"/>
      <c r="BB214" s="117"/>
      <c r="BN214" s="10"/>
    </row>
    <row r="215" ht="15.75" customHeight="1">
      <c r="C215" s="10"/>
      <c r="D215" s="115"/>
      <c r="AO215" s="116"/>
      <c r="BB215" s="117"/>
      <c r="BN215" s="10"/>
    </row>
    <row r="216" ht="15.75" customHeight="1">
      <c r="C216" s="10"/>
      <c r="D216" s="115"/>
      <c r="AO216" s="116"/>
      <c r="BB216" s="117"/>
      <c r="BN216" s="10"/>
    </row>
    <row r="217" ht="15.75" customHeight="1">
      <c r="C217" s="10"/>
      <c r="D217" s="115"/>
      <c r="AO217" s="116"/>
      <c r="BB217" s="117"/>
      <c r="BN217" s="10"/>
    </row>
    <row r="218" ht="15.75" customHeight="1">
      <c r="C218" s="10"/>
      <c r="D218" s="115"/>
      <c r="AO218" s="116"/>
      <c r="BB218" s="117"/>
      <c r="BN218" s="10"/>
    </row>
    <row r="219" ht="15.75" customHeight="1">
      <c r="C219" s="10"/>
      <c r="D219" s="115"/>
      <c r="AO219" s="116"/>
      <c r="BB219" s="117"/>
      <c r="BN219" s="10"/>
    </row>
    <row r="220" ht="15.75" customHeight="1">
      <c r="C220" s="10"/>
      <c r="D220" s="115"/>
      <c r="AO220" s="116"/>
      <c r="BB220" s="117"/>
      <c r="BN220" s="10"/>
    </row>
    <row r="221" ht="15.75" customHeight="1">
      <c r="C221" s="10"/>
      <c r="D221" s="115"/>
      <c r="AO221" s="116"/>
      <c r="BB221" s="117"/>
      <c r="BN221" s="10"/>
    </row>
    <row r="222" ht="15.75" customHeight="1">
      <c r="C222" s="10"/>
      <c r="D222" s="115"/>
      <c r="AO222" s="116"/>
      <c r="BB222" s="117"/>
      <c r="BN222" s="10"/>
    </row>
    <row r="223" ht="15.75" customHeight="1">
      <c r="C223" s="10"/>
      <c r="D223" s="115"/>
      <c r="AO223" s="116"/>
      <c r="BB223" s="117"/>
      <c r="BN223" s="10"/>
    </row>
    <row r="224" ht="15.75" customHeight="1">
      <c r="C224" s="10"/>
      <c r="D224" s="115"/>
      <c r="AO224" s="116"/>
      <c r="BB224" s="117"/>
      <c r="BN224" s="10"/>
    </row>
    <row r="225" ht="15.75" customHeight="1">
      <c r="C225" s="10"/>
      <c r="D225" s="115"/>
      <c r="AO225" s="116"/>
      <c r="BB225" s="117"/>
      <c r="BN225" s="10"/>
    </row>
    <row r="226" ht="15.75" customHeight="1">
      <c r="C226" s="10"/>
      <c r="D226" s="115"/>
      <c r="AO226" s="116"/>
      <c r="BB226" s="117"/>
      <c r="BN226" s="10"/>
    </row>
    <row r="227" ht="15.75" customHeight="1">
      <c r="C227" s="10"/>
      <c r="D227" s="115"/>
      <c r="AO227" s="116"/>
      <c r="BB227" s="117"/>
      <c r="BN227" s="10"/>
    </row>
    <row r="228" ht="15.75" customHeight="1">
      <c r="C228" s="10"/>
      <c r="D228" s="115"/>
      <c r="AO228" s="116"/>
      <c r="BB228" s="117"/>
      <c r="BN228" s="10"/>
    </row>
    <row r="229" ht="15.75" customHeight="1">
      <c r="C229" s="10"/>
      <c r="D229" s="115"/>
      <c r="AO229" s="116"/>
      <c r="BB229" s="117"/>
      <c r="BN229" s="10"/>
    </row>
    <row r="230" ht="15.75" customHeight="1">
      <c r="C230" s="10"/>
      <c r="D230" s="115"/>
      <c r="AO230" s="116"/>
      <c r="BB230" s="117"/>
      <c r="BN230" s="10"/>
    </row>
    <row r="231" ht="15.75" customHeight="1">
      <c r="C231" s="10"/>
      <c r="D231" s="115"/>
      <c r="AO231" s="116"/>
      <c r="BB231" s="117"/>
      <c r="BN231" s="10"/>
    </row>
    <row r="232" ht="15.75" customHeight="1">
      <c r="C232" s="10"/>
      <c r="D232" s="115"/>
      <c r="AO232" s="116"/>
      <c r="BB232" s="117"/>
      <c r="BN232" s="10"/>
    </row>
    <row r="233" ht="15.75" customHeight="1">
      <c r="C233" s="10"/>
      <c r="D233" s="115"/>
      <c r="AO233" s="116"/>
      <c r="BB233" s="117"/>
      <c r="BN233" s="10"/>
    </row>
    <row r="234" ht="15.75" customHeight="1">
      <c r="C234" s="10"/>
      <c r="D234" s="115"/>
      <c r="AO234" s="116"/>
      <c r="BB234" s="117"/>
      <c r="BN234" s="10"/>
    </row>
    <row r="235" ht="15.75" customHeight="1">
      <c r="C235" s="10"/>
      <c r="D235" s="115"/>
      <c r="AO235" s="116"/>
      <c r="BB235" s="117"/>
      <c r="BN235" s="10"/>
    </row>
    <row r="236" ht="15.75" customHeight="1">
      <c r="C236" s="10"/>
      <c r="D236" s="115"/>
      <c r="AO236" s="116"/>
      <c r="BB236" s="117"/>
      <c r="BN236" s="10"/>
    </row>
    <row r="237" ht="15.75" customHeight="1">
      <c r="C237" s="10"/>
      <c r="D237" s="115"/>
      <c r="AO237" s="116"/>
      <c r="BB237" s="117"/>
      <c r="BN237" s="10"/>
    </row>
    <row r="238" ht="15.75" customHeight="1">
      <c r="C238" s="10"/>
      <c r="D238" s="115"/>
      <c r="AO238" s="116"/>
      <c r="BB238" s="117"/>
      <c r="BN238" s="10"/>
    </row>
    <row r="239" ht="15.75" customHeight="1">
      <c r="C239" s="10"/>
      <c r="D239" s="115"/>
      <c r="AO239" s="116"/>
      <c r="BB239" s="117"/>
      <c r="BN239" s="10"/>
    </row>
    <row r="240" ht="15.75" customHeight="1">
      <c r="C240" s="10"/>
      <c r="D240" s="115"/>
      <c r="AO240" s="116"/>
      <c r="BB240" s="117"/>
      <c r="BN240" s="10"/>
    </row>
    <row r="241" ht="15.75" customHeight="1">
      <c r="C241" s="10"/>
      <c r="D241" s="115"/>
      <c r="AO241" s="116"/>
      <c r="BB241" s="117"/>
      <c r="BN241" s="10"/>
    </row>
    <row r="242" ht="15.75" customHeight="1">
      <c r="C242" s="10"/>
      <c r="D242" s="115"/>
      <c r="AO242" s="116"/>
      <c r="BB242" s="117"/>
      <c r="BN242" s="10"/>
    </row>
    <row r="243" ht="15.75" customHeight="1">
      <c r="C243" s="10"/>
      <c r="D243" s="115"/>
      <c r="AO243" s="116"/>
      <c r="BB243" s="117"/>
      <c r="BN243" s="10"/>
    </row>
    <row r="244" ht="15.75" customHeight="1">
      <c r="C244" s="10"/>
      <c r="D244" s="115"/>
      <c r="AO244" s="116"/>
      <c r="BB244" s="117"/>
      <c r="BN244" s="10"/>
    </row>
    <row r="245" ht="15.75" customHeight="1">
      <c r="C245" s="10"/>
      <c r="D245" s="115"/>
      <c r="AO245" s="116"/>
      <c r="BB245" s="117"/>
      <c r="BN245" s="10"/>
    </row>
    <row r="246" ht="15.75" customHeight="1">
      <c r="C246" s="10"/>
      <c r="D246" s="115"/>
      <c r="AO246" s="116"/>
      <c r="BB246" s="117"/>
      <c r="BN246" s="10"/>
    </row>
    <row r="247" ht="15.75" customHeight="1">
      <c r="C247" s="10"/>
      <c r="D247" s="115"/>
      <c r="AO247" s="116"/>
      <c r="BB247" s="117"/>
      <c r="BN247" s="10"/>
    </row>
    <row r="248" ht="15.75" customHeight="1">
      <c r="C248" s="10"/>
      <c r="D248" s="115"/>
      <c r="AO248" s="116"/>
      <c r="BB248" s="117"/>
      <c r="BN248" s="10"/>
    </row>
    <row r="249" ht="15.75" customHeight="1">
      <c r="C249" s="10"/>
      <c r="D249" s="115"/>
      <c r="AO249" s="116"/>
      <c r="BB249" s="117"/>
      <c r="BN249" s="10"/>
    </row>
    <row r="250" ht="15.75" customHeight="1">
      <c r="C250" s="10"/>
      <c r="D250" s="115"/>
      <c r="AO250" s="116"/>
      <c r="BB250" s="117"/>
      <c r="BN250" s="10"/>
    </row>
    <row r="251" ht="15.75" customHeight="1">
      <c r="C251" s="10"/>
      <c r="D251" s="115"/>
      <c r="AO251" s="116"/>
      <c r="BB251" s="117"/>
      <c r="BN251" s="10"/>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38"/>
    <col customWidth="1" min="2" max="2" width="6.63"/>
    <col customWidth="1" min="3" max="4" width="5.13"/>
    <col customWidth="1" min="5" max="5" width="29.38"/>
    <col customWidth="1" min="6" max="6" width="67.38"/>
    <col customWidth="1" min="7" max="7" width="5.13"/>
    <col customWidth="1" min="8" max="8" width="4.0"/>
    <col customWidth="1" min="9" max="9" width="2.88"/>
    <col customWidth="1" min="10" max="12" width="4.88"/>
    <col customWidth="1" min="13" max="13" width="4.13"/>
    <col customWidth="1" min="14" max="14" width="4.75"/>
    <col customWidth="1" min="15" max="15" width="8.75"/>
    <col customWidth="1" min="16" max="16" width="25.88"/>
  </cols>
  <sheetData>
    <row r="1" ht="15.75" customHeight="1">
      <c r="A1" s="20" t="s">
        <v>33</v>
      </c>
      <c r="B1" s="21" t="s">
        <v>34</v>
      </c>
      <c r="C1" s="20" t="s">
        <v>35</v>
      </c>
      <c r="D1" s="20" t="s">
        <v>36</v>
      </c>
      <c r="E1" s="20" t="s">
        <v>37</v>
      </c>
      <c r="F1" s="20" t="s">
        <v>38</v>
      </c>
      <c r="G1" s="20" t="s">
        <v>39</v>
      </c>
      <c r="H1" s="20" t="s">
        <v>40</v>
      </c>
      <c r="I1" s="20" t="s">
        <v>41</v>
      </c>
      <c r="J1" s="20" t="s">
        <v>42</v>
      </c>
      <c r="K1" s="20" t="s">
        <v>43</v>
      </c>
      <c r="L1" s="20" t="s">
        <v>44</v>
      </c>
      <c r="M1" s="20" t="s">
        <v>45</v>
      </c>
      <c r="N1" s="20" t="s">
        <v>46</v>
      </c>
      <c r="O1" s="22" t="s">
        <v>47</v>
      </c>
      <c r="P1" s="23" t="s">
        <v>48</v>
      </c>
      <c r="Q1" s="10"/>
      <c r="R1" s="10"/>
      <c r="S1" s="10"/>
      <c r="T1" s="10"/>
      <c r="U1" s="10"/>
      <c r="V1" s="10"/>
      <c r="W1" s="10"/>
      <c r="X1" s="10"/>
      <c r="Y1" s="10"/>
      <c r="Z1" s="10"/>
    </row>
    <row r="2" ht="15.75" customHeight="1">
      <c r="A2" s="24">
        <v>45744.0</v>
      </c>
      <c r="B2" s="10">
        <v>0.0</v>
      </c>
      <c r="C2" s="25">
        <v>0.4513888888888889</v>
      </c>
      <c r="D2" s="25">
        <v>0.4708333333333333</v>
      </c>
      <c r="E2" s="13" t="s">
        <v>2507</v>
      </c>
      <c r="F2" s="10"/>
      <c r="G2" s="10"/>
      <c r="H2" s="10"/>
      <c r="I2" s="10"/>
      <c r="J2" s="10"/>
      <c r="K2" s="10"/>
      <c r="L2" s="10"/>
      <c r="M2" s="10"/>
      <c r="N2" s="10"/>
      <c r="O2" s="10"/>
      <c r="P2" s="10"/>
      <c r="Q2" s="10"/>
      <c r="R2" s="10"/>
      <c r="S2" s="10"/>
      <c r="T2" s="10"/>
      <c r="U2" s="10"/>
      <c r="V2" s="10"/>
      <c r="W2" s="10"/>
      <c r="X2" s="10"/>
      <c r="Y2" s="10"/>
      <c r="Z2" s="10"/>
    </row>
    <row r="3" ht="15.75" customHeight="1">
      <c r="A3" s="10"/>
      <c r="B3" s="10"/>
      <c r="C3" s="25">
        <v>0.475</v>
      </c>
      <c r="D3" s="25">
        <v>0.48819444444444443</v>
      </c>
      <c r="E3" s="34" t="s">
        <v>2508</v>
      </c>
      <c r="F3" s="10" t="s">
        <v>2509</v>
      </c>
      <c r="G3" s="10">
        <v>9.0</v>
      </c>
      <c r="H3" s="10">
        <v>4.0</v>
      </c>
      <c r="I3" s="10">
        <v>1.0</v>
      </c>
      <c r="J3" s="10">
        <v>3.0</v>
      </c>
      <c r="K3" s="10">
        <v>5.0</v>
      </c>
      <c r="L3" s="10">
        <v>0.0</v>
      </c>
      <c r="M3" s="10">
        <v>0.0</v>
      </c>
      <c r="N3" s="10">
        <v>1.0</v>
      </c>
      <c r="O3" s="10"/>
      <c r="P3" s="10"/>
      <c r="Q3" s="10"/>
      <c r="R3" s="10"/>
      <c r="S3" s="10"/>
      <c r="T3" s="10"/>
      <c r="U3" s="10"/>
      <c r="V3" s="10"/>
      <c r="W3" s="10"/>
      <c r="X3" s="10"/>
      <c r="Y3" s="10"/>
      <c r="Z3" s="10"/>
    </row>
    <row r="4" ht="15.75" customHeight="1">
      <c r="A4" s="27"/>
      <c r="B4" s="10"/>
      <c r="C4" s="25">
        <v>0.4895833333333333</v>
      </c>
      <c r="D4" s="25">
        <v>0.04791666666666667</v>
      </c>
      <c r="E4" s="13" t="s">
        <v>2507</v>
      </c>
      <c r="F4" s="10"/>
      <c r="G4" s="10"/>
      <c r="H4" s="10"/>
      <c r="I4" s="10"/>
      <c r="J4" s="10"/>
      <c r="K4" s="10"/>
      <c r="L4" s="10"/>
      <c r="M4" s="10"/>
      <c r="N4" s="10"/>
      <c r="O4" s="10"/>
      <c r="P4" s="10"/>
      <c r="Q4" s="10"/>
      <c r="R4" s="10"/>
      <c r="S4" s="10"/>
      <c r="T4" s="10"/>
      <c r="U4" s="10"/>
      <c r="V4" s="10"/>
      <c r="W4" s="10"/>
      <c r="X4" s="10"/>
      <c r="Y4" s="10"/>
      <c r="Z4" s="10"/>
    </row>
    <row r="5" ht="15.75" customHeight="1">
      <c r="A5" s="10"/>
      <c r="B5" s="10"/>
      <c r="C5" s="25">
        <v>0.04861111111111111</v>
      </c>
      <c r="D5" s="25">
        <v>0.06805555555555555</v>
      </c>
      <c r="E5" s="34" t="s">
        <v>2510</v>
      </c>
      <c r="F5" s="10" t="s">
        <v>2511</v>
      </c>
      <c r="G5" s="10">
        <v>20.0</v>
      </c>
      <c r="H5" s="10">
        <v>8.0</v>
      </c>
      <c r="I5" s="10">
        <v>4.0</v>
      </c>
      <c r="J5" s="10">
        <v>8.0</v>
      </c>
      <c r="K5" s="10">
        <v>6.0</v>
      </c>
      <c r="L5" s="10">
        <v>0.0</v>
      </c>
      <c r="M5" s="10">
        <v>0.0</v>
      </c>
      <c r="N5" s="10">
        <v>6.0</v>
      </c>
      <c r="O5" s="10"/>
      <c r="P5" s="10"/>
      <c r="Q5" s="10"/>
      <c r="R5" s="10"/>
      <c r="S5" s="10"/>
      <c r="T5" s="10"/>
      <c r="U5" s="10"/>
      <c r="V5" s="10"/>
      <c r="W5" s="10"/>
      <c r="X5" s="10"/>
      <c r="Y5" s="10"/>
      <c r="Z5" s="10"/>
    </row>
    <row r="6" ht="15.75" customHeight="1">
      <c r="F6" s="10"/>
    </row>
    <row r="7" ht="15.75" customHeight="1">
      <c r="A7" s="29">
        <v>45747.0</v>
      </c>
      <c r="B7" s="13">
        <v>0.0</v>
      </c>
      <c r="C7" s="28">
        <v>0.475</v>
      </c>
      <c r="D7" s="28">
        <v>0.4986111111111111</v>
      </c>
      <c r="E7" s="13" t="s">
        <v>2512</v>
      </c>
      <c r="F7" s="10" t="s">
        <v>2513</v>
      </c>
      <c r="Q7" s="118"/>
    </row>
    <row r="8" ht="15.75" customHeight="1">
      <c r="C8" s="28">
        <v>0.5048611111111111</v>
      </c>
      <c r="D8" s="28">
        <v>0.06875</v>
      </c>
      <c r="E8" s="34" t="s">
        <v>2514</v>
      </c>
      <c r="F8" s="10" t="s">
        <v>2515</v>
      </c>
      <c r="G8" s="13">
        <v>39.0</v>
      </c>
      <c r="H8" s="13">
        <v>17.0</v>
      </c>
      <c r="I8" s="13">
        <v>11.0</v>
      </c>
      <c r="J8" s="13">
        <v>11.0</v>
      </c>
      <c r="K8" s="13">
        <v>4.0</v>
      </c>
      <c r="L8" s="13">
        <v>0.0</v>
      </c>
      <c r="M8" s="13">
        <v>6.0</v>
      </c>
      <c r="N8" s="13">
        <v>18.0</v>
      </c>
      <c r="Q8" s="119" t="s">
        <v>2516</v>
      </c>
    </row>
    <row r="9" ht="15.75" customHeight="1">
      <c r="C9" s="28">
        <v>0.07222222222222222</v>
      </c>
      <c r="D9" s="28">
        <v>0.09930555555555555</v>
      </c>
      <c r="E9" s="13" t="s">
        <v>2512</v>
      </c>
      <c r="F9" s="10"/>
      <c r="Q9" s="118"/>
    </row>
    <row r="10" ht="15.75" customHeight="1">
      <c r="A10" s="24"/>
      <c r="B10" s="10"/>
      <c r="C10" s="25">
        <v>0.10902777777777778</v>
      </c>
      <c r="D10" s="25">
        <v>0.15</v>
      </c>
      <c r="E10" s="34" t="s">
        <v>2517</v>
      </c>
      <c r="F10" s="10" t="s">
        <v>2518</v>
      </c>
      <c r="G10" s="10">
        <v>32.0</v>
      </c>
      <c r="H10" s="10">
        <v>11.0</v>
      </c>
      <c r="I10" s="10">
        <v>14.0</v>
      </c>
      <c r="J10" s="10">
        <v>7.0</v>
      </c>
      <c r="K10" s="10">
        <v>4.0</v>
      </c>
      <c r="L10" s="10">
        <v>0.0</v>
      </c>
      <c r="M10" s="10">
        <v>6.0</v>
      </c>
      <c r="N10" s="10">
        <v>16.0</v>
      </c>
      <c r="O10" s="10"/>
      <c r="P10" s="10"/>
      <c r="Q10" s="119"/>
      <c r="R10" s="10"/>
      <c r="S10" s="10"/>
      <c r="T10" s="10"/>
      <c r="U10" s="10"/>
      <c r="V10" s="10"/>
      <c r="W10" s="10"/>
      <c r="X10" s="10"/>
      <c r="Y10" s="10"/>
      <c r="Z10" s="10"/>
    </row>
    <row r="11" ht="15.75" customHeight="1">
      <c r="A11" s="10"/>
      <c r="B11" s="10"/>
      <c r="C11" s="25">
        <v>0.15347222222222223</v>
      </c>
      <c r="D11" s="10"/>
      <c r="E11" s="13" t="s">
        <v>2512</v>
      </c>
      <c r="F11" s="10"/>
      <c r="G11" s="10"/>
      <c r="H11" s="10"/>
      <c r="I11" s="10"/>
      <c r="J11" s="10"/>
      <c r="K11" s="10"/>
      <c r="L11" s="10"/>
      <c r="M11" s="10"/>
      <c r="N11" s="10"/>
      <c r="O11" s="10"/>
      <c r="P11" s="10"/>
      <c r="Q11" s="119"/>
      <c r="R11" s="10"/>
      <c r="S11" s="10"/>
      <c r="T11" s="10"/>
      <c r="U11" s="10"/>
      <c r="V11" s="10"/>
      <c r="W11" s="10"/>
      <c r="X11" s="10"/>
      <c r="Y11" s="10"/>
      <c r="Z11" s="10"/>
    </row>
    <row r="12" ht="15.75" customHeight="1">
      <c r="A12" s="24"/>
      <c r="B12" s="10"/>
      <c r="C12" s="25"/>
      <c r="D12" s="25"/>
      <c r="E12" s="10"/>
      <c r="F12" s="10" t="s">
        <v>2519</v>
      </c>
      <c r="G12" s="10"/>
      <c r="H12" s="10"/>
      <c r="I12" s="10"/>
      <c r="J12" s="10"/>
      <c r="K12" s="10"/>
      <c r="L12" s="10"/>
      <c r="M12" s="10"/>
      <c r="N12" s="10"/>
      <c r="O12" s="10"/>
      <c r="P12" s="10"/>
      <c r="Q12" s="119"/>
      <c r="R12" s="10"/>
      <c r="S12" s="10"/>
      <c r="T12" s="10"/>
      <c r="U12" s="10"/>
      <c r="V12" s="10"/>
      <c r="W12" s="10"/>
      <c r="X12" s="10"/>
      <c r="Y12" s="10"/>
      <c r="Z12" s="10"/>
    </row>
    <row r="13" ht="15.75" customHeight="1">
      <c r="A13" s="24">
        <v>45748.0</v>
      </c>
      <c r="B13" s="10">
        <v>0.0</v>
      </c>
      <c r="C13" s="25">
        <v>0.4152777777777778</v>
      </c>
      <c r="D13" s="25">
        <v>0.4409722222222222</v>
      </c>
      <c r="E13" s="10" t="s">
        <v>57</v>
      </c>
      <c r="F13" s="10" t="s">
        <v>2520</v>
      </c>
      <c r="G13" s="10"/>
      <c r="H13" s="10"/>
      <c r="I13" s="10"/>
      <c r="J13" s="10"/>
      <c r="K13" s="10"/>
      <c r="L13" s="10"/>
      <c r="M13" s="10"/>
      <c r="N13" s="10"/>
      <c r="O13" s="10"/>
      <c r="P13" s="10"/>
      <c r="Q13" s="119"/>
      <c r="R13" s="10"/>
      <c r="S13" s="10"/>
      <c r="T13" s="10"/>
      <c r="U13" s="10"/>
      <c r="V13" s="10"/>
      <c r="W13" s="10"/>
      <c r="X13" s="10"/>
      <c r="Y13" s="10"/>
      <c r="Z13" s="10"/>
    </row>
    <row r="14" ht="15.75" customHeight="1">
      <c r="A14" s="27"/>
      <c r="B14" s="10"/>
      <c r="C14" s="25">
        <v>0.45555555555555555</v>
      </c>
      <c r="D14" s="25">
        <v>0.4895833333333333</v>
      </c>
      <c r="E14" s="34" t="s">
        <v>2521</v>
      </c>
      <c r="F14" s="10" t="s">
        <v>2522</v>
      </c>
      <c r="G14" s="10">
        <v>34.0</v>
      </c>
      <c r="H14" s="10">
        <v>11.0</v>
      </c>
      <c r="I14" s="10">
        <v>18.0</v>
      </c>
      <c r="J14" s="10">
        <v>5.0</v>
      </c>
      <c r="K14" s="10">
        <v>13.0</v>
      </c>
      <c r="L14" s="10">
        <v>0.0</v>
      </c>
      <c r="M14" s="10">
        <v>3.0</v>
      </c>
      <c r="N14" s="10">
        <v>13.0</v>
      </c>
      <c r="O14" s="10"/>
      <c r="P14" s="10"/>
      <c r="Q14" s="119"/>
      <c r="R14" s="10"/>
      <c r="S14" s="10"/>
      <c r="T14" s="10"/>
      <c r="U14" s="10"/>
      <c r="V14" s="10"/>
      <c r="W14" s="10"/>
      <c r="X14" s="10"/>
      <c r="Y14" s="10"/>
      <c r="Z14" s="10"/>
    </row>
    <row r="15" ht="15.75" customHeight="1">
      <c r="A15" s="10"/>
      <c r="B15" s="10"/>
      <c r="C15" s="25">
        <v>0.49166666666666664</v>
      </c>
      <c r="D15" s="25">
        <v>0.5159722222222223</v>
      </c>
      <c r="E15" s="10" t="s">
        <v>60</v>
      </c>
      <c r="F15" s="10"/>
      <c r="G15" s="10"/>
      <c r="H15" s="10"/>
      <c r="I15" s="10"/>
      <c r="J15" s="10"/>
      <c r="K15" s="10"/>
      <c r="L15" s="10"/>
      <c r="M15" s="10"/>
      <c r="N15" s="10"/>
      <c r="O15" s="10"/>
      <c r="P15" s="10"/>
      <c r="Q15" s="119"/>
      <c r="R15" s="10"/>
      <c r="S15" s="10"/>
      <c r="T15" s="10"/>
      <c r="U15" s="10"/>
      <c r="V15" s="10"/>
      <c r="W15" s="10"/>
      <c r="X15" s="10"/>
      <c r="Y15" s="10"/>
      <c r="Z15" s="10"/>
    </row>
    <row r="16" ht="15.75" customHeight="1">
      <c r="A16" s="27"/>
      <c r="B16" s="10"/>
      <c r="C16" s="25">
        <v>0.5194444444444445</v>
      </c>
      <c r="D16" s="25">
        <v>0.08333333333333333</v>
      </c>
      <c r="E16" s="34" t="s">
        <v>2523</v>
      </c>
      <c r="F16" s="10" t="s">
        <v>2524</v>
      </c>
      <c r="G16" s="10">
        <v>69.0</v>
      </c>
      <c r="H16" s="10">
        <v>25.0</v>
      </c>
      <c r="I16" s="10">
        <v>34.0</v>
      </c>
      <c r="J16" s="10">
        <v>9.0</v>
      </c>
      <c r="K16" s="10">
        <v>13.0</v>
      </c>
      <c r="L16" s="10">
        <v>1.0</v>
      </c>
      <c r="M16" s="10">
        <v>15.0</v>
      </c>
      <c r="N16" s="10">
        <v>30.0</v>
      </c>
      <c r="O16" s="10"/>
      <c r="P16" s="10"/>
      <c r="Q16" s="119"/>
      <c r="R16" s="10"/>
      <c r="S16" s="10"/>
      <c r="T16" s="10"/>
      <c r="U16" s="10"/>
      <c r="V16" s="10"/>
      <c r="W16" s="10"/>
      <c r="X16" s="10"/>
      <c r="Y16" s="10"/>
      <c r="Z16" s="10"/>
    </row>
    <row r="17" ht="15.75" customHeight="1">
      <c r="A17" s="10"/>
      <c r="B17" s="10"/>
      <c r="C17" s="25">
        <v>0.08472222222222223</v>
      </c>
      <c r="D17" s="25">
        <v>0.1076388888888889</v>
      </c>
      <c r="E17" s="10" t="s">
        <v>63</v>
      </c>
      <c r="F17" s="10"/>
      <c r="G17" s="10"/>
      <c r="H17" s="10"/>
      <c r="I17" s="10"/>
      <c r="J17" s="10"/>
      <c r="K17" s="10"/>
      <c r="L17" s="10"/>
      <c r="M17" s="10"/>
      <c r="N17" s="10"/>
      <c r="O17" s="10"/>
      <c r="P17" s="10"/>
      <c r="Q17" s="119"/>
      <c r="R17" s="10"/>
      <c r="S17" s="10"/>
      <c r="T17" s="10"/>
      <c r="U17" s="10"/>
      <c r="V17" s="10"/>
      <c r="W17" s="10"/>
      <c r="X17" s="10"/>
      <c r="Y17" s="10"/>
      <c r="Z17" s="10"/>
    </row>
    <row r="18" ht="15.75" customHeight="1">
      <c r="A18" s="10"/>
      <c r="B18" s="10"/>
      <c r="C18" s="25"/>
      <c r="D18" s="25"/>
      <c r="E18" s="10"/>
      <c r="F18" s="31"/>
      <c r="G18" s="10"/>
      <c r="H18" s="10"/>
      <c r="I18" s="10"/>
      <c r="J18" s="10"/>
      <c r="K18" s="10"/>
      <c r="L18" s="10"/>
      <c r="M18" s="10"/>
      <c r="N18" s="10"/>
      <c r="O18" s="10"/>
      <c r="P18" s="10"/>
      <c r="Q18" s="119"/>
      <c r="R18" s="10"/>
      <c r="S18" s="10"/>
      <c r="T18" s="10"/>
      <c r="U18" s="10"/>
      <c r="V18" s="10"/>
      <c r="W18" s="10"/>
      <c r="X18" s="10"/>
      <c r="Y18" s="10"/>
      <c r="Z18" s="10"/>
    </row>
    <row r="19" ht="15.75" customHeight="1">
      <c r="A19" s="27">
        <v>45749.0</v>
      </c>
      <c r="B19" s="10">
        <v>0.0</v>
      </c>
      <c r="C19" s="25">
        <v>0.3923611111111111</v>
      </c>
      <c r="D19" s="25">
        <v>0.41805555555555557</v>
      </c>
      <c r="E19" s="10" t="s">
        <v>57</v>
      </c>
      <c r="F19" s="10" t="s">
        <v>2525</v>
      </c>
      <c r="G19" s="10"/>
      <c r="H19" s="10"/>
      <c r="I19" s="10"/>
      <c r="J19" s="10"/>
      <c r="K19" s="10"/>
      <c r="L19" s="10"/>
      <c r="M19" s="10"/>
      <c r="N19" s="10"/>
      <c r="O19" s="10"/>
      <c r="P19" s="119"/>
      <c r="Q19" s="120"/>
      <c r="R19" s="10"/>
      <c r="S19" s="10"/>
      <c r="T19" s="10"/>
      <c r="U19" s="10"/>
      <c r="V19" s="10"/>
      <c r="W19" s="10"/>
      <c r="X19" s="10"/>
      <c r="Y19" s="10"/>
      <c r="Z19" s="10"/>
    </row>
    <row r="20" ht="15.75" customHeight="1">
      <c r="A20" s="10"/>
      <c r="B20" s="10"/>
      <c r="C20" s="25">
        <v>0.42291666666666666</v>
      </c>
      <c r="D20" s="25">
        <v>0.48333333333333334</v>
      </c>
      <c r="E20" s="34" t="s">
        <v>2526</v>
      </c>
      <c r="F20" s="10" t="s">
        <v>2527</v>
      </c>
      <c r="G20" s="10">
        <v>74.0</v>
      </c>
      <c r="H20" s="10">
        <v>31.0</v>
      </c>
      <c r="I20" s="10">
        <v>29.0</v>
      </c>
      <c r="J20" s="10">
        <v>12.0</v>
      </c>
      <c r="K20" s="10">
        <v>20.0</v>
      </c>
      <c r="L20" s="10">
        <v>1.0</v>
      </c>
      <c r="M20" s="10">
        <v>16.0</v>
      </c>
      <c r="N20" s="10">
        <v>24.0</v>
      </c>
      <c r="O20" s="10"/>
      <c r="P20" s="119" t="s">
        <v>2528</v>
      </c>
      <c r="Q20" s="119"/>
      <c r="R20" s="10"/>
      <c r="S20" s="10"/>
      <c r="T20" s="10"/>
      <c r="U20" s="10"/>
      <c r="V20" s="10"/>
      <c r="W20" s="10"/>
      <c r="X20" s="10"/>
      <c r="Y20" s="10"/>
      <c r="Z20" s="10"/>
    </row>
    <row r="21" ht="15.75" customHeight="1">
      <c r="A21" s="10"/>
      <c r="B21" s="10"/>
      <c r="C21" s="25">
        <v>0.48819444444444443</v>
      </c>
      <c r="D21" s="25">
        <v>0.5131944444444444</v>
      </c>
      <c r="E21" s="10" t="s">
        <v>60</v>
      </c>
      <c r="F21" s="10"/>
      <c r="G21" s="10"/>
      <c r="H21" s="10"/>
      <c r="I21" s="10"/>
      <c r="J21" s="10"/>
      <c r="K21" s="10"/>
      <c r="L21" s="10"/>
      <c r="M21" s="10"/>
      <c r="N21" s="10"/>
      <c r="O21" s="10"/>
      <c r="P21" s="119"/>
      <c r="Q21" s="119"/>
      <c r="R21" s="10"/>
      <c r="S21" s="10"/>
      <c r="T21" s="10"/>
      <c r="U21" s="10"/>
      <c r="V21" s="10"/>
      <c r="W21" s="10"/>
      <c r="X21" s="10"/>
      <c r="Y21" s="10"/>
      <c r="Z21" s="10"/>
    </row>
    <row r="22" ht="15.75" customHeight="1">
      <c r="A22" s="27"/>
      <c r="B22" s="10"/>
      <c r="C22" s="25">
        <v>0.052083333333333336</v>
      </c>
      <c r="D22" s="25">
        <v>0.11458333333333333</v>
      </c>
      <c r="E22" s="34" t="s">
        <v>2529</v>
      </c>
      <c r="F22" s="10" t="s">
        <v>2530</v>
      </c>
      <c r="G22" s="10">
        <v>74.0</v>
      </c>
      <c r="H22" s="10">
        <v>35.0</v>
      </c>
      <c r="I22" s="10">
        <v>24.0</v>
      </c>
      <c r="J22" s="10">
        <v>9.0</v>
      </c>
      <c r="K22" s="10">
        <v>16.0</v>
      </c>
      <c r="L22" s="10">
        <v>5.0</v>
      </c>
      <c r="M22" s="10">
        <v>16.0</v>
      </c>
      <c r="N22" s="10">
        <v>28.0</v>
      </c>
      <c r="O22" s="10"/>
      <c r="P22" s="119"/>
      <c r="Q22" s="119"/>
      <c r="R22" s="10"/>
      <c r="S22" s="10"/>
      <c r="T22" s="10"/>
      <c r="U22" s="10"/>
      <c r="V22" s="10"/>
      <c r="W22" s="10"/>
      <c r="X22" s="10"/>
      <c r="Y22" s="10"/>
      <c r="Z22" s="10"/>
    </row>
    <row r="23" ht="15.75" customHeight="1">
      <c r="A23" s="10"/>
      <c r="B23" s="10"/>
      <c r="C23" s="25">
        <v>0.11597222222222223</v>
      </c>
      <c r="D23" s="25">
        <v>0.13958333333333334</v>
      </c>
      <c r="E23" s="10" t="s">
        <v>63</v>
      </c>
      <c r="F23" s="10"/>
      <c r="G23" s="10"/>
      <c r="H23" s="10"/>
      <c r="I23" s="10"/>
      <c r="J23" s="10"/>
      <c r="K23" s="10"/>
      <c r="L23" s="10"/>
      <c r="M23" s="10"/>
      <c r="N23" s="10"/>
      <c r="O23" s="10"/>
      <c r="P23" s="119"/>
      <c r="Q23" s="119"/>
      <c r="R23" s="10"/>
      <c r="S23" s="10"/>
      <c r="T23" s="10"/>
      <c r="U23" s="10"/>
      <c r="V23" s="10"/>
      <c r="W23" s="10"/>
      <c r="X23" s="10"/>
      <c r="Y23" s="10"/>
      <c r="Z23" s="10"/>
    </row>
    <row r="24" ht="15.75" customHeight="1">
      <c r="A24" s="10"/>
      <c r="B24" s="10"/>
      <c r="C24" s="25"/>
      <c r="D24" s="25"/>
      <c r="E24" s="10"/>
      <c r="F24" s="10"/>
      <c r="G24" s="10"/>
      <c r="H24" s="10"/>
      <c r="I24" s="10"/>
      <c r="J24" s="10"/>
      <c r="K24" s="10"/>
      <c r="L24" s="10"/>
      <c r="M24" s="10"/>
      <c r="N24" s="10"/>
      <c r="O24" s="10"/>
      <c r="P24" s="10"/>
      <c r="Q24" s="119"/>
      <c r="R24" s="10"/>
      <c r="S24" s="10"/>
      <c r="T24" s="10"/>
      <c r="U24" s="10"/>
      <c r="V24" s="10"/>
      <c r="W24" s="10"/>
      <c r="X24" s="10"/>
      <c r="Y24" s="10"/>
      <c r="Z24" s="10"/>
    </row>
    <row r="25" ht="15.75" customHeight="1">
      <c r="A25" s="27">
        <v>45750.0</v>
      </c>
      <c r="B25" s="10">
        <v>0.0</v>
      </c>
      <c r="C25" s="25">
        <v>0.40069444444444446</v>
      </c>
      <c r="D25" s="25">
        <v>0.43125</v>
      </c>
      <c r="E25" s="10" t="s">
        <v>57</v>
      </c>
      <c r="F25" s="10" t="s">
        <v>2531</v>
      </c>
      <c r="G25" s="10"/>
      <c r="H25" s="10"/>
      <c r="I25" s="10"/>
      <c r="J25" s="10"/>
      <c r="K25" s="10"/>
      <c r="L25" s="10"/>
      <c r="M25" s="10"/>
      <c r="N25" s="10"/>
      <c r="O25" s="10"/>
      <c r="P25" s="10"/>
      <c r="Q25" s="119"/>
      <c r="R25" s="10"/>
      <c r="S25" s="10"/>
      <c r="T25" s="10"/>
      <c r="U25" s="10"/>
      <c r="V25" s="10"/>
      <c r="W25" s="10"/>
      <c r="X25" s="10"/>
      <c r="Y25" s="10"/>
      <c r="Z25" s="10"/>
    </row>
    <row r="26" ht="15.75" customHeight="1">
      <c r="A26" s="10"/>
      <c r="B26" s="10"/>
      <c r="C26" s="25">
        <v>0.4666666666666667</v>
      </c>
      <c r="D26" s="25">
        <v>0.4930555555555556</v>
      </c>
      <c r="E26" s="34" t="s">
        <v>2532</v>
      </c>
      <c r="F26" s="10" t="s">
        <v>2533</v>
      </c>
      <c r="G26" s="10">
        <v>23.0</v>
      </c>
      <c r="H26" s="10">
        <v>9.0</v>
      </c>
      <c r="I26" s="10">
        <v>12.0</v>
      </c>
      <c r="J26" s="10">
        <v>2.0</v>
      </c>
      <c r="K26" s="10">
        <v>8.0</v>
      </c>
      <c r="L26" s="10">
        <v>0.0</v>
      </c>
      <c r="M26" s="10">
        <v>3.0</v>
      </c>
      <c r="N26" s="10">
        <v>10.0</v>
      </c>
      <c r="O26" s="10"/>
      <c r="P26" s="10"/>
      <c r="Q26" s="119"/>
      <c r="R26" s="10"/>
      <c r="S26" s="10"/>
      <c r="T26" s="10"/>
      <c r="U26" s="10"/>
      <c r="V26" s="10"/>
      <c r="W26" s="10"/>
      <c r="X26" s="10"/>
      <c r="Y26" s="10"/>
      <c r="Z26" s="10"/>
    </row>
    <row r="27" ht="15.75" customHeight="1">
      <c r="A27" s="33"/>
      <c r="B27" s="10"/>
      <c r="C27" s="25">
        <v>0.5083333333333333</v>
      </c>
      <c r="D27" s="25">
        <v>0.53125</v>
      </c>
      <c r="E27" s="10" t="s">
        <v>60</v>
      </c>
      <c r="F27" s="10" t="s">
        <v>93</v>
      </c>
      <c r="G27" s="10"/>
      <c r="H27" s="10"/>
      <c r="I27" s="10"/>
      <c r="J27" s="10"/>
      <c r="K27" s="10"/>
      <c r="L27" s="10"/>
      <c r="M27" s="10"/>
      <c r="N27" s="10"/>
      <c r="O27" s="10"/>
      <c r="P27" s="10"/>
      <c r="Q27" s="10"/>
      <c r="R27" s="10"/>
      <c r="S27" s="10"/>
      <c r="T27" s="10"/>
      <c r="U27" s="10"/>
      <c r="V27" s="10"/>
      <c r="W27" s="10"/>
      <c r="X27" s="10"/>
      <c r="Y27" s="10"/>
      <c r="Z27" s="10"/>
    </row>
    <row r="28" ht="15.75" customHeight="1">
      <c r="A28" s="33"/>
      <c r="B28" s="10"/>
      <c r="C28" s="25">
        <v>0.5361111111111111</v>
      </c>
      <c r="D28" s="25">
        <v>0.09861111111111111</v>
      </c>
      <c r="E28" s="34" t="s">
        <v>2534</v>
      </c>
      <c r="F28" s="10" t="s">
        <v>2535</v>
      </c>
      <c r="G28" s="10">
        <v>50.0</v>
      </c>
      <c r="H28" s="10">
        <v>23.0</v>
      </c>
      <c r="I28" s="10">
        <v>21.0</v>
      </c>
      <c r="J28" s="10">
        <v>4.0</v>
      </c>
      <c r="K28" s="10">
        <v>25.0</v>
      </c>
      <c r="L28" s="10">
        <v>1.0</v>
      </c>
      <c r="M28" s="10">
        <v>4.0</v>
      </c>
      <c r="N28" s="10">
        <v>15.0</v>
      </c>
      <c r="O28" s="10"/>
      <c r="P28" s="10"/>
      <c r="Q28" s="10"/>
      <c r="R28" s="10"/>
      <c r="S28" s="10"/>
      <c r="T28" s="10"/>
      <c r="U28" s="10"/>
      <c r="V28" s="10"/>
      <c r="W28" s="10"/>
      <c r="X28" s="10"/>
      <c r="Y28" s="10"/>
      <c r="Z28" s="10"/>
    </row>
    <row r="29" ht="15.75" customHeight="1">
      <c r="A29" s="10"/>
      <c r="B29" s="10"/>
      <c r="C29" s="25">
        <v>0.10138888888888889</v>
      </c>
      <c r="D29" s="25">
        <v>0.13125</v>
      </c>
      <c r="E29" s="10" t="s">
        <v>63</v>
      </c>
      <c r="F29" s="10" t="s">
        <v>2536</v>
      </c>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25"/>
      <c r="D30" s="25"/>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27">
        <v>45751.0</v>
      </c>
      <c r="B31" s="10">
        <v>0.0</v>
      </c>
      <c r="C31" s="25">
        <v>0.43125</v>
      </c>
      <c r="D31" s="25">
        <v>0.45625</v>
      </c>
      <c r="E31" s="10" t="s">
        <v>57</v>
      </c>
      <c r="F31" s="10" t="s">
        <v>93</v>
      </c>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25">
        <v>0.46875</v>
      </c>
      <c r="D32" s="25">
        <v>0.5326388888888889</v>
      </c>
      <c r="E32" s="34" t="s">
        <v>2537</v>
      </c>
      <c r="F32" s="10" t="s">
        <v>2538</v>
      </c>
      <c r="G32" s="10">
        <v>78.0</v>
      </c>
      <c r="H32" s="10">
        <v>30.0</v>
      </c>
      <c r="I32" s="10">
        <v>36.0</v>
      </c>
      <c r="J32" s="10">
        <v>12.0</v>
      </c>
      <c r="K32" s="10">
        <v>27.0</v>
      </c>
      <c r="L32" s="10">
        <v>0.0</v>
      </c>
      <c r="M32" s="10">
        <v>16.0</v>
      </c>
      <c r="N32" s="10">
        <v>25.0</v>
      </c>
      <c r="O32" s="10"/>
      <c r="P32" s="10"/>
      <c r="Q32" s="10"/>
      <c r="R32" s="10"/>
      <c r="S32" s="10"/>
      <c r="T32" s="10"/>
      <c r="U32" s="10"/>
      <c r="V32" s="10"/>
      <c r="W32" s="10"/>
      <c r="X32" s="10"/>
      <c r="Y32" s="10"/>
      <c r="Z32" s="10"/>
    </row>
    <row r="33" ht="15.75" customHeight="1">
      <c r="A33" s="10"/>
      <c r="B33" s="10"/>
      <c r="C33" s="25">
        <v>0.5340277777777778</v>
      </c>
      <c r="D33" s="25">
        <v>0.07083333333333333</v>
      </c>
      <c r="E33" s="10" t="s">
        <v>60</v>
      </c>
      <c r="F33" s="10" t="s">
        <v>2539</v>
      </c>
      <c r="G33" s="10"/>
      <c r="H33" s="10"/>
      <c r="I33" s="10"/>
      <c r="J33" s="10"/>
      <c r="K33" s="10"/>
      <c r="L33" s="10"/>
      <c r="M33" s="10"/>
      <c r="N33" s="10"/>
      <c r="O33" s="10"/>
      <c r="P33" s="10"/>
      <c r="Q33" s="10"/>
      <c r="R33" s="10"/>
      <c r="S33" s="10"/>
      <c r="T33" s="10"/>
      <c r="U33" s="10"/>
      <c r="V33" s="10"/>
      <c r="W33" s="10"/>
      <c r="X33" s="10"/>
      <c r="Y33" s="10"/>
      <c r="Z33" s="10"/>
    </row>
    <row r="34" ht="15.75" customHeight="1">
      <c r="A34" s="27"/>
      <c r="B34" s="10"/>
      <c r="C34" s="25">
        <v>0.07569444444444444</v>
      </c>
      <c r="D34" s="25">
        <v>0.09513888888888888</v>
      </c>
      <c r="E34" s="34" t="s">
        <v>2540</v>
      </c>
      <c r="F34" s="10" t="s">
        <v>2541</v>
      </c>
      <c r="G34" s="10">
        <v>30.0</v>
      </c>
      <c r="H34" s="10">
        <v>11.0</v>
      </c>
      <c r="I34" s="10">
        <v>11.0</v>
      </c>
      <c r="J34" s="10">
        <v>8.0</v>
      </c>
      <c r="K34" s="10">
        <v>4.0</v>
      </c>
      <c r="L34" s="10">
        <v>0.0</v>
      </c>
      <c r="M34" s="10">
        <v>3.0</v>
      </c>
      <c r="N34" s="10">
        <v>15.0</v>
      </c>
      <c r="O34" s="10"/>
      <c r="P34" s="10"/>
      <c r="Q34" s="10"/>
      <c r="R34" s="10"/>
      <c r="S34" s="10"/>
      <c r="T34" s="10"/>
      <c r="U34" s="10"/>
      <c r="V34" s="10"/>
      <c r="W34" s="10"/>
      <c r="X34" s="10"/>
      <c r="Y34" s="10"/>
      <c r="Z34" s="10"/>
    </row>
    <row r="35" ht="15.75" customHeight="1">
      <c r="A35" s="10"/>
      <c r="B35" s="10"/>
      <c r="C35" s="25"/>
      <c r="D35" s="25"/>
      <c r="E35" s="10"/>
      <c r="F35" s="10" t="s">
        <v>2542</v>
      </c>
      <c r="G35" s="10"/>
      <c r="H35" s="10"/>
      <c r="I35" s="10"/>
      <c r="J35" s="10"/>
      <c r="K35" s="10"/>
      <c r="L35" s="10"/>
      <c r="M35" s="10"/>
      <c r="N35" s="10"/>
      <c r="O35" s="10"/>
      <c r="P35" s="10"/>
      <c r="Q35" s="10"/>
      <c r="R35" s="10"/>
      <c r="S35" s="10"/>
      <c r="T35" s="10"/>
      <c r="U35" s="10"/>
      <c r="V35" s="10"/>
      <c r="W35" s="10"/>
      <c r="X35" s="10"/>
      <c r="Y35" s="10"/>
      <c r="Z35" s="10"/>
    </row>
    <row r="36" ht="15.75" customHeight="1">
      <c r="A36" s="24">
        <v>45754.0</v>
      </c>
      <c r="B36" s="10">
        <v>1.0</v>
      </c>
      <c r="C36" s="25">
        <v>0.45416666666666666</v>
      </c>
      <c r="D36" s="25">
        <v>0.4798611111111111</v>
      </c>
      <c r="E36" s="13" t="s">
        <v>2543</v>
      </c>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25">
        <v>0.4895833333333333</v>
      </c>
      <c r="D37" s="25">
        <v>0.04236111111111111</v>
      </c>
      <c r="E37" s="34" t="s">
        <v>2544</v>
      </c>
      <c r="F37" s="10" t="s">
        <v>2545</v>
      </c>
      <c r="G37" s="10">
        <v>73.0</v>
      </c>
      <c r="H37" s="10">
        <v>26.0</v>
      </c>
      <c r="I37" s="10">
        <v>34.0</v>
      </c>
      <c r="J37" s="10">
        <v>10.0</v>
      </c>
      <c r="K37" s="10">
        <v>24.0</v>
      </c>
      <c r="L37" s="10">
        <v>2.0</v>
      </c>
      <c r="M37" s="10">
        <v>16.0</v>
      </c>
      <c r="N37" s="10">
        <v>20.0</v>
      </c>
      <c r="O37" s="10"/>
      <c r="P37" s="10"/>
      <c r="Q37" s="10"/>
      <c r="R37" s="10"/>
      <c r="S37" s="10"/>
      <c r="T37" s="10"/>
      <c r="U37" s="10"/>
      <c r="V37" s="10"/>
      <c r="W37" s="10"/>
      <c r="X37" s="10"/>
      <c r="Y37" s="10"/>
      <c r="Z37" s="10"/>
    </row>
    <row r="38" ht="15.75" customHeight="1">
      <c r="A38" s="10"/>
      <c r="B38" s="10"/>
      <c r="C38" s="25">
        <v>0.04583333333333333</v>
      </c>
      <c r="D38" s="25">
        <v>0.06805555555555555</v>
      </c>
      <c r="E38" s="10" t="s">
        <v>60</v>
      </c>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25">
        <v>0.07777777777777778</v>
      </c>
      <c r="D39" s="25">
        <v>0.1111111111111111</v>
      </c>
      <c r="E39" s="34" t="s">
        <v>2546</v>
      </c>
      <c r="F39" s="10" t="s">
        <v>2547</v>
      </c>
      <c r="G39" s="10">
        <v>38.0</v>
      </c>
      <c r="H39" s="10">
        <v>16.0</v>
      </c>
      <c r="I39" s="10">
        <v>18.0</v>
      </c>
      <c r="J39" s="10">
        <v>0.0</v>
      </c>
      <c r="K39" s="10">
        <v>17.0</v>
      </c>
      <c r="L39" s="10">
        <v>3.0</v>
      </c>
      <c r="M39" s="10">
        <v>1.0</v>
      </c>
      <c r="N39" s="10">
        <v>16.0</v>
      </c>
      <c r="O39" s="10"/>
      <c r="P39" s="10"/>
      <c r="Q39" s="10"/>
      <c r="R39" s="10"/>
      <c r="S39" s="10"/>
      <c r="T39" s="10"/>
      <c r="U39" s="10"/>
      <c r="V39" s="10"/>
      <c r="W39" s="10"/>
      <c r="X39" s="10"/>
      <c r="Y39" s="10"/>
      <c r="Z39" s="10"/>
    </row>
    <row r="40" ht="15.75" customHeight="1">
      <c r="A40" s="27"/>
      <c r="B40" s="10"/>
      <c r="C40" s="25">
        <v>0.11527777777777778</v>
      </c>
      <c r="D40" s="25">
        <v>0.14027777777777778</v>
      </c>
      <c r="E40" s="10" t="s">
        <v>63</v>
      </c>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25"/>
      <c r="D41" s="25"/>
      <c r="F41" s="10"/>
      <c r="G41" s="10"/>
      <c r="H41" s="10"/>
      <c r="I41" s="10"/>
      <c r="J41" s="10"/>
      <c r="K41" s="10"/>
      <c r="L41" s="10"/>
      <c r="M41" s="10"/>
      <c r="N41" s="10"/>
      <c r="O41" s="10"/>
      <c r="P41" s="10"/>
      <c r="Q41" s="10"/>
      <c r="R41" s="10"/>
      <c r="S41" s="10"/>
      <c r="T41" s="10"/>
      <c r="U41" s="10"/>
      <c r="V41" s="10"/>
      <c r="W41" s="10"/>
      <c r="X41" s="10"/>
      <c r="Y41" s="10"/>
      <c r="Z41" s="10"/>
    </row>
    <row r="42" ht="15.75" customHeight="1">
      <c r="A42" s="27">
        <v>45755.0</v>
      </c>
      <c r="B42" s="10">
        <v>2.0</v>
      </c>
      <c r="C42" s="25">
        <v>0.3909722222222222</v>
      </c>
      <c r="D42" s="25">
        <v>0.41458333333333336</v>
      </c>
      <c r="E42" s="13" t="s">
        <v>57</v>
      </c>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25">
        <v>0.425</v>
      </c>
      <c r="D43" s="25">
        <v>0.4888888888888889</v>
      </c>
      <c r="E43" s="34" t="s">
        <v>2548</v>
      </c>
      <c r="F43" s="10" t="s">
        <v>2549</v>
      </c>
      <c r="G43" s="10">
        <v>70.0</v>
      </c>
      <c r="H43" s="10">
        <v>27.0</v>
      </c>
      <c r="I43" s="10">
        <v>30.0</v>
      </c>
      <c r="J43" s="10">
        <v>9.0</v>
      </c>
      <c r="K43" s="10">
        <v>25.0</v>
      </c>
      <c r="L43" s="10">
        <v>3.0</v>
      </c>
      <c r="M43" s="10">
        <v>5.0</v>
      </c>
      <c r="N43" s="10">
        <v>27.0</v>
      </c>
      <c r="O43" s="10"/>
      <c r="P43" s="10"/>
      <c r="Q43" s="10"/>
      <c r="R43" s="10"/>
      <c r="S43" s="10"/>
      <c r="T43" s="10"/>
      <c r="U43" s="10"/>
      <c r="V43" s="10"/>
      <c r="W43" s="10"/>
      <c r="X43" s="10"/>
      <c r="Y43" s="10"/>
      <c r="Z43" s="10"/>
    </row>
    <row r="44" ht="15.75" customHeight="1">
      <c r="A44" s="10"/>
      <c r="B44" s="10"/>
      <c r="C44" s="25">
        <v>0.49027777777777776</v>
      </c>
      <c r="D44" s="25">
        <v>0.5347222222222222</v>
      </c>
      <c r="E44" s="10" t="s">
        <v>60</v>
      </c>
      <c r="F44" s="10" t="s">
        <v>2550</v>
      </c>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25">
        <v>0.5395833333333333</v>
      </c>
      <c r="D45" s="25">
        <v>0.10486111111111111</v>
      </c>
      <c r="E45" s="34" t="s">
        <v>2551</v>
      </c>
      <c r="F45" s="10" t="s">
        <v>2552</v>
      </c>
      <c r="G45" s="10">
        <v>73.0</v>
      </c>
      <c r="H45" s="10">
        <v>29.0</v>
      </c>
      <c r="I45" s="10">
        <v>36.0</v>
      </c>
      <c r="J45" s="10">
        <v>8.0</v>
      </c>
      <c r="K45" s="10">
        <v>15.0</v>
      </c>
      <c r="L45" s="10">
        <v>0.0</v>
      </c>
      <c r="M45" s="10">
        <v>17.0</v>
      </c>
      <c r="N45" s="10">
        <v>34.0</v>
      </c>
      <c r="O45" s="10"/>
      <c r="P45" s="10"/>
      <c r="Q45" s="10"/>
      <c r="R45" s="10"/>
      <c r="S45" s="10"/>
      <c r="T45" s="10"/>
      <c r="U45" s="10"/>
      <c r="V45" s="10"/>
      <c r="W45" s="10"/>
      <c r="X45" s="10"/>
      <c r="Y45" s="10"/>
      <c r="Z45" s="10"/>
    </row>
    <row r="46" ht="15.75" customHeight="1">
      <c r="A46" s="10"/>
      <c r="B46" s="10"/>
      <c r="C46" s="25">
        <v>0.1076388888888889</v>
      </c>
      <c r="D46" s="25">
        <v>0.1361111111111111</v>
      </c>
      <c r="E46" s="10" t="s">
        <v>63</v>
      </c>
      <c r="F46" s="10"/>
      <c r="G46" s="10"/>
      <c r="H46" s="10"/>
      <c r="I46" s="10"/>
      <c r="J46" s="10"/>
      <c r="K46" s="10"/>
      <c r="L46" s="10"/>
      <c r="M46" s="10"/>
      <c r="N46" s="10"/>
      <c r="O46" s="10"/>
      <c r="P46" s="10"/>
      <c r="Q46" s="10"/>
      <c r="R46" s="10"/>
      <c r="S46" s="10"/>
      <c r="T46" s="10"/>
      <c r="U46" s="10"/>
      <c r="V46" s="10"/>
      <c r="W46" s="10"/>
      <c r="X46" s="10"/>
      <c r="Y46" s="10"/>
      <c r="Z46" s="10"/>
    </row>
    <row r="47" ht="15.75" customHeight="1">
      <c r="A47" s="27"/>
      <c r="B47" s="10"/>
      <c r="C47" s="25"/>
      <c r="D47" s="25"/>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27">
        <v>45756.0</v>
      </c>
      <c r="B48" s="10">
        <v>3.0</v>
      </c>
      <c r="C48" s="25">
        <v>0.3958333333333333</v>
      </c>
      <c r="D48" s="25">
        <v>0.4173611111111111</v>
      </c>
      <c r="E48" s="10" t="s">
        <v>57</v>
      </c>
      <c r="F48" s="10" t="s">
        <v>2553</v>
      </c>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25">
        <v>0.42430555555555555</v>
      </c>
      <c r="D49" s="25">
        <v>0.4909722222222222</v>
      </c>
      <c r="E49" s="34" t="s">
        <v>2554</v>
      </c>
      <c r="F49" s="10" t="s">
        <v>2555</v>
      </c>
      <c r="G49" s="10">
        <v>59.0</v>
      </c>
      <c r="H49" s="10">
        <v>23.0</v>
      </c>
      <c r="I49" s="10">
        <v>29.0</v>
      </c>
      <c r="J49" s="10">
        <v>6.0</v>
      </c>
      <c r="K49" s="10">
        <v>26.0</v>
      </c>
      <c r="L49" s="10">
        <v>1.0</v>
      </c>
      <c r="M49" s="10">
        <v>3.0</v>
      </c>
      <c r="N49" s="10">
        <v>22.0</v>
      </c>
      <c r="O49" s="10"/>
      <c r="P49" s="10"/>
      <c r="Q49" s="10"/>
      <c r="R49" s="10"/>
      <c r="S49" s="10"/>
      <c r="T49" s="10"/>
      <c r="U49" s="10"/>
      <c r="V49" s="10"/>
      <c r="W49" s="10"/>
      <c r="X49" s="10"/>
      <c r="Y49" s="10"/>
      <c r="Z49" s="10"/>
    </row>
    <row r="50" ht="15.75" customHeight="1">
      <c r="A50" s="10"/>
      <c r="B50" s="10"/>
      <c r="C50" s="25">
        <v>0.4930555555555556</v>
      </c>
      <c r="D50" s="25">
        <v>0.5194444444444445</v>
      </c>
      <c r="E50" s="10" t="s">
        <v>60</v>
      </c>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25">
        <v>0.5236111111111111</v>
      </c>
      <c r="D51" s="25">
        <v>0.07916666666666666</v>
      </c>
      <c r="E51" s="34" t="s">
        <v>2556</v>
      </c>
      <c r="F51" s="10" t="s">
        <v>2557</v>
      </c>
      <c r="G51" s="10">
        <v>58.0</v>
      </c>
      <c r="H51" s="10">
        <v>28.0</v>
      </c>
      <c r="I51" s="10">
        <v>29.0</v>
      </c>
      <c r="J51" s="10">
        <v>0.0</v>
      </c>
      <c r="K51" s="10">
        <v>31.0</v>
      </c>
      <c r="L51" s="10">
        <v>0.0</v>
      </c>
      <c r="M51" s="10">
        <v>2.0</v>
      </c>
      <c r="N51" s="10">
        <v>23.0</v>
      </c>
      <c r="O51" s="10"/>
      <c r="P51" s="10"/>
      <c r="Q51" s="10"/>
      <c r="R51" s="10"/>
      <c r="S51" s="10"/>
      <c r="T51" s="10"/>
      <c r="U51" s="10"/>
      <c r="V51" s="10"/>
      <c r="W51" s="10"/>
      <c r="X51" s="10"/>
      <c r="Y51" s="10"/>
      <c r="Z51" s="10"/>
    </row>
    <row r="52" ht="15.75" customHeight="1">
      <c r="A52" s="10"/>
      <c r="B52" s="10"/>
      <c r="C52" s="25">
        <v>0.08125</v>
      </c>
      <c r="D52" s="25">
        <v>0.10625</v>
      </c>
      <c r="E52" s="10" t="s">
        <v>63</v>
      </c>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27">
        <v>45757.0</v>
      </c>
      <c r="B54" s="10">
        <v>4.0</v>
      </c>
      <c r="C54" s="25">
        <v>0.39444444444444443</v>
      </c>
      <c r="D54" s="25">
        <v>0.4173611111111111</v>
      </c>
      <c r="E54" s="10" t="s">
        <v>57</v>
      </c>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25">
        <v>0.4326388888888889</v>
      </c>
      <c r="D55" s="25">
        <v>0.48680555555555555</v>
      </c>
      <c r="E55" s="34" t="s">
        <v>2558</v>
      </c>
      <c r="F55" s="10" t="s">
        <v>2559</v>
      </c>
      <c r="G55" s="10">
        <v>46.0</v>
      </c>
      <c r="H55" s="10">
        <v>20.0</v>
      </c>
      <c r="I55" s="10">
        <v>24.0</v>
      </c>
      <c r="J55" s="10">
        <v>1.0</v>
      </c>
      <c r="K55" s="10">
        <v>11.0</v>
      </c>
      <c r="L55" s="10">
        <v>1.0</v>
      </c>
      <c r="M55" s="10">
        <v>16.0</v>
      </c>
      <c r="N55" s="10">
        <v>17.0</v>
      </c>
      <c r="O55" s="10"/>
      <c r="P55" s="10"/>
      <c r="Q55" s="10"/>
      <c r="R55" s="10"/>
      <c r="S55" s="10"/>
      <c r="T55" s="10"/>
      <c r="U55" s="10"/>
      <c r="V55" s="10"/>
      <c r="W55" s="10"/>
      <c r="X55" s="10"/>
      <c r="Y55" s="10"/>
      <c r="Z55" s="10"/>
    </row>
    <row r="56" ht="15.75" customHeight="1">
      <c r="A56" s="10"/>
      <c r="B56" s="10"/>
      <c r="C56" s="25">
        <v>0.49027777777777776</v>
      </c>
      <c r="D56" s="25">
        <v>0.5368055555555555</v>
      </c>
      <c r="E56" s="10" t="s">
        <v>60</v>
      </c>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25">
        <v>0.5395833333333333</v>
      </c>
      <c r="D57" s="25">
        <v>0.10347222222222222</v>
      </c>
      <c r="E57" s="34" t="s">
        <v>2560</v>
      </c>
      <c r="F57" s="10" t="s">
        <v>2561</v>
      </c>
      <c r="G57" s="10">
        <v>71.0</v>
      </c>
      <c r="H57" s="10">
        <v>33.0</v>
      </c>
      <c r="I57" s="10">
        <v>32.0</v>
      </c>
      <c r="J57" s="10">
        <v>5.0</v>
      </c>
      <c r="K57" s="10">
        <v>31.0</v>
      </c>
      <c r="L57" s="10">
        <v>0.0</v>
      </c>
      <c r="M57" s="10">
        <v>1.0</v>
      </c>
      <c r="N57" s="10">
        <v>33.0</v>
      </c>
      <c r="O57" s="10"/>
      <c r="P57" s="10"/>
      <c r="Q57" s="10"/>
      <c r="R57" s="10"/>
      <c r="S57" s="10"/>
      <c r="T57" s="10"/>
      <c r="U57" s="10"/>
      <c r="V57" s="10"/>
      <c r="W57" s="10"/>
      <c r="X57" s="10"/>
      <c r="Y57" s="10"/>
      <c r="Z57" s="10"/>
    </row>
    <row r="58" ht="15.75" customHeight="1">
      <c r="A58" s="10"/>
      <c r="B58" s="10"/>
      <c r="C58" s="25">
        <v>0.10416666666666667</v>
      </c>
      <c r="D58" s="25">
        <v>0.12777777777777777</v>
      </c>
      <c r="E58" s="10" t="s">
        <v>63</v>
      </c>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25"/>
      <c r="D59" s="25"/>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27">
        <v>45758.0</v>
      </c>
      <c r="B60" s="10">
        <v>5.0</v>
      </c>
      <c r="C60" s="25">
        <v>0.3875</v>
      </c>
      <c r="D60" s="25">
        <v>0.41805555555555557</v>
      </c>
      <c r="E60" s="10" t="s">
        <v>57</v>
      </c>
      <c r="F60" s="10" t="s">
        <v>2562</v>
      </c>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25">
        <v>0.425</v>
      </c>
      <c r="D61" s="25">
        <v>0.4909722222222222</v>
      </c>
      <c r="E61" s="34" t="s">
        <v>2563</v>
      </c>
      <c r="F61" s="10" t="s">
        <v>2564</v>
      </c>
      <c r="G61" s="10">
        <v>77.0</v>
      </c>
      <c r="H61" s="10">
        <v>33.0</v>
      </c>
      <c r="I61" s="10">
        <v>37.0</v>
      </c>
      <c r="J61" s="10">
        <v>3.0</v>
      </c>
      <c r="K61" s="10">
        <v>26.0</v>
      </c>
      <c r="L61" s="10">
        <v>4.0</v>
      </c>
      <c r="M61" s="10">
        <v>17.0</v>
      </c>
      <c r="N61" s="10">
        <v>26.0</v>
      </c>
      <c r="O61" s="10"/>
      <c r="P61" s="10"/>
      <c r="Q61" s="10"/>
      <c r="R61" s="10"/>
      <c r="S61" s="10"/>
      <c r="T61" s="10"/>
      <c r="U61" s="10"/>
      <c r="V61" s="10"/>
      <c r="W61" s="10"/>
      <c r="X61" s="10"/>
      <c r="Y61" s="10"/>
      <c r="Z61" s="10"/>
    </row>
    <row r="62" ht="15.75" customHeight="1">
      <c r="A62" s="27"/>
      <c r="B62" s="10"/>
      <c r="C62" s="25">
        <v>0.49236111111111114</v>
      </c>
      <c r="D62" s="25">
        <v>0.5201388888888889</v>
      </c>
      <c r="E62" s="10" t="s">
        <v>60</v>
      </c>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25">
        <v>0.5263888888888889</v>
      </c>
      <c r="D63" s="25">
        <v>0.08680555555555555</v>
      </c>
      <c r="E63" s="34" t="s">
        <v>2565</v>
      </c>
      <c r="F63" s="10" t="s">
        <v>2566</v>
      </c>
      <c r="G63" s="10">
        <v>75.0</v>
      </c>
      <c r="H63" s="10">
        <v>28.0</v>
      </c>
      <c r="I63" s="10">
        <v>36.0</v>
      </c>
      <c r="J63" s="10">
        <v>11.0</v>
      </c>
      <c r="K63" s="10">
        <v>32.0</v>
      </c>
      <c r="L63" s="10">
        <v>0.0</v>
      </c>
      <c r="M63" s="10">
        <v>1.0</v>
      </c>
      <c r="N63" s="10">
        <v>32.0</v>
      </c>
      <c r="O63" s="10"/>
      <c r="P63" s="10"/>
      <c r="Q63" s="10"/>
      <c r="R63" s="10"/>
      <c r="S63" s="10"/>
      <c r="T63" s="10"/>
      <c r="U63" s="10"/>
      <c r="V63" s="10"/>
      <c r="W63" s="10"/>
      <c r="X63" s="10"/>
      <c r="Y63" s="10"/>
      <c r="Z63" s="10"/>
    </row>
    <row r="64" ht="15.75" customHeight="1">
      <c r="A64" s="10"/>
      <c r="B64" s="10"/>
      <c r="C64" s="25">
        <v>0.08819444444444445</v>
      </c>
      <c r="D64" s="25">
        <v>0.10902777777777778</v>
      </c>
      <c r="E64" s="10" t="s">
        <v>63</v>
      </c>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25"/>
      <c r="D65" s="25"/>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27">
        <v>45761.0</v>
      </c>
      <c r="B66" s="10">
        <v>6.0</v>
      </c>
      <c r="C66" s="25">
        <v>0.4375</v>
      </c>
      <c r="D66" s="25">
        <v>0.4638888888888889</v>
      </c>
      <c r="E66" s="10" t="s">
        <v>57</v>
      </c>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25">
        <v>0.4708333333333333</v>
      </c>
      <c r="D67" s="25">
        <v>0.51875</v>
      </c>
      <c r="E67" s="34" t="s">
        <v>2567</v>
      </c>
      <c r="F67" s="10" t="s">
        <v>2568</v>
      </c>
      <c r="G67" s="10">
        <v>46.0</v>
      </c>
      <c r="H67" s="10">
        <v>20.0</v>
      </c>
      <c r="I67" s="10">
        <v>20.0</v>
      </c>
      <c r="J67" s="10">
        <v>2.0</v>
      </c>
      <c r="K67" s="10">
        <v>20.0</v>
      </c>
      <c r="L67" s="10">
        <v>0.0</v>
      </c>
      <c r="M67" s="10">
        <v>6.0</v>
      </c>
      <c r="N67" s="10">
        <v>30.0</v>
      </c>
      <c r="O67" s="10"/>
      <c r="P67" s="10"/>
      <c r="Q67" s="10"/>
      <c r="R67" s="10"/>
      <c r="S67" s="10"/>
      <c r="T67" s="10"/>
      <c r="U67" s="10"/>
      <c r="V67" s="10"/>
      <c r="W67" s="10"/>
      <c r="X67" s="10"/>
      <c r="Y67" s="10"/>
      <c r="Z67" s="10"/>
    </row>
    <row r="68" ht="15.75" customHeight="1">
      <c r="A68" s="10"/>
      <c r="B68" s="10"/>
      <c r="C68" s="25">
        <v>0.5215277777777778</v>
      </c>
      <c r="D68" s="25">
        <v>0.05486111111111111</v>
      </c>
      <c r="E68" s="10" t="s">
        <v>60</v>
      </c>
      <c r="F68" s="10"/>
      <c r="G68" s="10"/>
      <c r="H68" s="10"/>
      <c r="I68" s="10"/>
      <c r="J68" s="10"/>
      <c r="K68" s="10"/>
      <c r="L68" s="10"/>
      <c r="M68" s="10"/>
      <c r="N68" s="10"/>
      <c r="O68" s="10"/>
      <c r="P68" s="10"/>
      <c r="Q68" s="10"/>
      <c r="R68" s="10"/>
      <c r="S68" s="10"/>
      <c r="T68" s="10"/>
      <c r="U68" s="10"/>
      <c r="V68" s="10"/>
      <c r="W68" s="10"/>
      <c r="X68" s="10"/>
      <c r="Y68" s="10"/>
      <c r="Z68" s="10"/>
    </row>
    <row r="69" ht="15.75" customHeight="1">
      <c r="A69" s="27"/>
      <c r="B69" s="10"/>
      <c r="C69" s="25">
        <v>0.0798611111111111</v>
      </c>
      <c r="D69" s="25">
        <v>0.14583333333333334</v>
      </c>
      <c r="E69" s="34" t="s">
        <v>2569</v>
      </c>
      <c r="F69" s="10" t="s">
        <v>2570</v>
      </c>
      <c r="G69" s="10">
        <v>93.0</v>
      </c>
      <c r="H69" s="10">
        <v>47.0</v>
      </c>
      <c r="I69" s="10">
        <v>44.0</v>
      </c>
      <c r="J69" s="10">
        <v>1.0</v>
      </c>
      <c r="K69" s="10">
        <v>23.0</v>
      </c>
      <c r="L69" s="10">
        <v>1.0</v>
      </c>
      <c r="M69" s="10">
        <v>30.0</v>
      </c>
      <c r="N69" s="10">
        <v>37.0</v>
      </c>
      <c r="O69" s="10"/>
      <c r="P69" s="10"/>
      <c r="Q69" s="10"/>
      <c r="R69" s="10"/>
      <c r="S69" s="10"/>
      <c r="T69" s="10"/>
      <c r="U69" s="10"/>
      <c r="V69" s="10"/>
      <c r="W69" s="10"/>
      <c r="X69" s="10"/>
      <c r="Y69" s="10"/>
      <c r="Z69" s="10"/>
    </row>
    <row r="70" ht="15.75" customHeight="1">
      <c r="A70" s="10"/>
      <c r="B70" s="10"/>
      <c r="C70" s="25">
        <v>0.1486111111111111</v>
      </c>
      <c r="D70" s="25">
        <v>0.17152777777777778</v>
      </c>
      <c r="E70" s="10" t="s">
        <v>63</v>
      </c>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25"/>
      <c r="D71" s="25"/>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27">
        <v>45762.0</v>
      </c>
      <c r="B72" s="10">
        <v>7.0</v>
      </c>
      <c r="C72" s="25">
        <v>0.3972222222222222</v>
      </c>
      <c r="D72" s="25">
        <v>0.4222222222222222</v>
      </c>
      <c r="E72" s="10" t="s">
        <v>57</v>
      </c>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25">
        <v>0.43472222222222223</v>
      </c>
      <c r="D73" s="25">
        <v>0.5020833333333333</v>
      </c>
      <c r="E73" s="34" t="s">
        <v>2571</v>
      </c>
      <c r="F73" s="10" t="s">
        <v>2572</v>
      </c>
      <c r="G73" s="10">
        <v>70.0</v>
      </c>
      <c r="H73" s="10">
        <v>38.0</v>
      </c>
      <c r="I73" s="10">
        <v>31.0</v>
      </c>
      <c r="J73" s="10">
        <v>1.0</v>
      </c>
      <c r="K73" s="10">
        <v>38.0</v>
      </c>
      <c r="L73" s="10">
        <v>0.0</v>
      </c>
      <c r="M73" s="10">
        <v>0.0</v>
      </c>
      <c r="N73" s="10">
        <v>30.0</v>
      </c>
      <c r="O73" s="10"/>
      <c r="P73" s="10"/>
      <c r="Q73" s="10"/>
      <c r="R73" s="10"/>
      <c r="S73" s="10"/>
      <c r="T73" s="10"/>
      <c r="U73" s="10"/>
      <c r="V73" s="10"/>
      <c r="W73" s="10"/>
      <c r="X73" s="10"/>
      <c r="Y73" s="10"/>
      <c r="Z73" s="10"/>
    </row>
    <row r="74" ht="15.75" customHeight="1">
      <c r="A74" s="10"/>
      <c r="B74" s="10"/>
      <c r="C74" s="25">
        <v>0.5034722222222222</v>
      </c>
      <c r="D74" s="25">
        <v>0.5284722222222222</v>
      </c>
      <c r="E74" s="10" t="s">
        <v>60</v>
      </c>
      <c r="F74" s="10"/>
      <c r="G74" s="10"/>
      <c r="H74" s="10"/>
      <c r="I74" s="10"/>
      <c r="J74" s="10"/>
      <c r="K74" s="10"/>
      <c r="L74" s="10"/>
      <c r="M74" s="10"/>
      <c r="N74" s="10"/>
      <c r="O74" s="10"/>
      <c r="P74" s="10"/>
      <c r="Q74" s="10"/>
      <c r="R74" s="10"/>
      <c r="S74" s="10"/>
      <c r="T74" s="10"/>
      <c r="U74" s="10"/>
      <c r="V74" s="10"/>
      <c r="W74" s="10"/>
      <c r="X74" s="10"/>
      <c r="Y74" s="10"/>
      <c r="Z74" s="10"/>
    </row>
    <row r="75" ht="15.75" customHeight="1">
      <c r="A75" s="27"/>
      <c r="B75" s="10"/>
      <c r="C75" s="25">
        <v>0.059027777777777776</v>
      </c>
      <c r="D75" s="25">
        <v>0.12291666666666666</v>
      </c>
      <c r="E75" s="34" t="s">
        <v>2573</v>
      </c>
      <c r="F75" s="10" t="s">
        <v>2574</v>
      </c>
      <c r="G75" s="10">
        <v>76.0</v>
      </c>
      <c r="H75" s="10">
        <v>39.0</v>
      </c>
      <c r="I75" s="10">
        <v>27.0</v>
      </c>
      <c r="J75" s="10">
        <v>6.0</v>
      </c>
      <c r="K75" s="10">
        <v>33.0</v>
      </c>
      <c r="L75" s="10">
        <v>3.0</v>
      </c>
      <c r="M75" s="10">
        <v>4.0</v>
      </c>
      <c r="N75" s="10">
        <v>30.0</v>
      </c>
      <c r="O75" s="10"/>
      <c r="P75" s="10"/>
      <c r="Q75" s="10"/>
      <c r="R75" s="10"/>
      <c r="S75" s="10"/>
      <c r="T75" s="10"/>
      <c r="U75" s="10"/>
      <c r="V75" s="10"/>
      <c r="W75" s="10"/>
      <c r="X75" s="10"/>
      <c r="Y75" s="10"/>
      <c r="Z75" s="10"/>
    </row>
    <row r="76" ht="15.75" customHeight="1">
      <c r="A76" s="10"/>
      <c r="B76" s="10"/>
      <c r="C76" s="25">
        <v>0.13333333333333333</v>
      </c>
      <c r="D76" s="25">
        <v>0.16041666666666668</v>
      </c>
      <c r="E76" s="10" t="s">
        <v>63</v>
      </c>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25"/>
      <c r="D77" s="25"/>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24">
        <v>45763.0</v>
      </c>
      <c r="B78" s="10">
        <v>8.0</v>
      </c>
      <c r="C78" s="25">
        <v>0.39861111111111114</v>
      </c>
      <c r="D78" s="25">
        <v>0.42083333333333334</v>
      </c>
      <c r="E78" s="10" t="s">
        <v>57</v>
      </c>
      <c r="F78" s="10" t="s">
        <v>2575</v>
      </c>
      <c r="G78" s="10"/>
      <c r="H78" s="10"/>
      <c r="I78" s="10"/>
      <c r="J78" s="10"/>
      <c r="K78" s="10"/>
      <c r="L78" s="10"/>
      <c r="M78" s="10"/>
      <c r="N78" s="10"/>
      <c r="O78" s="10"/>
      <c r="P78" s="119" t="s">
        <v>2576</v>
      </c>
      <c r="Q78" s="10"/>
      <c r="R78" s="10"/>
      <c r="S78" s="10"/>
      <c r="T78" s="10"/>
      <c r="U78" s="10"/>
      <c r="V78" s="10"/>
      <c r="W78" s="10"/>
      <c r="X78" s="10"/>
      <c r="Y78" s="10"/>
      <c r="Z78" s="10"/>
    </row>
    <row r="79" ht="15.75" customHeight="1">
      <c r="A79" s="10"/>
      <c r="B79" s="10"/>
      <c r="C79" s="25">
        <v>0.42569444444444443</v>
      </c>
      <c r="D79" s="25">
        <v>0.4909722222222222</v>
      </c>
      <c r="E79" s="34" t="s">
        <v>2577</v>
      </c>
      <c r="F79" s="10" t="s">
        <v>2578</v>
      </c>
      <c r="G79" s="10">
        <v>75.0</v>
      </c>
      <c r="H79" s="10">
        <v>34.0</v>
      </c>
      <c r="I79" s="10">
        <v>37.0</v>
      </c>
      <c r="J79" s="10">
        <v>2.0</v>
      </c>
      <c r="K79" s="10">
        <v>34.0</v>
      </c>
      <c r="L79" s="10">
        <v>1.0</v>
      </c>
      <c r="M79" s="10">
        <v>7.0</v>
      </c>
      <c r="N79" s="10">
        <v>30.0</v>
      </c>
      <c r="O79" s="10"/>
      <c r="P79" s="119" t="s">
        <v>2576</v>
      </c>
      <c r="Q79" s="10"/>
      <c r="R79" s="10"/>
      <c r="S79" s="10"/>
      <c r="T79" s="10"/>
      <c r="U79" s="10"/>
      <c r="V79" s="10"/>
      <c r="W79" s="10"/>
      <c r="X79" s="10"/>
      <c r="Y79" s="10"/>
      <c r="Z79" s="10"/>
    </row>
    <row r="80" ht="15.75" customHeight="1">
      <c r="A80" s="10"/>
      <c r="B80" s="10"/>
      <c r="C80" s="25">
        <v>0.49236111111111114</v>
      </c>
      <c r="D80" s="25">
        <v>0.5180555555555556</v>
      </c>
      <c r="E80" s="10" t="s">
        <v>60</v>
      </c>
      <c r="F80" s="10" t="s">
        <v>93</v>
      </c>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25">
        <v>0.5229166666666667</v>
      </c>
      <c r="D81" s="25">
        <v>0.08611111111111111</v>
      </c>
      <c r="E81" s="26" t="s">
        <v>2579</v>
      </c>
      <c r="F81" s="10" t="s">
        <v>2580</v>
      </c>
      <c r="G81" s="10">
        <v>66.0</v>
      </c>
      <c r="H81" s="10">
        <v>28.0</v>
      </c>
      <c r="I81" s="10">
        <v>37.0</v>
      </c>
      <c r="J81" s="10">
        <v>0.0</v>
      </c>
      <c r="K81" s="10">
        <v>8.0</v>
      </c>
      <c r="L81" s="10">
        <v>1.0</v>
      </c>
      <c r="M81" s="10">
        <v>28.0</v>
      </c>
      <c r="N81" s="10">
        <v>28.0</v>
      </c>
      <c r="O81" s="10"/>
      <c r="P81" s="119" t="s">
        <v>2576</v>
      </c>
      <c r="Q81" s="10"/>
      <c r="R81" s="10"/>
      <c r="S81" s="10"/>
      <c r="T81" s="10"/>
      <c r="U81" s="10"/>
      <c r="V81" s="10"/>
      <c r="W81" s="10"/>
      <c r="X81" s="10"/>
      <c r="Y81" s="10"/>
      <c r="Z81" s="10"/>
    </row>
    <row r="82" ht="15.75" customHeight="1">
      <c r="A82" s="27"/>
      <c r="B82" s="10"/>
      <c r="C82" s="25">
        <v>0.08888888888888889</v>
      </c>
      <c r="D82" s="25">
        <v>0.13194444444444445</v>
      </c>
      <c r="E82" s="10" t="s">
        <v>63</v>
      </c>
      <c r="F82" s="10" t="s">
        <v>2581</v>
      </c>
      <c r="G82" s="10"/>
      <c r="H82" s="10"/>
      <c r="I82" s="10"/>
      <c r="J82" s="10"/>
      <c r="K82" s="10"/>
      <c r="L82" s="10"/>
      <c r="M82" s="10"/>
      <c r="N82" s="10"/>
      <c r="O82" s="10"/>
      <c r="P82" s="119" t="s">
        <v>2576</v>
      </c>
      <c r="Q82" s="10"/>
      <c r="R82" s="10"/>
      <c r="S82" s="10"/>
      <c r="T82" s="10"/>
      <c r="U82" s="10"/>
      <c r="V82" s="10"/>
      <c r="W82" s="10"/>
      <c r="X82" s="10"/>
      <c r="Y82" s="10"/>
      <c r="Z82" s="10"/>
    </row>
    <row r="83" ht="15.75" customHeight="1">
      <c r="A83" s="10"/>
      <c r="B83" s="10"/>
      <c r="C83" s="25"/>
      <c r="D83" s="25"/>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27">
        <v>45764.0</v>
      </c>
      <c r="B84" s="10">
        <v>9.0</v>
      </c>
      <c r="C84" s="25">
        <v>0.4076388888888889</v>
      </c>
      <c r="D84" s="25">
        <v>0.45</v>
      </c>
      <c r="E84" s="10" t="s">
        <v>57</v>
      </c>
      <c r="F84" s="10" t="s">
        <v>2582</v>
      </c>
      <c r="G84" s="10"/>
      <c r="H84" s="10"/>
      <c r="I84" s="10"/>
      <c r="J84" s="10"/>
      <c r="K84" s="10"/>
      <c r="L84" s="10"/>
      <c r="M84" s="10"/>
      <c r="N84" s="10"/>
      <c r="O84" s="10"/>
      <c r="P84" s="119" t="s">
        <v>2576</v>
      </c>
      <c r="Q84" s="10"/>
      <c r="R84" s="10"/>
      <c r="S84" s="10"/>
      <c r="T84" s="10"/>
      <c r="U84" s="10"/>
      <c r="V84" s="10"/>
      <c r="W84" s="10"/>
      <c r="X84" s="10"/>
      <c r="Y84" s="10"/>
      <c r="Z84" s="10"/>
    </row>
    <row r="85" ht="15.75" customHeight="1">
      <c r="A85" s="10"/>
      <c r="B85" s="10"/>
      <c r="C85" s="25">
        <v>0.46041666666666664</v>
      </c>
      <c r="D85" s="25">
        <v>0.5229166666666667</v>
      </c>
      <c r="E85" s="26" t="s">
        <v>2583</v>
      </c>
      <c r="F85" s="10" t="s">
        <v>2584</v>
      </c>
      <c r="G85" s="10">
        <v>75.0</v>
      </c>
      <c r="H85" s="10">
        <v>29.0</v>
      </c>
      <c r="I85" s="10">
        <v>39.0</v>
      </c>
      <c r="J85" s="10">
        <v>6.0</v>
      </c>
      <c r="K85" s="10">
        <v>22.0</v>
      </c>
      <c r="L85" s="10">
        <v>0.0</v>
      </c>
      <c r="M85" s="10">
        <v>18.0</v>
      </c>
      <c r="N85" s="10">
        <v>29.0</v>
      </c>
      <c r="O85" s="10"/>
      <c r="P85" s="119" t="s">
        <v>2576</v>
      </c>
      <c r="Q85" s="10"/>
      <c r="R85" s="10"/>
      <c r="S85" s="10"/>
      <c r="T85" s="10"/>
      <c r="U85" s="10"/>
      <c r="V85" s="10"/>
      <c r="W85" s="10"/>
      <c r="X85" s="10"/>
      <c r="Y85" s="10"/>
      <c r="Z85" s="10"/>
    </row>
    <row r="86" ht="15.75" customHeight="1">
      <c r="A86" s="10"/>
      <c r="B86" s="10"/>
      <c r="C86" s="25">
        <v>0.525</v>
      </c>
      <c r="D86" s="25">
        <v>0.049305555555555554</v>
      </c>
      <c r="E86" s="13" t="s">
        <v>60</v>
      </c>
      <c r="F86" s="10"/>
      <c r="G86" s="10"/>
      <c r="H86" s="10"/>
      <c r="I86" s="10"/>
      <c r="J86" s="10"/>
      <c r="K86" s="10"/>
      <c r="L86" s="10"/>
      <c r="M86" s="10"/>
      <c r="N86" s="10"/>
      <c r="O86" s="10"/>
      <c r="P86" s="119" t="s">
        <v>2576</v>
      </c>
      <c r="Q86" s="10"/>
      <c r="R86" s="10"/>
      <c r="S86" s="10"/>
      <c r="T86" s="10"/>
      <c r="U86" s="10"/>
      <c r="V86" s="10"/>
      <c r="W86" s="10"/>
      <c r="X86" s="10"/>
      <c r="Y86" s="10"/>
      <c r="Z86" s="10"/>
    </row>
    <row r="87" ht="15.75" customHeight="1">
      <c r="A87" s="27"/>
      <c r="B87" s="10"/>
      <c r="C87" s="25">
        <v>0.08888888888888889</v>
      </c>
      <c r="D87" s="25">
        <v>0.1423611111111111</v>
      </c>
      <c r="E87" s="26" t="s">
        <v>2585</v>
      </c>
      <c r="F87" s="10" t="s">
        <v>2586</v>
      </c>
      <c r="G87" s="10">
        <v>68.0</v>
      </c>
      <c r="H87" s="10">
        <v>35.0</v>
      </c>
      <c r="I87" s="10">
        <v>26.0</v>
      </c>
      <c r="J87" s="10">
        <v>7.0</v>
      </c>
      <c r="K87" s="10">
        <v>30.0</v>
      </c>
      <c r="L87" s="10">
        <v>0.0</v>
      </c>
      <c r="M87" s="10">
        <v>15.0</v>
      </c>
      <c r="N87" s="10">
        <v>15.0</v>
      </c>
      <c r="O87" s="10"/>
      <c r="P87" s="119" t="s">
        <v>2576</v>
      </c>
      <c r="Q87" s="10"/>
      <c r="R87" s="10"/>
      <c r="S87" s="10"/>
      <c r="T87" s="10"/>
      <c r="U87" s="10"/>
      <c r="V87" s="10"/>
      <c r="W87" s="10"/>
      <c r="X87" s="10"/>
      <c r="Y87" s="10"/>
      <c r="Z87" s="10"/>
    </row>
    <row r="88" ht="15.75" customHeight="1">
      <c r="A88" s="27"/>
      <c r="B88" s="10"/>
      <c r="C88" s="25">
        <v>0.14375</v>
      </c>
      <c r="D88" s="25">
        <v>0.16944444444444445</v>
      </c>
      <c r="E88" s="10" t="s">
        <v>63</v>
      </c>
      <c r="F88" s="10" t="s">
        <v>2587</v>
      </c>
      <c r="G88" s="10"/>
      <c r="H88" s="10"/>
      <c r="I88" s="10"/>
      <c r="J88" s="10"/>
      <c r="K88" s="10"/>
      <c r="L88" s="10"/>
      <c r="M88" s="10"/>
      <c r="N88" s="10"/>
      <c r="O88" s="10"/>
      <c r="P88" s="119" t="s">
        <v>2576</v>
      </c>
      <c r="Q88" s="10"/>
      <c r="R88" s="10"/>
      <c r="S88" s="10"/>
      <c r="T88" s="10"/>
      <c r="U88" s="10"/>
      <c r="V88" s="10"/>
      <c r="W88" s="10"/>
      <c r="X88" s="10"/>
      <c r="Y88" s="10"/>
      <c r="Z88" s="10"/>
    </row>
    <row r="89" ht="15.75" customHeight="1">
      <c r="A89" s="10"/>
      <c r="B89" s="10"/>
      <c r="C89" s="25"/>
      <c r="D89" s="25"/>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27">
        <v>45765.0</v>
      </c>
      <c r="B90" s="10">
        <v>10.0</v>
      </c>
      <c r="C90" s="25">
        <v>0.4326388888888889</v>
      </c>
      <c r="D90" s="25">
        <v>0.45555555555555555</v>
      </c>
      <c r="E90" s="10" t="s">
        <v>57</v>
      </c>
      <c r="F90" s="10" t="s">
        <v>2588</v>
      </c>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25">
        <v>0.4638888888888889</v>
      </c>
      <c r="D91" s="25">
        <v>0.5208333333333334</v>
      </c>
      <c r="E91" s="26" t="s">
        <v>2589</v>
      </c>
      <c r="F91" s="10" t="s">
        <v>2590</v>
      </c>
      <c r="G91" s="10">
        <v>81.0</v>
      </c>
      <c r="H91" s="10">
        <v>32.0</v>
      </c>
      <c r="I91" s="10">
        <v>42.0</v>
      </c>
      <c r="J91" s="10">
        <v>7.0</v>
      </c>
      <c r="K91" s="10">
        <v>27.0</v>
      </c>
      <c r="L91" s="10">
        <v>0.0</v>
      </c>
      <c r="M91" s="10">
        <v>15.0</v>
      </c>
      <c r="N91" s="10">
        <v>32.0</v>
      </c>
      <c r="O91" s="10"/>
      <c r="P91" s="10"/>
      <c r="Q91" s="10"/>
      <c r="R91" s="10"/>
      <c r="S91" s="10"/>
      <c r="T91" s="10"/>
      <c r="U91" s="10"/>
      <c r="V91" s="10"/>
      <c r="W91" s="10"/>
      <c r="X91" s="10"/>
      <c r="Y91" s="10"/>
      <c r="Z91" s="10"/>
    </row>
    <row r="92" ht="15.75" customHeight="1">
      <c r="A92" s="10"/>
      <c r="B92" s="10"/>
      <c r="C92" s="25">
        <v>0.5229166666666667</v>
      </c>
      <c r="D92" s="25">
        <v>0.04791666666666667</v>
      </c>
      <c r="E92" s="13" t="s">
        <v>60</v>
      </c>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25">
        <v>0.05138888888888889</v>
      </c>
      <c r="D93" s="25">
        <v>0.10138888888888889</v>
      </c>
      <c r="E93" s="26" t="s">
        <v>2591</v>
      </c>
      <c r="F93" s="10" t="s">
        <v>2592</v>
      </c>
      <c r="G93" s="10">
        <v>66.0</v>
      </c>
      <c r="H93" s="10">
        <v>33.0</v>
      </c>
      <c r="I93" s="10">
        <v>31.0</v>
      </c>
      <c r="J93" s="10">
        <v>2.0</v>
      </c>
      <c r="K93" s="10">
        <v>35.0</v>
      </c>
      <c r="L93" s="10">
        <v>0.0</v>
      </c>
      <c r="M93" s="10">
        <v>5.0</v>
      </c>
      <c r="N93" s="10">
        <v>23.0</v>
      </c>
      <c r="O93" s="10"/>
      <c r="P93" s="10"/>
      <c r="Q93" s="10"/>
      <c r="R93" s="10"/>
      <c r="S93" s="10"/>
      <c r="T93" s="10"/>
      <c r="U93" s="10"/>
      <c r="V93" s="10"/>
      <c r="W93" s="10"/>
      <c r="X93" s="10"/>
      <c r="Y93" s="10"/>
      <c r="Z93" s="10"/>
    </row>
    <row r="94" ht="15.75" customHeight="1">
      <c r="A94" s="27"/>
      <c r="B94" s="10"/>
      <c r="C94" s="25">
        <v>0.10347222222222222</v>
      </c>
      <c r="D94" s="25">
        <v>0.12291666666666666</v>
      </c>
      <c r="E94" s="10" t="s">
        <v>63</v>
      </c>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25"/>
      <c r="D95" s="25"/>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24">
        <v>45768.0</v>
      </c>
      <c r="B96" s="10">
        <v>11.0</v>
      </c>
      <c r="C96" s="25">
        <v>0.4222222222222222</v>
      </c>
      <c r="D96" s="25">
        <v>0.44305555555555554</v>
      </c>
      <c r="E96" s="10" t="s">
        <v>57</v>
      </c>
      <c r="F96" s="10" t="s">
        <v>93</v>
      </c>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25">
        <v>0.4576388888888889</v>
      </c>
      <c r="D97" s="25">
        <v>0.5208333333333334</v>
      </c>
      <c r="E97" s="26" t="s">
        <v>2593</v>
      </c>
      <c r="F97" s="10" t="s">
        <v>2594</v>
      </c>
      <c r="G97" s="10">
        <v>97.0</v>
      </c>
      <c r="H97" s="10">
        <v>54.0</v>
      </c>
      <c r="I97" s="10">
        <v>42.0</v>
      </c>
      <c r="J97" s="10">
        <v>1.0</v>
      </c>
      <c r="K97" s="10">
        <v>31.0</v>
      </c>
      <c r="L97" s="10">
        <v>0.0</v>
      </c>
      <c r="M97" s="10">
        <v>31.0</v>
      </c>
      <c r="N97" s="10">
        <v>34.0</v>
      </c>
      <c r="O97" s="10"/>
      <c r="P97" s="10"/>
      <c r="Q97" s="10"/>
      <c r="R97" s="10"/>
      <c r="S97" s="10"/>
      <c r="T97" s="10"/>
      <c r="U97" s="10"/>
      <c r="V97" s="10"/>
      <c r="W97" s="10"/>
      <c r="X97" s="10"/>
      <c r="Y97" s="10"/>
      <c r="Z97" s="10"/>
    </row>
    <row r="98" ht="15.75" customHeight="1">
      <c r="A98" s="10"/>
      <c r="B98" s="10"/>
      <c r="C98" s="25">
        <v>0.5256944444444445</v>
      </c>
      <c r="D98" s="25">
        <v>0.050694444444444445</v>
      </c>
      <c r="E98" s="10" t="s">
        <v>60</v>
      </c>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25">
        <v>0.05555555555555555</v>
      </c>
      <c r="D99" s="25">
        <v>0.06597222222222222</v>
      </c>
      <c r="E99" s="26" t="s">
        <v>2595</v>
      </c>
      <c r="F99" s="10" t="s">
        <v>2596</v>
      </c>
      <c r="G99" s="10">
        <v>73.0</v>
      </c>
      <c r="H99" s="10">
        <v>32.0</v>
      </c>
      <c r="I99" s="10">
        <v>37.0</v>
      </c>
      <c r="J99" s="10">
        <v>3.0</v>
      </c>
      <c r="K99" s="10">
        <v>33.0</v>
      </c>
      <c r="L99" s="10">
        <v>1.0</v>
      </c>
      <c r="M99" s="10">
        <v>7.0</v>
      </c>
      <c r="N99" s="10">
        <v>28.0</v>
      </c>
      <c r="O99" s="10"/>
      <c r="P99" s="10"/>
      <c r="Q99" s="10"/>
      <c r="R99" s="10"/>
      <c r="S99" s="10"/>
      <c r="T99" s="10"/>
      <c r="U99" s="10"/>
      <c r="V99" s="10"/>
      <c r="W99" s="10"/>
      <c r="X99" s="10"/>
      <c r="Y99" s="10"/>
      <c r="Z99" s="10"/>
    </row>
    <row r="100" ht="15.75" customHeight="1">
      <c r="A100" s="27"/>
      <c r="B100" s="10"/>
      <c r="C100" s="25">
        <v>0.1111111111111111</v>
      </c>
      <c r="D100" s="25">
        <v>0.13194444444444445</v>
      </c>
      <c r="E100" s="10" t="s">
        <v>63</v>
      </c>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25"/>
      <c r="D101" s="25"/>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27">
        <v>45769.0</v>
      </c>
      <c r="B102" s="10">
        <v>12.0</v>
      </c>
      <c r="C102" s="25">
        <v>0.38680555555555557</v>
      </c>
      <c r="D102" s="25">
        <v>0.4083333333333333</v>
      </c>
      <c r="E102" s="10" t="s">
        <v>57</v>
      </c>
      <c r="F102" s="10" t="s">
        <v>2597</v>
      </c>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25">
        <v>0.425</v>
      </c>
      <c r="D103" s="25">
        <v>0.48055555555555557</v>
      </c>
      <c r="E103" s="26" t="s">
        <v>2598</v>
      </c>
      <c r="F103" s="10" t="s">
        <v>2599</v>
      </c>
      <c r="G103" s="10">
        <v>80.0</v>
      </c>
      <c r="H103" s="10">
        <v>32.0</v>
      </c>
      <c r="I103" s="10">
        <v>40.0</v>
      </c>
      <c r="J103" s="10">
        <v>8.0</v>
      </c>
      <c r="K103" s="10">
        <v>30.0</v>
      </c>
      <c r="L103" s="10">
        <v>0.0</v>
      </c>
      <c r="M103" s="10">
        <v>16.0</v>
      </c>
      <c r="N103" s="10">
        <v>25.0</v>
      </c>
      <c r="O103" s="10"/>
      <c r="P103" s="10"/>
      <c r="Q103" s="10"/>
      <c r="R103" s="10"/>
      <c r="S103" s="10"/>
      <c r="T103" s="10"/>
      <c r="U103" s="10"/>
      <c r="V103" s="10"/>
      <c r="W103" s="10"/>
      <c r="X103" s="10"/>
      <c r="Y103" s="10"/>
      <c r="Z103" s="10"/>
    </row>
    <row r="104" ht="15.75" customHeight="1">
      <c r="A104" s="10"/>
      <c r="B104" s="10"/>
      <c r="C104" s="25">
        <v>0.48194444444444445</v>
      </c>
      <c r="D104" s="25">
        <v>0.5138888888888888</v>
      </c>
      <c r="E104" s="10" t="s">
        <v>60</v>
      </c>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25">
        <v>0.5173611111111112</v>
      </c>
      <c r="D105" s="25">
        <v>0.06944444444444445</v>
      </c>
      <c r="E105" s="26" t="s">
        <v>2600</v>
      </c>
      <c r="F105" s="10" t="s">
        <v>2601</v>
      </c>
      <c r="G105" s="10">
        <v>69.0</v>
      </c>
      <c r="H105" s="10">
        <v>39.0</v>
      </c>
      <c r="I105" s="10">
        <v>29.0</v>
      </c>
      <c r="J105" s="10">
        <v>1.0</v>
      </c>
      <c r="K105" s="10">
        <v>40.0</v>
      </c>
      <c r="L105" s="10">
        <v>0.0</v>
      </c>
      <c r="M105" s="10">
        <v>7.0</v>
      </c>
      <c r="N105" s="10">
        <v>20.0</v>
      </c>
      <c r="O105" s="10"/>
      <c r="P105" s="10"/>
      <c r="Q105" s="10"/>
      <c r="R105" s="10"/>
      <c r="S105" s="10"/>
      <c r="T105" s="10"/>
      <c r="U105" s="10"/>
      <c r="V105" s="10"/>
      <c r="W105" s="10"/>
      <c r="X105" s="10"/>
      <c r="Y105" s="10"/>
      <c r="Z105" s="10"/>
    </row>
    <row r="106" ht="15.75" customHeight="1">
      <c r="A106" s="10"/>
      <c r="B106" s="10"/>
      <c r="C106" s="25">
        <v>0.07083333333333333</v>
      </c>
      <c r="D106" s="25">
        <v>0.10416666666666667</v>
      </c>
      <c r="E106" s="10" t="s">
        <v>63</v>
      </c>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27"/>
      <c r="B107" s="10"/>
      <c r="C107" s="25"/>
      <c r="D107" s="25"/>
      <c r="E107" s="10"/>
      <c r="F107" s="10" t="s">
        <v>2602</v>
      </c>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27">
        <v>45770.0</v>
      </c>
      <c r="B108" s="10">
        <v>13.0</v>
      </c>
      <c r="C108" s="25">
        <v>0.36319444444444443</v>
      </c>
      <c r="D108" s="25">
        <v>0.3888888888888889</v>
      </c>
      <c r="E108" s="10" t="s">
        <v>57</v>
      </c>
      <c r="F108" s="10" t="s">
        <v>2603</v>
      </c>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25">
        <v>0.40347222222222223</v>
      </c>
      <c r="D109" s="25">
        <v>0.45625</v>
      </c>
      <c r="E109" s="34" t="s">
        <v>2604</v>
      </c>
      <c r="F109" s="10" t="s">
        <v>2605</v>
      </c>
      <c r="G109" s="10">
        <v>70.0</v>
      </c>
      <c r="H109" s="10">
        <v>43.0</v>
      </c>
      <c r="I109" s="10">
        <v>23.0</v>
      </c>
      <c r="J109" s="10">
        <v>3.0</v>
      </c>
      <c r="K109" s="10">
        <v>34.0</v>
      </c>
      <c r="L109" s="10">
        <v>0.0</v>
      </c>
      <c r="M109" s="10">
        <v>3.0</v>
      </c>
      <c r="N109" s="10">
        <v>28.0</v>
      </c>
      <c r="O109" s="10"/>
      <c r="P109" s="10"/>
      <c r="Q109" s="10"/>
      <c r="R109" s="10"/>
      <c r="S109" s="10"/>
      <c r="T109" s="10"/>
      <c r="U109" s="10"/>
      <c r="V109" s="10"/>
      <c r="W109" s="10"/>
      <c r="X109" s="10"/>
      <c r="Y109" s="10"/>
      <c r="Z109" s="10"/>
    </row>
    <row r="110" ht="15.75" customHeight="1">
      <c r="A110" s="10"/>
      <c r="B110" s="10"/>
      <c r="C110" s="25">
        <v>0.4583333333333333</v>
      </c>
      <c r="D110" s="25">
        <v>0.48125</v>
      </c>
      <c r="E110" s="10" t="s">
        <v>60</v>
      </c>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25">
        <v>0.5333333333333333</v>
      </c>
      <c r="D111" s="25">
        <v>0.1</v>
      </c>
      <c r="E111" s="34" t="s">
        <v>2606</v>
      </c>
      <c r="F111" s="10" t="s">
        <v>2607</v>
      </c>
      <c r="G111" s="10">
        <v>98.0</v>
      </c>
      <c r="H111" s="10">
        <v>50.0</v>
      </c>
      <c r="I111" s="10">
        <v>46.0</v>
      </c>
      <c r="J111" s="10">
        <v>1.0</v>
      </c>
      <c r="K111" s="10">
        <v>24.0</v>
      </c>
      <c r="L111" s="10">
        <v>0.0</v>
      </c>
      <c r="M111" s="10">
        <v>17.0</v>
      </c>
      <c r="N111" s="10">
        <v>55.0</v>
      </c>
      <c r="O111" s="10"/>
      <c r="P111" s="10"/>
      <c r="Q111" s="10"/>
      <c r="R111" s="10"/>
      <c r="S111" s="10"/>
      <c r="T111" s="10"/>
      <c r="U111" s="10"/>
      <c r="V111" s="10"/>
      <c r="W111" s="10"/>
      <c r="X111" s="10"/>
      <c r="Y111" s="10"/>
      <c r="Z111" s="10"/>
    </row>
    <row r="112" ht="15.75" customHeight="1">
      <c r="A112" s="10"/>
      <c r="B112" s="10"/>
      <c r="C112" s="25">
        <v>0.10138888888888889</v>
      </c>
      <c r="D112" s="25">
        <v>0.12291666666666666</v>
      </c>
      <c r="E112" s="10" t="s">
        <v>63</v>
      </c>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27"/>
      <c r="B113" s="10"/>
      <c r="C113" s="25"/>
      <c r="D113" s="25"/>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27">
        <v>45771.0</v>
      </c>
      <c r="B114" s="10">
        <v>14.0</v>
      </c>
      <c r="C114" s="25">
        <v>0.42430555555555555</v>
      </c>
      <c r="D114" s="25">
        <v>0.44722222222222224</v>
      </c>
      <c r="E114" s="10" t="s">
        <v>57</v>
      </c>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25">
        <v>0.4625</v>
      </c>
      <c r="D115" s="25">
        <v>0.5277777777777778</v>
      </c>
      <c r="E115" s="34" t="s">
        <v>2608</v>
      </c>
      <c r="F115" s="10" t="s">
        <v>2609</v>
      </c>
      <c r="G115" s="10">
        <v>92.0</v>
      </c>
      <c r="H115" s="10">
        <v>37.0</v>
      </c>
      <c r="I115" s="10">
        <v>53.0</v>
      </c>
      <c r="J115" s="10">
        <v>2.0</v>
      </c>
      <c r="K115" s="10">
        <v>33.0</v>
      </c>
      <c r="L115" s="10">
        <v>0.0</v>
      </c>
      <c r="M115" s="10">
        <v>16.0</v>
      </c>
      <c r="N115" s="10">
        <v>40.0</v>
      </c>
      <c r="O115" s="10"/>
      <c r="P115" s="10"/>
      <c r="Q115" s="10"/>
      <c r="R115" s="10"/>
      <c r="S115" s="10"/>
      <c r="T115" s="10"/>
      <c r="U115" s="10"/>
      <c r="V115" s="10"/>
      <c r="W115" s="10"/>
      <c r="X115" s="10"/>
      <c r="Y115" s="10"/>
      <c r="Z115" s="10"/>
    </row>
    <row r="116" ht="15.75" customHeight="1">
      <c r="A116" s="10"/>
      <c r="B116" s="10"/>
      <c r="C116" s="25">
        <v>0.5298611111111111</v>
      </c>
      <c r="D116" s="25">
        <v>0.06527777777777778</v>
      </c>
      <c r="E116" s="10" t="s">
        <v>60</v>
      </c>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25">
        <v>0.06944444444444445</v>
      </c>
      <c r="D117" s="25">
        <v>0.13194444444444445</v>
      </c>
      <c r="E117" s="34" t="s">
        <v>2610</v>
      </c>
      <c r="F117" s="10" t="s">
        <v>2611</v>
      </c>
      <c r="G117" s="10">
        <v>88.0</v>
      </c>
      <c r="H117" s="10">
        <v>38.0</v>
      </c>
      <c r="I117" s="10">
        <v>47.0</v>
      </c>
      <c r="J117" s="10">
        <v>2.0</v>
      </c>
      <c r="K117" s="10">
        <v>27.0</v>
      </c>
      <c r="L117" s="10">
        <v>0.0</v>
      </c>
      <c r="M117" s="10">
        <v>16.0</v>
      </c>
      <c r="N117" s="10">
        <v>42.0</v>
      </c>
      <c r="O117" s="10"/>
      <c r="P117" s="10"/>
      <c r="Q117" s="10"/>
      <c r="R117" s="10"/>
      <c r="S117" s="10"/>
      <c r="T117" s="10"/>
      <c r="U117" s="10"/>
      <c r="V117" s="10"/>
      <c r="W117" s="10"/>
      <c r="X117" s="10"/>
      <c r="Y117" s="10"/>
      <c r="Z117" s="10"/>
    </row>
    <row r="118" ht="15.75" customHeight="1">
      <c r="A118" s="10"/>
      <c r="B118" s="10"/>
      <c r="C118" s="25">
        <v>0.13333333333333333</v>
      </c>
      <c r="D118" s="25">
        <v>0.15694444444444444</v>
      </c>
      <c r="E118" s="10" t="s">
        <v>63</v>
      </c>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27"/>
      <c r="B119" s="10"/>
      <c r="C119" s="25"/>
      <c r="D119" s="25"/>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27">
        <v>45772.0</v>
      </c>
      <c r="B120" s="10">
        <v>15.0</v>
      </c>
      <c r="C120" s="25">
        <v>0.43819444444444444</v>
      </c>
      <c r="D120" s="25">
        <v>0.46041666666666664</v>
      </c>
      <c r="E120" s="10" t="s">
        <v>57</v>
      </c>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25">
        <v>0.47638888888888886</v>
      </c>
      <c r="D121" s="25">
        <v>0.5319444444444444</v>
      </c>
      <c r="E121" s="34" t="s">
        <v>2612</v>
      </c>
      <c r="F121" s="10" t="s">
        <v>2613</v>
      </c>
      <c r="G121" s="10">
        <v>74.0</v>
      </c>
      <c r="H121" s="10">
        <v>39.0</v>
      </c>
      <c r="I121" s="10">
        <v>30.0</v>
      </c>
      <c r="J121" s="10">
        <v>5.0</v>
      </c>
      <c r="K121" s="10">
        <v>30.0</v>
      </c>
      <c r="L121" s="10">
        <v>0.0</v>
      </c>
      <c r="M121" s="10">
        <v>6.0</v>
      </c>
      <c r="N121" s="10">
        <v>32.0</v>
      </c>
      <c r="O121" s="10"/>
      <c r="P121" s="10"/>
      <c r="Q121" s="10"/>
      <c r="R121" s="10"/>
      <c r="S121" s="10"/>
      <c r="T121" s="10"/>
      <c r="U121" s="10"/>
      <c r="V121" s="10"/>
      <c r="W121" s="10"/>
      <c r="X121" s="10"/>
      <c r="Y121" s="10"/>
      <c r="Z121" s="10"/>
    </row>
    <row r="122" ht="15.75" customHeight="1">
      <c r="A122" s="10"/>
      <c r="B122" s="10"/>
      <c r="C122" s="25">
        <v>0.5347222222222222</v>
      </c>
      <c r="D122" s="25">
        <v>0.058333333333333334</v>
      </c>
      <c r="E122" s="10" t="s">
        <v>60</v>
      </c>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25">
        <v>0.06180555555555556</v>
      </c>
      <c r="D123" s="25">
        <v>0.12638888888888888</v>
      </c>
      <c r="E123" s="34" t="s">
        <v>2614</v>
      </c>
      <c r="F123" s="10" t="s">
        <v>2615</v>
      </c>
      <c r="G123" s="13">
        <v>93.0</v>
      </c>
      <c r="H123" s="13">
        <v>42.0</v>
      </c>
      <c r="I123" s="13">
        <v>45.0</v>
      </c>
      <c r="J123" s="13">
        <v>6.0</v>
      </c>
      <c r="K123" s="13">
        <v>29.0</v>
      </c>
      <c r="L123" s="13">
        <v>0.0</v>
      </c>
      <c r="M123" s="13">
        <v>20.0</v>
      </c>
      <c r="N123" s="13">
        <v>37.0</v>
      </c>
      <c r="O123" s="10"/>
      <c r="P123" s="10"/>
      <c r="Q123" s="10"/>
      <c r="R123" s="10"/>
      <c r="S123" s="10"/>
      <c r="T123" s="10"/>
      <c r="U123" s="10"/>
      <c r="V123" s="10"/>
      <c r="W123" s="10"/>
      <c r="X123" s="10"/>
      <c r="Y123" s="10"/>
      <c r="Z123" s="10"/>
    </row>
    <row r="124" ht="15.75" customHeight="1">
      <c r="A124" s="10"/>
      <c r="B124" s="10"/>
      <c r="C124" s="25">
        <v>0.1284722222222222</v>
      </c>
      <c r="D124" s="25">
        <v>0.1486111111111111</v>
      </c>
      <c r="E124" s="10" t="s">
        <v>63</v>
      </c>
      <c r="F124" s="10"/>
      <c r="O124" s="10"/>
      <c r="P124" s="10"/>
      <c r="Q124" s="10"/>
      <c r="R124" s="10"/>
      <c r="S124" s="10"/>
      <c r="T124" s="10"/>
      <c r="U124" s="10"/>
      <c r="V124" s="10"/>
      <c r="W124" s="10"/>
      <c r="X124" s="10"/>
      <c r="Y124" s="10"/>
      <c r="Z124" s="10"/>
    </row>
    <row r="125" ht="15.75" customHeight="1">
      <c r="A125" s="27"/>
      <c r="B125" s="10"/>
      <c r="C125" s="25"/>
      <c r="D125" s="25"/>
      <c r="E125" s="10"/>
      <c r="F125" s="10"/>
      <c r="O125" s="10"/>
      <c r="P125" s="10"/>
      <c r="Q125" s="10"/>
      <c r="R125" s="10"/>
      <c r="S125" s="10"/>
      <c r="T125" s="10"/>
      <c r="U125" s="10"/>
      <c r="V125" s="10"/>
      <c r="W125" s="10"/>
      <c r="X125" s="10"/>
      <c r="Y125" s="10"/>
      <c r="Z125" s="10"/>
    </row>
    <row r="126" ht="15.75" customHeight="1">
      <c r="A126" s="27">
        <v>45775.0</v>
      </c>
      <c r="B126" s="10">
        <v>16.0</v>
      </c>
      <c r="C126" s="25">
        <v>0.41875</v>
      </c>
      <c r="D126" s="25">
        <v>0.44513888888888886</v>
      </c>
      <c r="E126" s="10" t="s">
        <v>57</v>
      </c>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25">
        <v>0.4597222222222222</v>
      </c>
      <c r="D127" s="25">
        <v>0.5013888888888889</v>
      </c>
      <c r="E127" s="121" t="s">
        <v>2616</v>
      </c>
      <c r="F127" s="10" t="s">
        <v>2617</v>
      </c>
      <c r="G127" s="10">
        <v>50.0</v>
      </c>
      <c r="H127" s="10">
        <v>18.0</v>
      </c>
      <c r="I127" s="10">
        <v>30.0</v>
      </c>
      <c r="J127" s="10">
        <v>0.0</v>
      </c>
      <c r="K127" s="10">
        <v>23.0</v>
      </c>
      <c r="L127" s="10">
        <v>1.0</v>
      </c>
      <c r="M127" s="10">
        <v>2.0</v>
      </c>
      <c r="N127" s="10">
        <v>23.0</v>
      </c>
      <c r="O127" s="10"/>
      <c r="P127" s="10"/>
      <c r="Q127" s="10"/>
      <c r="R127" s="10"/>
      <c r="S127" s="10"/>
      <c r="T127" s="10"/>
      <c r="U127" s="10"/>
      <c r="V127" s="10"/>
      <c r="W127" s="10"/>
      <c r="X127" s="10"/>
      <c r="Y127" s="10"/>
      <c r="Z127" s="10"/>
    </row>
    <row r="128" ht="15.75" customHeight="1">
      <c r="A128" s="10"/>
      <c r="B128" s="10"/>
      <c r="C128" s="25">
        <v>0.5055555555555555</v>
      </c>
      <c r="D128" s="25">
        <v>0.5381944444444444</v>
      </c>
      <c r="E128" s="10" t="s">
        <v>60</v>
      </c>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25">
        <v>0.5402777777777777</v>
      </c>
      <c r="D129" s="25">
        <v>0.10555555555555556</v>
      </c>
      <c r="E129" s="121" t="s">
        <v>2618</v>
      </c>
      <c r="F129" s="10" t="s">
        <v>2619</v>
      </c>
      <c r="G129" s="10">
        <v>80.0</v>
      </c>
      <c r="H129" s="10">
        <v>33.0</v>
      </c>
      <c r="I129" s="10">
        <v>46.0</v>
      </c>
      <c r="J129" s="10">
        <v>1.0</v>
      </c>
      <c r="K129" s="10">
        <v>24.0</v>
      </c>
      <c r="L129" s="10">
        <v>0.0</v>
      </c>
      <c r="M129" s="10">
        <v>12.0</v>
      </c>
      <c r="N129" s="10">
        <v>42.0</v>
      </c>
      <c r="O129" s="10"/>
      <c r="P129" s="10"/>
      <c r="Q129" s="10"/>
      <c r="R129" s="10"/>
      <c r="S129" s="10"/>
      <c r="T129" s="10"/>
      <c r="U129" s="10"/>
      <c r="V129" s="10"/>
      <c r="W129" s="10"/>
      <c r="X129" s="10"/>
      <c r="Y129" s="10"/>
      <c r="Z129" s="10"/>
    </row>
    <row r="130" ht="15.75" customHeight="1">
      <c r="A130" s="10"/>
      <c r="B130" s="10"/>
      <c r="C130" s="25">
        <v>0.10902777777777778</v>
      </c>
      <c r="D130" s="25">
        <v>0.13055555555555556</v>
      </c>
      <c r="E130" s="10" t="s">
        <v>63</v>
      </c>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27"/>
      <c r="B131" s="10"/>
      <c r="C131" s="25"/>
      <c r="D131" s="25"/>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27">
        <v>45777.0</v>
      </c>
      <c r="B132" s="10">
        <v>17.0</v>
      </c>
      <c r="C132" s="25">
        <v>0.40555555555555556</v>
      </c>
      <c r="D132" s="25">
        <v>0.42777777777777776</v>
      </c>
      <c r="E132" s="10" t="s">
        <v>57</v>
      </c>
      <c r="F132" s="10" t="s">
        <v>93</v>
      </c>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25">
        <v>0.4361111111111111</v>
      </c>
      <c r="D133" s="25">
        <v>0.4965277777777778</v>
      </c>
      <c r="E133" s="121" t="s">
        <v>2620</v>
      </c>
      <c r="F133" s="10" t="s">
        <v>2621</v>
      </c>
      <c r="G133" s="10">
        <v>88.0</v>
      </c>
      <c r="H133" s="10">
        <v>35.0</v>
      </c>
      <c r="I133" s="10">
        <v>52.0</v>
      </c>
      <c r="J133" s="10">
        <v>1.0</v>
      </c>
      <c r="K133" s="10">
        <v>25.0</v>
      </c>
      <c r="L133" s="10">
        <v>0.0</v>
      </c>
      <c r="M133" s="10">
        <v>6.0</v>
      </c>
      <c r="N133" s="10">
        <v>55.0</v>
      </c>
      <c r="O133" s="10"/>
      <c r="P133" s="10"/>
      <c r="Q133" s="10"/>
      <c r="R133" s="10"/>
      <c r="S133" s="10"/>
      <c r="T133" s="10"/>
      <c r="U133" s="10"/>
      <c r="V133" s="10"/>
      <c r="W133" s="10"/>
      <c r="X133" s="10"/>
      <c r="Y133" s="10"/>
      <c r="Z133" s="10"/>
    </row>
    <row r="134" ht="15.75" customHeight="1">
      <c r="A134" s="10"/>
      <c r="B134" s="10"/>
      <c r="C134" s="25">
        <v>0.4979166666666667</v>
      </c>
      <c r="D134" s="25">
        <v>0.51875</v>
      </c>
      <c r="E134" s="10" t="s">
        <v>60</v>
      </c>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25">
        <v>0.5229166666666667</v>
      </c>
      <c r="D135" s="25">
        <v>0.08888888888888889</v>
      </c>
      <c r="E135" s="121" t="s">
        <v>2622</v>
      </c>
      <c r="F135" s="10" t="s">
        <v>2623</v>
      </c>
      <c r="G135" s="10">
        <v>89.0</v>
      </c>
      <c r="H135" s="10">
        <v>44.0</v>
      </c>
      <c r="I135" s="10">
        <v>40.0</v>
      </c>
      <c r="J135" s="10">
        <v>5.0</v>
      </c>
      <c r="K135" s="10">
        <v>36.0</v>
      </c>
      <c r="L135" s="10">
        <v>0.0</v>
      </c>
      <c r="M135" s="10">
        <v>11.0</v>
      </c>
      <c r="N135" s="10">
        <v>36.0</v>
      </c>
      <c r="O135" s="10"/>
      <c r="P135" s="10"/>
      <c r="Q135" s="10"/>
      <c r="R135" s="10"/>
      <c r="S135" s="10"/>
      <c r="T135" s="10"/>
      <c r="U135" s="10"/>
      <c r="V135" s="10"/>
      <c r="W135" s="10"/>
      <c r="X135" s="10"/>
      <c r="Y135" s="10"/>
      <c r="Z135" s="10"/>
    </row>
    <row r="136" ht="15.75" customHeight="1">
      <c r="A136" s="10"/>
      <c r="B136" s="10"/>
      <c r="C136" s="25">
        <v>0.09166666666666666</v>
      </c>
      <c r="D136" s="25">
        <v>0.11736111111111111</v>
      </c>
      <c r="E136" s="10" t="s">
        <v>63</v>
      </c>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27"/>
      <c r="B137" s="10"/>
      <c r="C137" s="25"/>
      <c r="D137" s="25"/>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27">
        <v>45778.0</v>
      </c>
      <c r="B138" s="10">
        <v>18.0</v>
      </c>
      <c r="C138" s="25">
        <v>0.4131944444444444</v>
      </c>
      <c r="D138" s="25">
        <v>0.43819444444444444</v>
      </c>
      <c r="E138" s="10" t="s">
        <v>57</v>
      </c>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25">
        <v>0.44583333333333336</v>
      </c>
      <c r="D139" s="25">
        <v>0.5111111111111111</v>
      </c>
      <c r="E139" s="121" t="s">
        <v>2624</v>
      </c>
      <c r="F139" s="10" t="s">
        <v>2625</v>
      </c>
      <c r="G139" s="10">
        <v>101.0</v>
      </c>
      <c r="H139" s="10">
        <v>48.0</v>
      </c>
      <c r="I139" s="10">
        <v>47.0</v>
      </c>
      <c r="J139" s="10">
        <v>6.0</v>
      </c>
      <c r="K139" s="10">
        <v>26.0</v>
      </c>
      <c r="L139" s="10">
        <v>0.0</v>
      </c>
      <c r="M139" s="10">
        <v>19.0</v>
      </c>
      <c r="N139" s="10">
        <v>49.0</v>
      </c>
      <c r="O139" s="10"/>
      <c r="P139" s="10"/>
      <c r="Q139" s="10"/>
      <c r="R139" s="10"/>
      <c r="S139" s="10"/>
      <c r="T139" s="10"/>
      <c r="U139" s="10"/>
      <c r="V139" s="10"/>
      <c r="W139" s="10"/>
      <c r="X139" s="10"/>
      <c r="Y139" s="10"/>
      <c r="Z139" s="10"/>
    </row>
    <row r="140" ht="15.75" customHeight="1">
      <c r="A140" s="10"/>
      <c r="B140" s="10"/>
      <c r="C140" s="25">
        <v>0.5125</v>
      </c>
      <c r="D140" s="25">
        <v>0.058333333333333334</v>
      </c>
      <c r="E140" s="10" t="s">
        <v>60</v>
      </c>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25">
        <v>0.06180555555555556</v>
      </c>
      <c r="D141" s="25">
        <v>0.125</v>
      </c>
      <c r="E141" s="121" t="s">
        <v>2626</v>
      </c>
      <c r="F141" s="10" t="s">
        <v>2627</v>
      </c>
      <c r="G141" s="10">
        <v>87.0</v>
      </c>
      <c r="H141" s="10">
        <v>46.0</v>
      </c>
      <c r="I141" s="10">
        <v>30.0</v>
      </c>
      <c r="J141" s="10">
        <v>10.0</v>
      </c>
      <c r="K141" s="10">
        <v>31.0</v>
      </c>
      <c r="L141" s="10">
        <v>0.0</v>
      </c>
      <c r="M141" s="10">
        <v>4.0</v>
      </c>
      <c r="N141" s="10">
        <v>41.0</v>
      </c>
      <c r="O141" s="10"/>
      <c r="P141" s="10"/>
      <c r="Q141" s="10"/>
      <c r="R141" s="10"/>
      <c r="S141" s="10"/>
      <c r="T141" s="10"/>
      <c r="U141" s="10"/>
      <c r="V141" s="10"/>
      <c r="W141" s="10"/>
      <c r="X141" s="10"/>
      <c r="Y141" s="10"/>
      <c r="Z141" s="10"/>
    </row>
    <row r="142" ht="15.75" customHeight="1">
      <c r="A142" s="10"/>
      <c r="B142" s="10"/>
      <c r="C142" s="25">
        <v>0.12638888888888888</v>
      </c>
      <c r="D142" s="25">
        <v>0.15</v>
      </c>
      <c r="E142" s="10" t="s">
        <v>63</v>
      </c>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27"/>
      <c r="B143" s="10"/>
      <c r="C143" s="25"/>
      <c r="D143" s="25"/>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27">
        <v>45779.0</v>
      </c>
      <c r="B144" s="10">
        <v>19.0</v>
      </c>
      <c r="C144" s="25">
        <v>0.41597222222222224</v>
      </c>
      <c r="D144" s="25">
        <v>0.4423611111111111</v>
      </c>
      <c r="E144" s="10" t="s">
        <v>57</v>
      </c>
      <c r="F144" s="10" t="s">
        <v>2628</v>
      </c>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25">
        <v>0.4534722222222222</v>
      </c>
      <c r="D145" s="25">
        <v>0.5090277777777777</v>
      </c>
      <c r="E145" s="121" t="s">
        <v>2629</v>
      </c>
      <c r="F145" s="10" t="s">
        <v>2630</v>
      </c>
      <c r="G145" s="10">
        <v>80.0</v>
      </c>
      <c r="H145" s="10">
        <v>46.0</v>
      </c>
      <c r="I145" s="10">
        <v>29.0</v>
      </c>
      <c r="J145" s="10">
        <v>4.0</v>
      </c>
      <c r="K145" s="10">
        <v>25.0</v>
      </c>
      <c r="L145" s="10">
        <v>0.0</v>
      </c>
      <c r="M145" s="10">
        <v>3.0</v>
      </c>
      <c r="N145" s="10">
        <v>47.0</v>
      </c>
      <c r="O145" s="10"/>
      <c r="P145" s="10"/>
      <c r="Q145" s="10"/>
      <c r="R145" s="10"/>
      <c r="S145" s="10"/>
      <c r="T145" s="10"/>
      <c r="U145" s="10"/>
      <c r="V145" s="10"/>
      <c r="W145" s="10"/>
      <c r="X145" s="10"/>
      <c r="Y145" s="10"/>
      <c r="Z145" s="10"/>
    </row>
    <row r="146" ht="15.75" customHeight="1">
      <c r="A146" s="10"/>
      <c r="B146" s="10"/>
      <c r="C146" s="25">
        <v>0.5097222222222222</v>
      </c>
      <c r="D146" s="25">
        <v>0.5381944444444444</v>
      </c>
      <c r="E146" s="10" t="s">
        <v>60</v>
      </c>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25">
        <v>0.041666666666666664</v>
      </c>
      <c r="D147" s="25">
        <v>0.10486111111111111</v>
      </c>
      <c r="E147" s="121" t="s">
        <v>2631</v>
      </c>
      <c r="F147" s="10" t="s">
        <v>2632</v>
      </c>
      <c r="G147" s="10">
        <v>92.0</v>
      </c>
      <c r="H147" s="10">
        <v>38.0</v>
      </c>
      <c r="I147" s="10">
        <v>46.0</v>
      </c>
      <c r="J147" s="10">
        <v>7.0</v>
      </c>
      <c r="K147" s="10">
        <v>22.0</v>
      </c>
      <c r="L147" s="10">
        <v>0.0</v>
      </c>
      <c r="M147" s="10">
        <v>9.0</v>
      </c>
      <c r="N147" s="10">
        <v>52.0</v>
      </c>
      <c r="O147" s="10"/>
      <c r="P147" s="10"/>
      <c r="Q147" s="10"/>
      <c r="R147" s="10"/>
      <c r="S147" s="10"/>
      <c r="T147" s="10"/>
      <c r="U147" s="10"/>
      <c r="V147" s="10"/>
      <c r="W147" s="10"/>
      <c r="X147" s="10"/>
      <c r="Y147" s="10"/>
      <c r="Z147" s="10"/>
    </row>
    <row r="148" ht="15.75" customHeight="1">
      <c r="A148" s="10"/>
      <c r="B148" s="10"/>
      <c r="C148" s="25">
        <v>0.10555555555555556</v>
      </c>
      <c r="D148" s="25">
        <v>0.125</v>
      </c>
      <c r="E148" s="10" t="s">
        <v>63</v>
      </c>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27"/>
      <c r="B149" s="10"/>
      <c r="C149" s="25"/>
      <c r="D149" s="25"/>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27">
        <v>45782.0</v>
      </c>
      <c r="B150" s="10">
        <v>20.0</v>
      </c>
      <c r="C150" s="25">
        <v>0.38680555555555557</v>
      </c>
      <c r="D150" s="25">
        <v>0.41180555555555554</v>
      </c>
      <c r="E150" s="10" t="s">
        <v>57</v>
      </c>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25">
        <v>0.4215277777777778</v>
      </c>
      <c r="D151" s="25">
        <v>0.4875</v>
      </c>
      <c r="E151" s="121" t="s">
        <v>2633</v>
      </c>
      <c r="F151" s="10" t="s">
        <v>2634</v>
      </c>
      <c r="G151" s="10">
        <v>101.0</v>
      </c>
      <c r="H151" s="10">
        <v>56.0</v>
      </c>
      <c r="I151" s="10">
        <v>44.0</v>
      </c>
      <c r="J151" s="10">
        <v>1.0</v>
      </c>
      <c r="K151" s="10">
        <v>34.0</v>
      </c>
      <c r="L151" s="10">
        <v>0.0</v>
      </c>
      <c r="M151" s="10">
        <v>18.0</v>
      </c>
      <c r="N151" s="10">
        <v>47.0</v>
      </c>
      <c r="O151" s="10"/>
      <c r="P151" s="10"/>
      <c r="Q151" s="10"/>
      <c r="R151" s="10"/>
      <c r="S151" s="10"/>
      <c r="T151" s="10"/>
      <c r="U151" s="10"/>
      <c r="V151" s="10"/>
      <c r="W151" s="10"/>
      <c r="X151" s="10"/>
      <c r="Y151" s="10"/>
      <c r="Z151" s="10"/>
    </row>
    <row r="152" ht="15.75" customHeight="1">
      <c r="A152" s="10"/>
      <c r="B152" s="10"/>
      <c r="C152" s="25">
        <v>0.4895833333333333</v>
      </c>
      <c r="D152" s="25">
        <v>0.525</v>
      </c>
      <c r="E152" s="10" t="s">
        <v>60</v>
      </c>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25">
        <v>0.5284722222222222</v>
      </c>
      <c r="D153" s="25">
        <v>0.09236111111111112</v>
      </c>
      <c r="E153" s="121" t="s">
        <v>2635</v>
      </c>
      <c r="F153" s="10" t="s">
        <v>2636</v>
      </c>
      <c r="G153" s="10">
        <v>92.0</v>
      </c>
      <c r="H153" s="10">
        <v>38.0</v>
      </c>
      <c r="I153" s="10">
        <v>46.0</v>
      </c>
      <c r="J153" s="10">
        <v>8.0</v>
      </c>
      <c r="K153" s="10">
        <v>25.0</v>
      </c>
      <c r="L153" s="10">
        <v>0.0</v>
      </c>
      <c r="M153" s="10">
        <v>11.0</v>
      </c>
      <c r="N153" s="10">
        <v>47.0</v>
      </c>
      <c r="O153" s="10"/>
      <c r="P153" s="10"/>
      <c r="Q153" s="10"/>
      <c r="R153" s="10"/>
      <c r="S153" s="10"/>
      <c r="T153" s="10"/>
      <c r="U153" s="10"/>
      <c r="V153" s="10"/>
      <c r="W153" s="10"/>
      <c r="X153" s="10"/>
      <c r="Y153" s="10"/>
      <c r="Z153" s="10"/>
    </row>
    <row r="154" ht="15.75" customHeight="1">
      <c r="A154" s="10"/>
      <c r="B154" s="10"/>
      <c r="C154" s="25">
        <v>0.09375</v>
      </c>
      <c r="D154" s="25">
        <v>0.12638888888888888</v>
      </c>
      <c r="E154" s="10" t="s">
        <v>63</v>
      </c>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27"/>
      <c r="B155" s="10"/>
      <c r="C155" s="25"/>
      <c r="D155" s="25"/>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27">
        <v>45783.0</v>
      </c>
      <c r="B156" s="10">
        <v>21.0</v>
      </c>
      <c r="C156" s="25">
        <v>0.42986111111111114</v>
      </c>
      <c r="D156" s="25">
        <v>0.4513888888888889</v>
      </c>
      <c r="E156" s="10" t="s">
        <v>57</v>
      </c>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25">
        <v>0.4618055555555556</v>
      </c>
      <c r="D157" s="25">
        <v>0.5229166666666667</v>
      </c>
      <c r="E157" s="121" t="s">
        <v>2637</v>
      </c>
      <c r="F157" s="10" t="s">
        <v>2638</v>
      </c>
      <c r="G157" s="10">
        <v>80.0</v>
      </c>
      <c r="H157" s="10">
        <v>32.0</v>
      </c>
      <c r="I157" s="10">
        <v>43.0</v>
      </c>
      <c r="J157" s="10">
        <v>4.0</v>
      </c>
      <c r="K157" s="10">
        <v>37.0</v>
      </c>
      <c r="L157" s="10">
        <v>1.0</v>
      </c>
      <c r="M157" s="10">
        <v>7.0</v>
      </c>
      <c r="N157" s="10">
        <v>30.0</v>
      </c>
      <c r="O157" s="10"/>
      <c r="P157" s="10"/>
      <c r="Q157" s="10"/>
      <c r="R157" s="10"/>
      <c r="S157" s="10"/>
      <c r="T157" s="10"/>
      <c r="U157" s="10"/>
      <c r="V157" s="10"/>
      <c r="W157" s="10"/>
      <c r="X157" s="10"/>
      <c r="Y157" s="10"/>
      <c r="Z157" s="10"/>
    </row>
    <row r="158" ht="15.75" customHeight="1">
      <c r="A158" s="10"/>
      <c r="B158" s="10"/>
      <c r="C158" s="25">
        <v>0.5243055555555556</v>
      </c>
      <c r="D158" s="25">
        <v>0.059027777777777776</v>
      </c>
      <c r="E158" s="10" t="s">
        <v>60</v>
      </c>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25">
        <v>0.0763888888888889</v>
      </c>
      <c r="D159" s="25">
        <v>0.1388888888888889</v>
      </c>
      <c r="E159" s="121" t="s">
        <v>2639</v>
      </c>
      <c r="F159" s="10" t="s">
        <v>2640</v>
      </c>
      <c r="G159" s="10">
        <v>73.0</v>
      </c>
      <c r="H159" s="10">
        <v>39.0</v>
      </c>
      <c r="I159" s="10">
        <v>32.0</v>
      </c>
      <c r="J159" s="10">
        <v>2.0</v>
      </c>
      <c r="K159" s="10">
        <v>35.0</v>
      </c>
      <c r="L159" s="10">
        <v>0.0</v>
      </c>
      <c r="M159" s="10">
        <v>11.0</v>
      </c>
      <c r="N159" s="10">
        <v>24.0</v>
      </c>
      <c r="O159" s="10"/>
      <c r="P159" s="10"/>
      <c r="Q159" s="10"/>
      <c r="R159" s="10"/>
      <c r="S159" s="10"/>
      <c r="T159" s="10"/>
      <c r="U159" s="10"/>
      <c r="V159" s="10"/>
      <c r="W159" s="10"/>
      <c r="X159" s="10"/>
      <c r="Y159" s="10"/>
      <c r="Z159" s="10"/>
    </row>
    <row r="160" ht="15.75" customHeight="1">
      <c r="A160" s="10"/>
      <c r="B160" s="10"/>
      <c r="C160" s="25">
        <v>0.14027777777777778</v>
      </c>
      <c r="D160" s="25">
        <v>0.16180555555555556</v>
      </c>
      <c r="E160" s="10" t="s">
        <v>63</v>
      </c>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27">
        <v>45784.0</v>
      </c>
      <c r="B162" s="10">
        <v>22.0</v>
      </c>
      <c r="C162" s="25">
        <v>0.40694444444444444</v>
      </c>
      <c r="D162" s="25">
        <v>0.4305555555555556</v>
      </c>
      <c r="E162" s="10" t="s">
        <v>57</v>
      </c>
      <c r="F162" s="10" t="s">
        <v>2641</v>
      </c>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25">
        <v>0.44375</v>
      </c>
      <c r="D163" s="25">
        <v>0.5097222222222222</v>
      </c>
      <c r="E163" s="121" t="s">
        <v>2642</v>
      </c>
      <c r="F163" s="10" t="s">
        <v>2643</v>
      </c>
      <c r="G163" s="10">
        <v>85.0</v>
      </c>
      <c r="H163" s="10">
        <v>37.0</v>
      </c>
      <c r="I163" s="10">
        <v>47.0</v>
      </c>
      <c r="J163" s="10">
        <v>1.0</v>
      </c>
      <c r="K163" s="10">
        <v>43.0</v>
      </c>
      <c r="L163" s="10">
        <v>0.0</v>
      </c>
      <c r="M163" s="10">
        <v>15.0</v>
      </c>
      <c r="N163" s="10">
        <v>26.0</v>
      </c>
      <c r="O163" s="10"/>
      <c r="P163" s="10"/>
      <c r="Q163" s="10"/>
      <c r="R163" s="10"/>
      <c r="S163" s="10"/>
      <c r="T163" s="10"/>
      <c r="U163" s="10"/>
      <c r="V163" s="10"/>
      <c r="W163" s="10"/>
      <c r="X163" s="10"/>
      <c r="Y163" s="10"/>
      <c r="Z163" s="10"/>
    </row>
    <row r="164" ht="15.75" customHeight="1">
      <c r="A164" s="10"/>
      <c r="B164" s="10"/>
      <c r="C164" s="25">
        <v>0.5104166666666666</v>
      </c>
      <c r="D164" s="25">
        <v>0.5354166666666667</v>
      </c>
      <c r="E164" s="10" t="s">
        <v>60</v>
      </c>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2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27">
        <v>45785.0</v>
      </c>
      <c r="B166" s="10">
        <v>23.0</v>
      </c>
      <c r="C166" s="25">
        <v>0.4583333333333333</v>
      </c>
      <c r="D166" s="25">
        <v>0.16875</v>
      </c>
      <c r="E166" s="10" t="s">
        <v>57</v>
      </c>
      <c r="F166" s="10" t="s">
        <v>2644</v>
      </c>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27">
        <v>45786.0</v>
      </c>
      <c r="B168" s="10">
        <v>24.0</v>
      </c>
      <c r="C168" s="25">
        <v>0.4340277777777778</v>
      </c>
      <c r="D168" s="25">
        <v>0.4597222222222222</v>
      </c>
      <c r="E168" s="10" t="s">
        <v>57</v>
      </c>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25">
        <v>0.4673611111111111</v>
      </c>
      <c r="D169" s="25">
        <v>0.53125</v>
      </c>
      <c r="E169" s="121" t="s">
        <v>2645</v>
      </c>
      <c r="F169" s="10" t="s">
        <v>2646</v>
      </c>
      <c r="G169" s="10">
        <v>85.0</v>
      </c>
      <c r="H169" s="10">
        <v>46.0</v>
      </c>
      <c r="I169" s="10">
        <v>37.0</v>
      </c>
      <c r="J169" s="10">
        <v>1.0</v>
      </c>
      <c r="K169" s="10">
        <v>34.0</v>
      </c>
      <c r="L169" s="10">
        <v>0.0</v>
      </c>
      <c r="M169" s="10">
        <v>5.0</v>
      </c>
      <c r="N169" s="10">
        <v>45.0</v>
      </c>
      <c r="O169" s="10"/>
      <c r="P169" s="10"/>
      <c r="Q169" s="10"/>
      <c r="R169" s="10"/>
      <c r="S169" s="10"/>
      <c r="T169" s="10"/>
      <c r="U169" s="10"/>
      <c r="V169" s="10"/>
      <c r="W169" s="10"/>
      <c r="X169" s="10"/>
      <c r="Y169" s="10"/>
      <c r="Z169" s="10"/>
    </row>
    <row r="170" ht="15.75" customHeight="1">
      <c r="A170" s="10"/>
      <c r="B170" s="10"/>
      <c r="C170" s="25">
        <v>0.5319444444444444</v>
      </c>
      <c r="D170" s="25">
        <v>0.05694444444444444</v>
      </c>
      <c r="E170" s="10" t="s">
        <v>60</v>
      </c>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25">
        <v>0.06041666666666667</v>
      </c>
      <c r="D171" s="25">
        <v>0.12152777777777778</v>
      </c>
      <c r="E171" s="121" t="s">
        <v>2647</v>
      </c>
      <c r="F171" s="10" t="s">
        <v>2648</v>
      </c>
      <c r="G171" s="10">
        <v>80.0</v>
      </c>
      <c r="H171" s="10">
        <v>41.0</v>
      </c>
      <c r="I171" s="10">
        <v>33.0</v>
      </c>
      <c r="J171" s="10">
        <v>5.0</v>
      </c>
      <c r="K171" s="10">
        <v>34.0</v>
      </c>
      <c r="L171" s="10">
        <v>0.0</v>
      </c>
      <c r="M171" s="10">
        <v>9.0</v>
      </c>
      <c r="N171" s="10">
        <v>31.0</v>
      </c>
      <c r="O171" s="10"/>
      <c r="P171" s="10"/>
      <c r="Q171" s="10"/>
      <c r="R171" s="10"/>
      <c r="S171" s="10"/>
      <c r="T171" s="10"/>
      <c r="U171" s="10"/>
      <c r="V171" s="10"/>
      <c r="W171" s="10"/>
      <c r="X171" s="10"/>
      <c r="Y171" s="10"/>
      <c r="Z171" s="10"/>
    </row>
    <row r="172" ht="15.75" customHeight="1">
      <c r="A172" s="10"/>
      <c r="B172" s="10"/>
      <c r="C172" s="25">
        <v>0.12361111111111112</v>
      </c>
      <c r="D172" s="25">
        <v>0.1840277777777778</v>
      </c>
      <c r="E172" s="10" t="s">
        <v>63</v>
      </c>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27">
        <v>45789.0</v>
      </c>
      <c r="B174" s="10">
        <v>25.0</v>
      </c>
      <c r="C174" s="25">
        <v>0.43125</v>
      </c>
      <c r="D174" s="25">
        <v>0.4534722222222222</v>
      </c>
      <c r="E174" s="10" t="s">
        <v>57</v>
      </c>
      <c r="F174" s="10" t="s">
        <v>2649</v>
      </c>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25">
        <v>0.47638888888888886</v>
      </c>
      <c r="D175" s="25">
        <v>0.041666666666666664</v>
      </c>
      <c r="E175" s="121" t="s">
        <v>2650</v>
      </c>
      <c r="F175" s="10" t="s">
        <v>2651</v>
      </c>
      <c r="G175" s="10">
        <v>84.0</v>
      </c>
      <c r="H175" s="10">
        <v>35.0</v>
      </c>
      <c r="I175" s="10">
        <v>49.0</v>
      </c>
      <c r="J175" s="10">
        <v>0.0</v>
      </c>
      <c r="K175" s="10">
        <v>42.0</v>
      </c>
      <c r="L175" s="10">
        <v>0.0</v>
      </c>
      <c r="M175" s="10">
        <v>6.0</v>
      </c>
      <c r="N175" s="10">
        <v>38.0</v>
      </c>
      <c r="O175" s="10"/>
      <c r="P175" s="10"/>
      <c r="Q175" s="10"/>
      <c r="R175" s="10"/>
      <c r="S175" s="10"/>
      <c r="T175" s="10"/>
      <c r="U175" s="10"/>
      <c r="V175" s="10"/>
      <c r="W175" s="10"/>
      <c r="X175" s="10"/>
      <c r="Y175" s="10"/>
      <c r="Z175" s="10"/>
    </row>
    <row r="176" ht="15.75" customHeight="1">
      <c r="A176" s="10"/>
      <c r="B176" s="10"/>
      <c r="C176" s="25">
        <v>0.04513888888888889</v>
      </c>
      <c r="D176" s="25">
        <v>0.07083333333333333</v>
      </c>
      <c r="E176" s="10" t="s">
        <v>60</v>
      </c>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25">
        <v>0.07361111111111111</v>
      </c>
      <c r="D177" s="25">
        <v>0.13402777777777777</v>
      </c>
      <c r="E177" s="121" t="s">
        <v>2652</v>
      </c>
      <c r="F177" s="10" t="s">
        <v>2653</v>
      </c>
      <c r="G177" s="10">
        <v>85.0</v>
      </c>
      <c r="H177" s="10">
        <v>43.0</v>
      </c>
      <c r="I177" s="10">
        <v>39.0</v>
      </c>
      <c r="J177" s="10">
        <v>3.0</v>
      </c>
      <c r="K177" s="10">
        <v>31.0</v>
      </c>
      <c r="L177" s="10">
        <v>0.0</v>
      </c>
      <c r="M177" s="10">
        <v>12.0</v>
      </c>
      <c r="N177" s="10">
        <v>39.0</v>
      </c>
      <c r="O177" s="10"/>
      <c r="P177" s="10"/>
      <c r="Q177" s="10"/>
      <c r="R177" s="10"/>
      <c r="S177" s="10"/>
      <c r="T177" s="10"/>
      <c r="U177" s="10"/>
      <c r="V177" s="10"/>
      <c r="W177" s="10"/>
      <c r="X177" s="10"/>
      <c r="Y177" s="10"/>
      <c r="Z177" s="10"/>
    </row>
    <row r="178" ht="15.75" customHeight="1">
      <c r="A178" s="10"/>
      <c r="B178" s="10"/>
      <c r="C178" s="25">
        <v>0.1361111111111111</v>
      </c>
      <c r="D178" s="25">
        <v>0.1638888888888889</v>
      </c>
      <c r="E178" s="10" t="s">
        <v>63</v>
      </c>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27">
        <v>45790.0</v>
      </c>
      <c r="B180" s="10">
        <v>26.0</v>
      </c>
      <c r="C180" s="25">
        <v>0.4597222222222222</v>
      </c>
      <c r="D180" s="25">
        <v>0.125</v>
      </c>
      <c r="E180" s="10" t="s">
        <v>57</v>
      </c>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t="s">
        <v>2654</v>
      </c>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t="s">
        <v>2655</v>
      </c>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38"/>
    <col customWidth="1" min="2" max="2" width="4.88"/>
    <col customWidth="1" min="3" max="3" width="4.75"/>
    <col customWidth="1" min="4" max="4" width="5.38"/>
    <col customWidth="1" min="5" max="5" width="5.63"/>
    <col customWidth="1" min="6" max="6" width="6.38"/>
    <col customWidth="1" min="7" max="7" width="26.88"/>
    <col customWidth="1" min="8" max="8" width="50.25"/>
    <col customWidth="1" min="9" max="9" width="5.25"/>
    <col customWidth="1" min="10" max="10" width="4.0"/>
    <col customWidth="1" min="11" max="11" width="2.88"/>
    <col customWidth="1" min="12" max="12" width="4.88"/>
    <col customWidth="1" min="13" max="13" width="5.38"/>
    <col customWidth="1" min="14" max="14" width="4.63"/>
    <col customWidth="1" min="15" max="15" width="4.13"/>
    <col customWidth="1" min="16" max="16" width="5.75"/>
    <col customWidth="1" min="17" max="18" width="9.25"/>
    <col customWidth="1" min="20" max="20" width="21.13"/>
  </cols>
  <sheetData>
    <row r="1" ht="15.75" customHeight="1">
      <c r="A1" s="20"/>
      <c r="B1" s="122" t="s">
        <v>2656</v>
      </c>
      <c r="C1" s="123" t="s">
        <v>2657</v>
      </c>
      <c r="D1" s="123" t="s">
        <v>2658</v>
      </c>
      <c r="E1" s="123" t="s">
        <v>35</v>
      </c>
      <c r="F1" s="123" t="s">
        <v>36</v>
      </c>
      <c r="G1" s="20" t="s">
        <v>37</v>
      </c>
      <c r="H1" s="20" t="s">
        <v>38</v>
      </c>
      <c r="I1" s="20" t="s">
        <v>39</v>
      </c>
      <c r="J1" s="123" t="s">
        <v>40</v>
      </c>
      <c r="K1" s="20" t="s">
        <v>41</v>
      </c>
      <c r="L1" s="123" t="s">
        <v>42</v>
      </c>
      <c r="M1" s="123" t="s">
        <v>43</v>
      </c>
      <c r="N1" s="123" t="s">
        <v>44</v>
      </c>
      <c r="O1" s="123" t="s">
        <v>45</v>
      </c>
      <c r="P1" s="123" t="s">
        <v>46</v>
      </c>
      <c r="Q1" s="124"/>
      <c r="R1" s="124" t="s">
        <v>47</v>
      </c>
      <c r="S1" s="125" t="s">
        <v>48</v>
      </c>
      <c r="T1" s="126" t="s">
        <v>2659</v>
      </c>
    </row>
    <row r="2" ht="15.75" customHeight="1">
      <c r="A2" s="127">
        <v>45692.0</v>
      </c>
      <c r="B2" s="122" t="s">
        <v>2660</v>
      </c>
      <c r="C2" s="128">
        <v>1.0</v>
      </c>
      <c r="D2" s="128">
        <v>1.0</v>
      </c>
      <c r="E2" s="129">
        <v>0.44513888888888886</v>
      </c>
      <c r="F2" s="129">
        <v>0.46597222222222223</v>
      </c>
      <c r="G2" s="130" t="s">
        <v>2661</v>
      </c>
      <c r="H2" s="20" t="s">
        <v>2662</v>
      </c>
      <c r="I2" s="128">
        <v>1.0</v>
      </c>
      <c r="J2" s="128">
        <v>0.0</v>
      </c>
      <c r="K2" s="128">
        <v>0.0</v>
      </c>
      <c r="L2" s="128">
        <v>0.0</v>
      </c>
      <c r="M2" s="128">
        <v>2.0</v>
      </c>
      <c r="N2" s="131"/>
      <c r="O2" s="128">
        <v>0.0</v>
      </c>
      <c r="P2" s="131"/>
      <c r="Q2" s="125"/>
      <c r="R2" s="125"/>
      <c r="S2" s="124"/>
      <c r="T2" s="126"/>
    </row>
    <row r="3" ht="15.75" customHeight="1">
      <c r="A3" s="127"/>
      <c r="B3" s="122" t="s">
        <v>2663</v>
      </c>
      <c r="C3" s="128">
        <v>1.0</v>
      </c>
      <c r="D3" s="128">
        <v>1.0</v>
      </c>
      <c r="E3" s="129">
        <v>0.46805555555555556</v>
      </c>
      <c r="F3" s="129">
        <v>0.4895833333333333</v>
      </c>
      <c r="G3" s="130" t="s">
        <v>2664</v>
      </c>
      <c r="H3" s="20" t="s">
        <v>2662</v>
      </c>
      <c r="I3" s="128">
        <v>0.0</v>
      </c>
      <c r="J3" s="128">
        <v>0.0</v>
      </c>
      <c r="K3" s="128">
        <v>0.0</v>
      </c>
      <c r="L3" s="128">
        <v>0.0</v>
      </c>
      <c r="M3" s="128">
        <v>1.0</v>
      </c>
      <c r="N3" s="131"/>
      <c r="O3" s="128">
        <v>0.0</v>
      </c>
      <c r="P3" s="131"/>
      <c r="Q3" s="125"/>
      <c r="R3" s="125"/>
      <c r="S3" s="124"/>
      <c r="T3" s="126"/>
    </row>
    <row r="4" ht="15.75" customHeight="1">
      <c r="A4" s="127"/>
      <c r="B4" s="122" t="s">
        <v>2665</v>
      </c>
      <c r="C4" s="128">
        <v>1.0</v>
      </c>
      <c r="D4" s="128">
        <v>1.0</v>
      </c>
      <c r="E4" s="129">
        <v>0.49236111111111114</v>
      </c>
      <c r="F4" s="129">
        <v>0.5138888888888888</v>
      </c>
      <c r="G4" s="130" t="s">
        <v>2661</v>
      </c>
      <c r="H4" s="20"/>
      <c r="I4" s="128">
        <v>5.0</v>
      </c>
      <c r="J4" s="128">
        <v>2.0</v>
      </c>
      <c r="K4" s="128">
        <v>0.0</v>
      </c>
      <c r="L4" s="128">
        <v>2.0</v>
      </c>
      <c r="M4" s="128">
        <v>4.0</v>
      </c>
      <c r="N4" s="131"/>
      <c r="O4" s="128">
        <v>1.0</v>
      </c>
      <c r="P4" s="131"/>
      <c r="Q4" s="125"/>
      <c r="R4" s="125"/>
      <c r="S4" s="124"/>
      <c r="T4" s="126"/>
    </row>
    <row r="5" ht="15.75" customHeight="1">
      <c r="A5" s="127"/>
      <c r="B5" s="122" t="s">
        <v>2666</v>
      </c>
      <c r="C5" s="128">
        <v>1.0</v>
      </c>
      <c r="D5" s="128">
        <v>1.0</v>
      </c>
      <c r="E5" s="129">
        <v>0.5166666666666667</v>
      </c>
      <c r="F5" s="129">
        <v>0.5381944444444444</v>
      </c>
      <c r="G5" s="130" t="s">
        <v>2664</v>
      </c>
      <c r="H5" s="20" t="s">
        <v>2667</v>
      </c>
      <c r="I5" s="128">
        <v>38.0</v>
      </c>
      <c r="J5" s="128">
        <v>18.0</v>
      </c>
      <c r="K5" s="128">
        <v>3.0</v>
      </c>
      <c r="L5" s="128">
        <v>13.0</v>
      </c>
      <c r="M5" s="128">
        <v>31.0</v>
      </c>
      <c r="N5" s="131"/>
      <c r="O5" s="128">
        <v>2.0</v>
      </c>
      <c r="P5" s="131"/>
      <c r="Q5" s="125"/>
      <c r="R5" s="125"/>
      <c r="S5" s="124"/>
      <c r="T5" s="126"/>
    </row>
    <row r="6" ht="26.25" customHeight="1">
      <c r="A6" s="127"/>
      <c r="B6" s="122" t="s">
        <v>2660</v>
      </c>
      <c r="C6" s="128">
        <v>2.0</v>
      </c>
      <c r="D6" s="128">
        <v>2.0</v>
      </c>
      <c r="E6" s="129">
        <v>0.04236111111111111</v>
      </c>
      <c r="F6" s="129">
        <v>0.06875</v>
      </c>
      <c r="G6" s="130" t="s">
        <v>2664</v>
      </c>
      <c r="H6" s="20" t="s">
        <v>2668</v>
      </c>
      <c r="I6" s="128">
        <v>21.0</v>
      </c>
      <c r="J6" s="128">
        <v>4.0</v>
      </c>
      <c r="K6" s="128">
        <v>6.0</v>
      </c>
      <c r="L6" s="128">
        <v>8.0</v>
      </c>
      <c r="M6" s="128">
        <v>13.0</v>
      </c>
      <c r="N6" s="131"/>
      <c r="O6" s="128">
        <v>0.0</v>
      </c>
      <c r="P6" s="131"/>
      <c r="Q6" s="125"/>
      <c r="R6" s="125"/>
      <c r="S6" s="124"/>
      <c r="T6" s="126"/>
    </row>
    <row r="7" ht="26.25" customHeight="1">
      <c r="A7" s="127"/>
      <c r="B7" s="122" t="s">
        <v>2663</v>
      </c>
      <c r="C7" s="128">
        <v>2.0</v>
      </c>
      <c r="D7" s="128">
        <v>2.0</v>
      </c>
      <c r="E7" s="129">
        <v>0.07152777777777777</v>
      </c>
      <c r="F7" s="129">
        <v>0.09236111111111112</v>
      </c>
      <c r="G7" s="130" t="s">
        <v>2664</v>
      </c>
      <c r="H7" s="20"/>
      <c r="I7" s="128">
        <v>4.0</v>
      </c>
      <c r="J7" s="128">
        <v>1.0</v>
      </c>
      <c r="K7" s="128">
        <v>0.0</v>
      </c>
      <c r="L7" s="128">
        <v>0.0</v>
      </c>
      <c r="M7" s="128">
        <v>3.0</v>
      </c>
      <c r="N7" s="131"/>
      <c r="O7" s="128">
        <v>1.0</v>
      </c>
      <c r="P7" s="131"/>
      <c r="Q7" s="125"/>
      <c r="R7" s="125"/>
      <c r="S7" s="124"/>
      <c r="T7" s="126"/>
    </row>
    <row r="8" ht="26.25" customHeight="1">
      <c r="A8" s="127"/>
      <c r="B8" s="122" t="s">
        <v>2665</v>
      </c>
      <c r="C8" s="128">
        <v>2.0</v>
      </c>
      <c r="D8" s="128">
        <v>2.0</v>
      </c>
      <c r="E8" s="129">
        <v>0.09444444444444444</v>
      </c>
      <c r="F8" s="129">
        <v>0.11458333333333333</v>
      </c>
      <c r="G8" s="130" t="s">
        <v>2664</v>
      </c>
      <c r="H8" s="20"/>
      <c r="I8" s="128">
        <v>32.0</v>
      </c>
      <c r="J8" s="128" t="s">
        <v>192</v>
      </c>
      <c r="K8" s="128" t="s">
        <v>192</v>
      </c>
      <c r="L8" s="128">
        <v>3.0</v>
      </c>
      <c r="M8" s="128">
        <v>15.0</v>
      </c>
      <c r="N8" s="131"/>
      <c r="O8" s="128">
        <v>7.0</v>
      </c>
      <c r="P8" s="131"/>
      <c r="Q8" s="125"/>
      <c r="R8" s="125"/>
      <c r="S8" s="124"/>
      <c r="T8" s="126"/>
    </row>
    <row r="9" ht="26.25" customHeight="1">
      <c r="A9" s="127"/>
      <c r="B9" s="122" t="s">
        <v>2666</v>
      </c>
      <c r="C9" s="128">
        <v>2.0</v>
      </c>
      <c r="D9" s="128">
        <v>2.0</v>
      </c>
      <c r="E9" s="129">
        <v>0.11875</v>
      </c>
      <c r="F9" s="129">
        <v>0.14305555555555555</v>
      </c>
      <c r="G9" s="130" t="s">
        <v>2669</v>
      </c>
      <c r="H9" s="20"/>
      <c r="I9" s="128">
        <v>57.0</v>
      </c>
      <c r="J9" s="128">
        <v>14.0</v>
      </c>
      <c r="K9" s="128">
        <v>21.0</v>
      </c>
      <c r="L9" s="128">
        <v>17.0</v>
      </c>
      <c r="M9" s="128">
        <v>49.0</v>
      </c>
      <c r="N9" s="131"/>
      <c r="O9" s="128">
        <v>2.0</v>
      </c>
      <c r="P9" s="131"/>
      <c r="Q9" s="125"/>
      <c r="R9" s="125"/>
      <c r="S9" s="124"/>
      <c r="T9" s="126"/>
    </row>
    <row r="10" ht="15.75" customHeight="1">
      <c r="A10" s="127"/>
      <c r="B10" s="122"/>
      <c r="C10" s="128"/>
      <c r="E10" s="28"/>
      <c r="F10" s="28"/>
      <c r="G10" s="13"/>
      <c r="H10" s="10"/>
      <c r="I10" s="13"/>
      <c r="J10" s="13"/>
      <c r="K10" s="13"/>
      <c r="L10" s="13"/>
      <c r="M10" s="13"/>
      <c r="N10" s="131"/>
      <c r="O10" s="13"/>
      <c r="P10" s="131"/>
      <c r="Q10" s="132"/>
      <c r="R10" s="132"/>
      <c r="S10" s="132"/>
      <c r="T10" s="126"/>
    </row>
    <row r="11" ht="15.75" customHeight="1">
      <c r="A11" s="127">
        <v>45693.0</v>
      </c>
      <c r="B11" s="122" t="s">
        <v>2660</v>
      </c>
      <c r="C11" s="128">
        <v>3.0</v>
      </c>
      <c r="D11" s="128">
        <v>1.0</v>
      </c>
      <c r="E11" s="28">
        <v>0.4083333333333333</v>
      </c>
      <c r="F11" s="28">
        <v>0.4305555555555556</v>
      </c>
      <c r="G11" s="130" t="s">
        <v>2670</v>
      </c>
      <c r="H11" s="10"/>
      <c r="I11" s="13">
        <v>14.0</v>
      </c>
      <c r="J11" s="13">
        <v>3.0</v>
      </c>
      <c r="K11" s="13">
        <v>4.0</v>
      </c>
      <c r="L11" s="13">
        <v>5.0</v>
      </c>
      <c r="M11" s="13">
        <v>7.0</v>
      </c>
      <c r="N11" s="131"/>
      <c r="O11" s="13">
        <v>1.0</v>
      </c>
      <c r="P11" s="131"/>
      <c r="Q11" s="132"/>
      <c r="R11" s="132"/>
      <c r="S11" s="132"/>
      <c r="T11" s="126"/>
    </row>
    <row r="12" ht="15.75" customHeight="1">
      <c r="A12" s="127"/>
      <c r="B12" s="122" t="s">
        <v>2663</v>
      </c>
      <c r="C12" s="128">
        <v>3.0</v>
      </c>
      <c r="D12" s="128">
        <v>1.0</v>
      </c>
      <c r="E12" s="28">
        <v>0.4326388888888889</v>
      </c>
      <c r="F12" s="28">
        <v>0.4576388888888889</v>
      </c>
      <c r="G12" s="130" t="s">
        <v>2664</v>
      </c>
      <c r="H12" s="10"/>
      <c r="I12" s="13">
        <v>2.0</v>
      </c>
      <c r="J12" s="13">
        <v>1.0</v>
      </c>
      <c r="K12" s="13">
        <v>0.0</v>
      </c>
      <c r="L12" s="13">
        <v>0.0</v>
      </c>
      <c r="M12" s="13">
        <v>1.0</v>
      </c>
      <c r="N12" s="131"/>
      <c r="O12" s="13">
        <v>1.0</v>
      </c>
      <c r="P12" s="131"/>
      <c r="Q12" s="132"/>
      <c r="R12" s="132"/>
      <c r="S12" s="132"/>
      <c r="T12" s="126"/>
    </row>
    <row r="13" ht="15.75" customHeight="1">
      <c r="A13" s="127"/>
      <c r="B13" s="122" t="s">
        <v>2665</v>
      </c>
      <c r="C13" s="128">
        <v>3.0</v>
      </c>
      <c r="D13" s="128">
        <v>1.0</v>
      </c>
      <c r="E13" s="28">
        <v>0.46111111111111114</v>
      </c>
      <c r="F13" s="28">
        <v>0.48194444444444445</v>
      </c>
      <c r="G13" s="130" t="s">
        <v>2664</v>
      </c>
      <c r="H13" s="10"/>
      <c r="I13" s="13">
        <v>20.0</v>
      </c>
      <c r="J13" s="13">
        <v>4.0</v>
      </c>
      <c r="K13" s="13">
        <v>7.0</v>
      </c>
      <c r="L13" s="13">
        <v>9.0</v>
      </c>
      <c r="M13" s="13">
        <v>8.0</v>
      </c>
      <c r="N13" s="131"/>
      <c r="O13" s="13">
        <v>5.0</v>
      </c>
      <c r="P13" s="131"/>
      <c r="Q13" s="132"/>
      <c r="R13" s="132"/>
      <c r="S13" s="132"/>
      <c r="T13" s="126"/>
    </row>
    <row r="14" ht="15.75" customHeight="1">
      <c r="A14" s="127"/>
      <c r="B14" s="122" t="s">
        <v>2666</v>
      </c>
      <c r="C14" s="128">
        <v>3.0</v>
      </c>
      <c r="D14" s="128">
        <v>1.0</v>
      </c>
      <c r="E14" s="28">
        <v>0.4847222222222222</v>
      </c>
      <c r="F14" s="28">
        <v>0.5090277777777777</v>
      </c>
      <c r="G14" s="130" t="s">
        <v>2671</v>
      </c>
      <c r="H14" s="10"/>
      <c r="I14" s="13">
        <v>42.0</v>
      </c>
      <c r="J14" s="13">
        <v>8.0</v>
      </c>
      <c r="K14" s="13">
        <v>25.0</v>
      </c>
      <c r="L14" s="13">
        <v>8.0</v>
      </c>
      <c r="M14" s="13">
        <v>37.0</v>
      </c>
      <c r="N14" s="131"/>
      <c r="O14" s="13">
        <v>3.0</v>
      </c>
      <c r="P14" s="131"/>
      <c r="Q14" s="132"/>
      <c r="R14" s="132"/>
      <c r="S14" s="132"/>
      <c r="T14" s="126"/>
    </row>
    <row r="15" ht="15.75" customHeight="1">
      <c r="A15" s="127"/>
      <c r="B15" s="122" t="s">
        <v>2660</v>
      </c>
      <c r="C15" s="128">
        <v>4.0</v>
      </c>
      <c r="D15" s="128">
        <v>2.0</v>
      </c>
      <c r="E15" s="28">
        <v>0.5118055555555555</v>
      </c>
      <c r="F15" s="28">
        <v>0.5375</v>
      </c>
      <c r="G15" s="130" t="s">
        <v>2672</v>
      </c>
      <c r="H15" s="10"/>
      <c r="I15" s="13">
        <v>18.0</v>
      </c>
      <c r="J15" s="13">
        <v>4.0</v>
      </c>
      <c r="K15" s="13">
        <v>5.0</v>
      </c>
      <c r="L15" s="13">
        <v>8.0</v>
      </c>
      <c r="M15" s="13">
        <v>9.0</v>
      </c>
      <c r="N15" s="131"/>
      <c r="O15" s="13">
        <v>4.0</v>
      </c>
      <c r="P15" s="131"/>
      <c r="Q15" s="132"/>
      <c r="R15" s="132"/>
      <c r="S15" s="132"/>
      <c r="T15" s="126"/>
    </row>
    <row r="16" ht="15.75" customHeight="1">
      <c r="A16" s="127"/>
      <c r="B16" s="122" t="s">
        <v>2663</v>
      </c>
      <c r="C16" s="128">
        <v>4.0</v>
      </c>
      <c r="D16" s="128">
        <v>2.0</v>
      </c>
      <c r="E16" s="28">
        <v>0.04375</v>
      </c>
      <c r="F16" s="28">
        <v>0.06527777777777778</v>
      </c>
      <c r="G16" s="130" t="s">
        <v>2664</v>
      </c>
      <c r="H16" s="10" t="s">
        <v>2673</v>
      </c>
      <c r="I16" s="13">
        <v>2.0</v>
      </c>
      <c r="J16" s="13">
        <v>0.0</v>
      </c>
      <c r="K16" s="13">
        <v>1.0</v>
      </c>
      <c r="L16" s="13">
        <v>1.0</v>
      </c>
      <c r="M16" s="13">
        <v>1.0</v>
      </c>
      <c r="N16" s="131"/>
      <c r="O16" s="13">
        <v>1.0</v>
      </c>
      <c r="P16" s="131"/>
      <c r="Q16" s="132"/>
      <c r="R16" s="132"/>
      <c r="S16" s="132"/>
      <c r="T16" s="126"/>
    </row>
    <row r="17" ht="15.75" customHeight="1">
      <c r="A17" s="127"/>
      <c r="B17" s="122" t="s">
        <v>2665</v>
      </c>
      <c r="C17" s="128">
        <v>4.0</v>
      </c>
      <c r="D17" s="128">
        <v>2.0</v>
      </c>
      <c r="E17" s="28">
        <v>0.06805555555555555</v>
      </c>
      <c r="F17" s="28">
        <v>0.09166666666666666</v>
      </c>
      <c r="G17" s="130" t="s">
        <v>2664</v>
      </c>
      <c r="H17" s="10" t="s">
        <v>2674</v>
      </c>
      <c r="I17" s="13">
        <v>44.0</v>
      </c>
      <c r="J17" s="13">
        <v>18.0</v>
      </c>
      <c r="K17" s="13">
        <v>11.0</v>
      </c>
      <c r="L17" s="13">
        <v>14.0</v>
      </c>
      <c r="M17" s="13">
        <v>24.0</v>
      </c>
      <c r="N17" s="131"/>
      <c r="O17" s="13">
        <v>14.0</v>
      </c>
      <c r="P17" s="131"/>
      <c r="Q17" s="132"/>
      <c r="R17" s="132"/>
      <c r="S17" s="132"/>
      <c r="T17" s="126"/>
    </row>
    <row r="18" ht="15.75" customHeight="1">
      <c r="A18" s="127"/>
      <c r="B18" s="122" t="s">
        <v>2666</v>
      </c>
      <c r="C18" s="128">
        <v>4.0</v>
      </c>
      <c r="D18" s="128">
        <v>2.0</v>
      </c>
      <c r="E18" s="28">
        <v>0.09444444444444444</v>
      </c>
      <c r="F18" s="28">
        <v>0.11944444444444445</v>
      </c>
      <c r="G18" s="130" t="s">
        <v>2675</v>
      </c>
      <c r="H18" s="10" t="s">
        <v>2676</v>
      </c>
      <c r="I18" s="13">
        <v>43.0</v>
      </c>
      <c r="J18" s="13">
        <v>2.0</v>
      </c>
      <c r="K18" s="13">
        <v>27.0</v>
      </c>
      <c r="L18" s="13">
        <v>11.0</v>
      </c>
      <c r="M18" s="13">
        <v>16.0</v>
      </c>
      <c r="N18" s="131"/>
      <c r="O18" s="13">
        <v>20.0</v>
      </c>
      <c r="P18" s="131"/>
      <c r="Q18" s="132"/>
      <c r="R18" s="132"/>
      <c r="S18" s="132"/>
      <c r="T18" s="126"/>
    </row>
    <row r="19" ht="15.75" customHeight="1">
      <c r="A19" s="127"/>
      <c r="B19" s="122"/>
      <c r="C19" s="128"/>
      <c r="E19" s="28"/>
      <c r="F19" s="28"/>
      <c r="G19" s="13"/>
      <c r="H19" s="10" t="s">
        <v>2677</v>
      </c>
      <c r="I19" s="13"/>
      <c r="J19" s="13"/>
      <c r="K19" s="13"/>
      <c r="L19" s="13"/>
      <c r="M19" s="13"/>
      <c r="N19" s="131"/>
      <c r="O19" s="13"/>
      <c r="P19" s="131"/>
      <c r="Q19" s="132"/>
      <c r="R19" s="132"/>
      <c r="S19" s="132"/>
      <c r="T19" s="126"/>
    </row>
    <row r="20" ht="15.75" customHeight="1">
      <c r="A20" s="127">
        <v>45694.0</v>
      </c>
      <c r="B20" s="122" t="s">
        <v>2660</v>
      </c>
      <c r="C20" s="128">
        <v>5.0</v>
      </c>
      <c r="D20" s="128">
        <v>1.0</v>
      </c>
      <c r="E20" s="28">
        <v>0.4930555555555556</v>
      </c>
      <c r="F20" s="28">
        <v>0.5138888888888888</v>
      </c>
      <c r="G20" s="130" t="s">
        <v>2678</v>
      </c>
      <c r="H20" s="133" t="s">
        <v>2679</v>
      </c>
      <c r="I20" s="13">
        <v>5.0</v>
      </c>
      <c r="J20" s="13">
        <v>1.0</v>
      </c>
      <c r="K20" s="13">
        <v>1.0</v>
      </c>
      <c r="L20" s="13">
        <v>3.0</v>
      </c>
      <c r="M20" s="13">
        <v>2.0</v>
      </c>
      <c r="N20" s="131"/>
      <c r="O20" s="13">
        <v>0.0</v>
      </c>
      <c r="P20" s="131"/>
      <c r="Q20" s="132"/>
      <c r="R20" s="132"/>
      <c r="S20" s="132"/>
      <c r="T20" s="126"/>
    </row>
    <row r="21" ht="15.75" customHeight="1">
      <c r="A21" s="127"/>
      <c r="B21" s="122" t="s">
        <v>2663</v>
      </c>
      <c r="C21" s="128">
        <v>5.0</v>
      </c>
      <c r="D21" s="128">
        <v>1.0</v>
      </c>
      <c r="E21" s="28">
        <v>0.5173611111111112</v>
      </c>
      <c r="F21" s="28">
        <v>0.5402777777777777</v>
      </c>
      <c r="G21" s="130" t="s">
        <v>2664</v>
      </c>
      <c r="H21" s="10" t="s">
        <v>2680</v>
      </c>
      <c r="I21" s="13">
        <v>3.0</v>
      </c>
      <c r="J21" s="13">
        <v>1.0</v>
      </c>
      <c r="K21" s="13">
        <v>0.0</v>
      </c>
      <c r="L21" s="13">
        <v>0.0</v>
      </c>
      <c r="M21" s="13">
        <v>3.0</v>
      </c>
      <c r="N21" s="131"/>
      <c r="O21" s="13">
        <v>0.0</v>
      </c>
      <c r="P21" s="131"/>
      <c r="Q21" s="132"/>
      <c r="R21" s="132"/>
      <c r="S21" s="132"/>
      <c r="T21" s="126"/>
    </row>
    <row r="22" ht="15.75" customHeight="1">
      <c r="A22" s="127"/>
      <c r="B22" s="122" t="s">
        <v>2665</v>
      </c>
      <c r="C22" s="128">
        <v>5.0</v>
      </c>
      <c r="D22" s="128">
        <v>1.0</v>
      </c>
      <c r="E22" s="28">
        <v>0.043055555555555555</v>
      </c>
      <c r="F22" s="28">
        <v>0.06666666666666667</v>
      </c>
      <c r="G22" s="130" t="s">
        <v>2576</v>
      </c>
      <c r="H22" s="10" t="s">
        <v>2681</v>
      </c>
      <c r="I22" s="13">
        <v>57.0</v>
      </c>
      <c r="J22" s="13">
        <v>27.0</v>
      </c>
      <c r="K22" s="13">
        <v>21.0</v>
      </c>
      <c r="L22" s="13">
        <v>9.0</v>
      </c>
      <c r="M22" s="13">
        <v>44.0</v>
      </c>
      <c r="N22" s="131"/>
      <c r="O22" s="13">
        <v>10.0</v>
      </c>
      <c r="P22" s="131"/>
      <c r="Q22" s="132"/>
      <c r="R22" s="132"/>
      <c r="S22" s="132"/>
      <c r="T22" s="126"/>
    </row>
    <row r="23" ht="15.75" customHeight="1">
      <c r="A23" s="127"/>
      <c r="B23" s="122" t="s">
        <v>2666</v>
      </c>
      <c r="C23" s="128">
        <v>5.0</v>
      </c>
      <c r="D23" s="128">
        <v>1.0</v>
      </c>
      <c r="E23" s="28">
        <v>0.06944444444444445</v>
      </c>
      <c r="F23" s="28">
        <v>0.09166666666666666</v>
      </c>
      <c r="G23" s="130" t="s">
        <v>2682</v>
      </c>
      <c r="H23" s="10" t="s">
        <v>2683</v>
      </c>
      <c r="I23" s="13">
        <v>50.0</v>
      </c>
      <c r="J23" s="13">
        <v>10.0</v>
      </c>
      <c r="K23" s="13">
        <v>31.0</v>
      </c>
      <c r="L23" s="13">
        <v>8.0</v>
      </c>
      <c r="M23" s="13">
        <v>10.0</v>
      </c>
      <c r="N23" s="131"/>
      <c r="O23" s="13">
        <v>33.0</v>
      </c>
      <c r="P23" s="131"/>
      <c r="Q23" s="132"/>
      <c r="R23" s="132"/>
      <c r="S23" s="132"/>
      <c r="T23" s="126"/>
    </row>
    <row r="24" ht="28.5" customHeight="1">
      <c r="A24" s="127"/>
      <c r="B24" s="122" t="s">
        <v>2660</v>
      </c>
      <c r="C24" s="128">
        <v>6.0</v>
      </c>
      <c r="D24" s="128">
        <v>2.0</v>
      </c>
      <c r="E24" s="28">
        <v>0.09722222222222222</v>
      </c>
      <c r="F24" s="28">
        <v>0.12083333333333333</v>
      </c>
      <c r="G24" s="130" t="s">
        <v>2684</v>
      </c>
      <c r="H24" s="10"/>
      <c r="I24" s="13">
        <v>13.0</v>
      </c>
      <c r="J24" s="13">
        <v>3.0</v>
      </c>
      <c r="K24" s="13">
        <v>5.0</v>
      </c>
      <c r="L24" s="13">
        <v>4.0</v>
      </c>
      <c r="M24" s="13">
        <v>9.0</v>
      </c>
      <c r="N24" s="131"/>
      <c r="O24" s="13">
        <v>1.0</v>
      </c>
      <c r="P24" s="131"/>
      <c r="Q24" s="132"/>
      <c r="R24" s="132"/>
      <c r="S24" s="132"/>
      <c r="T24" s="126"/>
    </row>
    <row r="25" ht="28.5" customHeight="1">
      <c r="A25" s="127"/>
      <c r="B25" s="122" t="s">
        <v>2663</v>
      </c>
      <c r="C25" s="128">
        <v>6.0</v>
      </c>
      <c r="D25" s="128">
        <v>2.0</v>
      </c>
      <c r="E25" s="28">
        <v>0.125</v>
      </c>
      <c r="F25" s="28">
        <v>0.14444444444444443</v>
      </c>
      <c r="G25" s="130" t="s">
        <v>2664</v>
      </c>
      <c r="H25" s="10" t="s">
        <v>2685</v>
      </c>
      <c r="I25" s="13">
        <v>3.0</v>
      </c>
      <c r="J25" s="13">
        <v>1.0</v>
      </c>
      <c r="K25" s="13">
        <v>1.0</v>
      </c>
      <c r="L25" s="13">
        <v>0.0</v>
      </c>
      <c r="M25" s="13">
        <v>1.0</v>
      </c>
      <c r="N25" s="131"/>
      <c r="O25" s="13">
        <v>2.0</v>
      </c>
      <c r="P25" s="131"/>
      <c r="Q25" s="132"/>
      <c r="R25" s="132"/>
      <c r="S25" s="132"/>
      <c r="T25" s="126"/>
    </row>
    <row r="26" ht="28.5" customHeight="1">
      <c r="A26" s="127"/>
      <c r="B26" s="122" t="s">
        <v>2665</v>
      </c>
      <c r="C26" s="128">
        <v>6.0</v>
      </c>
      <c r="D26" s="128">
        <v>2.0</v>
      </c>
      <c r="E26" s="28">
        <v>0.14791666666666667</v>
      </c>
      <c r="F26" s="28">
        <v>0.16875</v>
      </c>
      <c r="G26" s="130" t="s">
        <v>2686</v>
      </c>
      <c r="H26" s="10" t="s">
        <v>2687</v>
      </c>
      <c r="I26" s="13">
        <v>57.0</v>
      </c>
      <c r="J26" s="13">
        <v>24.0</v>
      </c>
      <c r="K26" s="13">
        <v>26.0</v>
      </c>
      <c r="L26" s="13">
        <v>7.0</v>
      </c>
      <c r="M26" s="13">
        <v>31.0</v>
      </c>
      <c r="N26" s="131"/>
      <c r="O26" s="13">
        <v>30.0</v>
      </c>
      <c r="P26" s="131"/>
      <c r="Q26" s="132"/>
      <c r="R26" s="132"/>
      <c r="S26" s="132"/>
      <c r="T26" s="126"/>
    </row>
    <row r="27" ht="28.5" customHeight="1">
      <c r="A27" s="127"/>
      <c r="B27" s="122" t="s">
        <v>2666</v>
      </c>
      <c r="C27" s="128">
        <v>6.0</v>
      </c>
      <c r="D27" s="128">
        <v>2.0</v>
      </c>
      <c r="E27" s="28">
        <v>0.17291666666666666</v>
      </c>
      <c r="F27" s="28">
        <v>0.19375</v>
      </c>
      <c r="G27" s="130" t="s">
        <v>2688</v>
      </c>
      <c r="H27" s="10" t="s">
        <v>2689</v>
      </c>
      <c r="I27" s="13">
        <v>62.0</v>
      </c>
      <c r="J27" s="13">
        <v>18.0</v>
      </c>
      <c r="K27" s="13">
        <v>32.0</v>
      </c>
      <c r="L27" s="13">
        <v>9.0</v>
      </c>
      <c r="M27" s="13">
        <v>11.0</v>
      </c>
      <c r="N27" s="131"/>
      <c r="O27" s="13">
        <v>43.0</v>
      </c>
      <c r="P27" s="131"/>
      <c r="Q27" s="132"/>
      <c r="R27" s="132"/>
      <c r="S27" s="132"/>
      <c r="T27" s="126"/>
    </row>
    <row r="28" ht="15.75" customHeight="1">
      <c r="A28" s="127"/>
      <c r="B28" s="122"/>
      <c r="C28" s="128"/>
      <c r="E28" s="28"/>
      <c r="F28" s="28"/>
      <c r="G28" s="13"/>
      <c r="H28" s="10"/>
      <c r="I28" s="13"/>
      <c r="J28" s="13"/>
      <c r="K28" s="13"/>
      <c r="L28" s="13"/>
      <c r="M28" s="13"/>
      <c r="N28" s="131"/>
      <c r="O28" s="13"/>
      <c r="P28" s="131"/>
      <c r="Q28" s="132"/>
      <c r="R28" s="132"/>
      <c r="S28" s="132"/>
      <c r="T28" s="126"/>
    </row>
    <row r="29" ht="15.75" customHeight="1">
      <c r="A29" s="127">
        <v>45695.0</v>
      </c>
      <c r="B29" s="122" t="s">
        <v>2660</v>
      </c>
      <c r="C29" s="128">
        <v>7.0</v>
      </c>
      <c r="D29" s="13">
        <v>1.0</v>
      </c>
      <c r="E29" s="28">
        <v>0.42430555555555555</v>
      </c>
      <c r="F29" s="28">
        <v>0.45208333333333334</v>
      </c>
      <c r="G29" s="130" t="s">
        <v>2690</v>
      </c>
      <c r="H29" s="10"/>
      <c r="I29" s="13">
        <v>10.0</v>
      </c>
      <c r="J29" s="13">
        <v>3.0</v>
      </c>
      <c r="K29" s="13">
        <v>2.0</v>
      </c>
      <c r="L29" s="13">
        <v>5.0</v>
      </c>
      <c r="M29" s="13">
        <v>4.0</v>
      </c>
      <c r="N29" s="131"/>
      <c r="O29" s="13">
        <v>2.0</v>
      </c>
      <c r="P29" s="131"/>
      <c r="Q29" s="132"/>
      <c r="R29" s="132"/>
      <c r="S29" s="132"/>
      <c r="T29" s="126"/>
    </row>
    <row r="30" ht="15.75" customHeight="1">
      <c r="A30" s="127"/>
      <c r="B30" s="122" t="s">
        <v>2663</v>
      </c>
      <c r="C30" s="128">
        <v>7.0</v>
      </c>
      <c r="D30" s="13">
        <v>1.0</v>
      </c>
      <c r="E30" s="28">
        <v>0.45625</v>
      </c>
      <c r="F30" s="28">
        <v>0.48055555555555557</v>
      </c>
      <c r="G30" s="130" t="s">
        <v>2664</v>
      </c>
      <c r="H30" s="10" t="s">
        <v>2691</v>
      </c>
      <c r="I30" s="13">
        <v>3.0</v>
      </c>
      <c r="J30" s="13">
        <v>0.0</v>
      </c>
      <c r="K30" s="13">
        <v>2.0</v>
      </c>
      <c r="L30" s="13">
        <v>0.0</v>
      </c>
      <c r="M30" s="13">
        <v>2.0</v>
      </c>
      <c r="N30" s="131"/>
      <c r="O30" s="13">
        <v>1.0</v>
      </c>
      <c r="P30" s="131"/>
      <c r="Q30" s="132"/>
      <c r="R30" s="132"/>
      <c r="S30" s="132"/>
      <c r="T30" s="126"/>
    </row>
    <row r="31" ht="15.75" customHeight="1">
      <c r="A31" s="127"/>
      <c r="B31" s="122" t="s">
        <v>2665</v>
      </c>
      <c r="C31" s="128">
        <v>7.0</v>
      </c>
      <c r="D31" s="13">
        <v>1.0</v>
      </c>
      <c r="E31" s="28">
        <v>0.4840277777777778</v>
      </c>
      <c r="F31" s="28">
        <v>0.5083333333333333</v>
      </c>
      <c r="G31" s="130" t="s">
        <v>2692</v>
      </c>
      <c r="H31" s="10" t="s">
        <v>2693</v>
      </c>
      <c r="I31" s="13">
        <v>76.0</v>
      </c>
      <c r="J31" s="13">
        <v>36.0</v>
      </c>
      <c r="K31" s="13">
        <v>34.0</v>
      </c>
      <c r="L31" s="13">
        <v>5.0</v>
      </c>
      <c r="M31" s="13">
        <v>5.0</v>
      </c>
      <c r="N31" s="131"/>
      <c r="O31" s="13">
        <v>65.0</v>
      </c>
      <c r="P31" s="131"/>
      <c r="Q31" s="132"/>
      <c r="R31" s="132"/>
      <c r="S31" s="132"/>
      <c r="T31" s="126"/>
    </row>
    <row r="32" ht="15.75" customHeight="1">
      <c r="A32" s="127"/>
      <c r="B32" s="122" t="s">
        <v>2666</v>
      </c>
      <c r="C32" s="128">
        <v>7.0</v>
      </c>
      <c r="D32" s="13">
        <v>1.0</v>
      </c>
      <c r="E32" s="28">
        <v>0.5111111111111111</v>
      </c>
      <c r="F32" s="28">
        <v>0.5375</v>
      </c>
      <c r="G32" s="130" t="s">
        <v>2694</v>
      </c>
      <c r="H32" s="10" t="s">
        <v>2695</v>
      </c>
      <c r="I32" s="13">
        <v>71.0</v>
      </c>
      <c r="J32" s="13">
        <v>28.0</v>
      </c>
      <c r="K32" s="13">
        <v>38.0</v>
      </c>
      <c r="L32" s="13">
        <v>4.0</v>
      </c>
      <c r="M32" s="13">
        <v>6.0</v>
      </c>
      <c r="N32" s="131"/>
      <c r="O32" s="13">
        <v>61.0</v>
      </c>
      <c r="P32" s="131"/>
      <c r="Q32" s="132"/>
      <c r="R32" s="132"/>
      <c r="S32" s="132"/>
      <c r="T32" s="126"/>
    </row>
    <row r="33" ht="15.75" customHeight="1">
      <c r="A33" s="127"/>
      <c r="B33" s="122" t="s">
        <v>2660</v>
      </c>
      <c r="C33" s="128">
        <v>8.0</v>
      </c>
      <c r="D33" s="13">
        <v>2.0</v>
      </c>
      <c r="E33" s="28">
        <v>0.5402777777777777</v>
      </c>
      <c r="F33" s="28">
        <v>0.06736111111111111</v>
      </c>
      <c r="G33" s="130" t="s">
        <v>2696</v>
      </c>
      <c r="H33" s="10" t="s">
        <v>2697</v>
      </c>
      <c r="I33" s="13">
        <v>9.0</v>
      </c>
      <c r="J33" s="13">
        <v>4.0</v>
      </c>
      <c r="K33" s="13">
        <v>3.0</v>
      </c>
      <c r="L33" s="13"/>
      <c r="M33" s="13"/>
      <c r="N33" s="131"/>
      <c r="O33" s="13">
        <v>2.0</v>
      </c>
      <c r="P33" s="131"/>
      <c r="Q33" s="132"/>
      <c r="R33" s="132"/>
      <c r="S33" s="132"/>
      <c r="T33" s="126"/>
    </row>
    <row r="34" ht="15.75" customHeight="1">
      <c r="A34" s="127"/>
      <c r="B34" s="122" t="s">
        <v>2663</v>
      </c>
      <c r="C34" s="128">
        <v>8.0</v>
      </c>
      <c r="D34" s="13">
        <v>2.0</v>
      </c>
      <c r="E34" s="28">
        <v>0.07013888888888889</v>
      </c>
      <c r="F34" s="28">
        <v>0.09027777777777778</v>
      </c>
      <c r="G34" s="130" t="s">
        <v>2664</v>
      </c>
      <c r="H34" s="31" t="s">
        <v>2698</v>
      </c>
      <c r="I34" s="13">
        <v>5.0</v>
      </c>
      <c r="J34" s="13">
        <v>0.0</v>
      </c>
      <c r="K34" s="13">
        <v>1.0</v>
      </c>
      <c r="L34" s="13">
        <v>2.0</v>
      </c>
      <c r="M34" s="13">
        <v>3.0</v>
      </c>
      <c r="N34" s="131"/>
      <c r="O34" s="13">
        <v>0.0</v>
      </c>
      <c r="P34" s="131"/>
      <c r="Q34" s="132"/>
      <c r="R34" s="132"/>
      <c r="S34" s="132"/>
      <c r="T34" s="126"/>
    </row>
    <row r="35" ht="15.75" customHeight="1">
      <c r="A35" s="127"/>
      <c r="B35" s="122" t="s">
        <v>2660</v>
      </c>
      <c r="C35" s="128">
        <v>9.0</v>
      </c>
      <c r="D35" s="13">
        <v>3.0</v>
      </c>
      <c r="E35" s="28">
        <v>0.09236111111111112</v>
      </c>
      <c r="F35" s="28">
        <v>0.11875</v>
      </c>
      <c r="G35" s="130" t="s">
        <v>2699</v>
      </c>
      <c r="H35" s="10" t="s">
        <v>2700</v>
      </c>
      <c r="I35" s="13">
        <v>36.0</v>
      </c>
      <c r="J35" s="13">
        <v>6.0</v>
      </c>
      <c r="K35" s="13">
        <v>9.0</v>
      </c>
      <c r="L35" s="13">
        <v>19.0</v>
      </c>
      <c r="M35" s="13">
        <v>11.0</v>
      </c>
      <c r="N35" s="131"/>
      <c r="O35" s="13">
        <v>7.0</v>
      </c>
      <c r="P35" s="131"/>
      <c r="Q35" s="132"/>
      <c r="R35" s="132"/>
      <c r="S35" s="132"/>
      <c r="T35" s="126"/>
    </row>
    <row r="36" ht="15.75" customHeight="1">
      <c r="A36" s="127"/>
      <c r="B36" s="122" t="s">
        <v>2663</v>
      </c>
      <c r="C36" s="128">
        <v>9.0</v>
      </c>
      <c r="D36" s="13">
        <v>3.0</v>
      </c>
      <c r="E36" s="28">
        <v>0.12222222222222222</v>
      </c>
      <c r="F36" s="28">
        <v>0.15625</v>
      </c>
      <c r="G36" s="130" t="s">
        <v>2664</v>
      </c>
      <c r="H36" s="10" t="s">
        <v>2701</v>
      </c>
      <c r="I36" s="13">
        <v>16.0</v>
      </c>
      <c r="J36" s="13">
        <v>5.0</v>
      </c>
      <c r="K36" s="13">
        <v>4.0</v>
      </c>
      <c r="L36" s="13">
        <v>5.0</v>
      </c>
      <c r="M36" s="13">
        <v>11.0</v>
      </c>
      <c r="N36" s="131"/>
      <c r="O36" s="13">
        <v>2.0</v>
      </c>
      <c r="P36" s="131"/>
      <c r="Q36" s="132"/>
      <c r="R36" s="132"/>
      <c r="S36" s="132"/>
      <c r="T36" s="126"/>
    </row>
    <row r="37" ht="15.75" customHeight="1">
      <c r="A37" s="127"/>
      <c r="B37" s="122"/>
      <c r="C37" s="128"/>
      <c r="E37" s="28"/>
      <c r="F37" s="28"/>
      <c r="G37" s="13"/>
      <c r="H37" s="10"/>
      <c r="I37" s="13"/>
      <c r="J37" s="13"/>
      <c r="K37" s="13"/>
      <c r="L37" s="13"/>
      <c r="M37" s="13"/>
      <c r="N37" s="131"/>
      <c r="O37" s="13"/>
      <c r="P37" s="131"/>
      <c r="Q37" s="132"/>
      <c r="R37" s="132"/>
      <c r="S37" s="132"/>
      <c r="T37" s="126"/>
    </row>
    <row r="38" ht="15.75" customHeight="1">
      <c r="A38" s="127">
        <v>45698.0</v>
      </c>
      <c r="B38" s="122" t="s">
        <v>2660</v>
      </c>
      <c r="C38" s="128">
        <v>10.0</v>
      </c>
      <c r="D38" s="13">
        <v>1.0</v>
      </c>
      <c r="E38" s="28">
        <v>0.4354166666666667</v>
      </c>
      <c r="F38" s="28">
        <v>0.45694444444444443</v>
      </c>
      <c r="G38" s="130" t="s">
        <v>2702</v>
      </c>
      <c r="H38" s="10" t="s">
        <v>2703</v>
      </c>
      <c r="I38" s="13">
        <v>27.0</v>
      </c>
      <c r="J38" s="13">
        <v>13.0</v>
      </c>
      <c r="K38" s="13">
        <v>7.0</v>
      </c>
      <c r="L38" s="13">
        <v>7.0</v>
      </c>
      <c r="M38" s="13">
        <v>16.0</v>
      </c>
      <c r="N38" s="131"/>
      <c r="O38" s="13">
        <v>8.0</v>
      </c>
      <c r="P38" s="131"/>
      <c r="Q38" s="132"/>
      <c r="R38" s="132"/>
      <c r="S38" s="132"/>
      <c r="T38" s="126"/>
    </row>
    <row r="39" ht="15.75" customHeight="1">
      <c r="A39" s="127"/>
      <c r="B39" s="122" t="s">
        <v>2663</v>
      </c>
      <c r="C39" s="128">
        <v>10.0</v>
      </c>
      <c r="D39" s="13">
        <v>1.0</v>
      </c>
      <c r="E39" s="28">
        <v>0.46111111111111114</v>
      </c>
      <c r="F39" s="28">
        <v>0.4826388888888889</v>
      </c>
      <c r="G39" s="130" t="s">
        <v>2664</v>
      </c>
      <c r="H39" s="10" t="s">
        <v>2704</v>
      </c>
      <c r="I39" s="13">
        <v>22.0</v>
      </c>
      <c r="J39" s="13">
        <v>6.0</v>
      </c>
      <c r="K39" s="13">
        <v>3.0</v>
      </c>
      <c r="L39" s="13">
        <v>10.0</v>
      </c>
      <c r="M39" s="13">
        <v>10.0</v>
      </c>
      <c r="N39" s="131"/>
      <c r="O39" s="13">
        <v>5.0</v>
      </c>
      <c r="P39" s="131"/>
      <c r="Q39" s="132"/>
      <c r="R39" s="132"/>
      <c r="S39" s="132"/>
      <c r="T39" s="126"/>
    </row>
    <row r="40" ht="15.75" customHeight="1">
      <c r="A40" s="127"/>
      <c r="B40" s="122" t="s">
        <v>2665</v>
      </c>
      <c r="C40" s="128">
        <v>8.0</v>
      </c>
      <c r="D40" s="13">
        <v>1.0</v>
      </c>
      <c r="E40" s="28">
        <v>0.4861111111111111</v>
      </c>
      <c r="F40" s="28">
        <v>0.5118055555555555</v>
      </c>
      <c r="G40" s="130" t="s">
        <v>2705</v>
      </c>
      <c r="H40" s="10" t="s">
        <v>2706</v>
      </c>
      <c r="I40" s="13">
        <v>74.0</v>
      </c>
      <c r="J40" s="13">
        <v>31.0</v>
      </c>
      <c r="K40" s="13">
        <v>39.0</v>
      </c>
      <c r="L40" s="13">
        <v>3.0</v>
      </c>
      <c r="M40" s="13">
        <v>9.0</v>
      </c>
      <c r="N40" s="131"/>
      <c r="O40" s="13">
        <v>62.0</v>
      </c>
      <c r="P40" s="131"/>
      <c r="Q40" s="132"/>
      <c r="R40" s="132"/>
      <c r="S40" s="132"/>
      <c r="T40" s="126"/>
    </row>
    <row r="41" ht="15.75" customHeight="1">
      <c r="A41" s="127"/>
      <c r="B41" s="122" t="s">
        <v>2666</v>
      </c>
      <c r="C41" s="128">
        <v>8.0</v>
      </c>
      <c r="D41" s="13">
        <v>1.0</v>
      </c>
      <c r="E41" s="28">
        <v>0.5145833333333333</v>
      </c>
      <c r="F41" s="28">
        <v>0.04236111111111111</v>
      </c>
      <c r="G41" s="130" t="s">
        <v>2707</v>
      </c>
      <c r="H41" s="10" t="s">
        <v>2708</v>
      </c>
      <c r="I41" s="13">
        <v>80.0</v>
      </c>
      <c r="J41" s="13">
        <v>45.0</v>
      </c>
      <c r="K41" s="13">
        <v>33.0</v>
      </c>
      <c r="L41" s="13">
        <v>2.0</v>
      </c>
      <c r="M41" s="13">
        <v>7.0</v>
      </c>
      <c r="N41" s="131"/>
      <c r="O41" s="13">
        <v>72.0</v>
      </c>
      <c r="P41" s="131"/>
      <c r="Q41" s="132"/>
      <c r="R41" s="132"/>
      <c r="S41" s="132"/>
      <c r="T41" s="126"/>
    </row>
    <row r="42" ht="15.75" customHeight="1">
      <c r="A42" s="127"/>
      <c r="B42" s="122" t="s">
        <v>2660</v>
      </c>
      <c r="C42" s="128">
        <v>11.0</v>
      </c>
      <c r="D42" s="13">
        <v>2.0</v>
      </c>
      <c r="E42" s="28">
        <v>0.04583333333333333</v>
      </c>
      <c r="F42" s="28">
        <v>0.06944444444444445</v>
      </c>
      <c r="G42" s="130" t="s">
        <v>2709</v>
      </c>
      <c r="H42" s="10" t="s">
        <v>2710</v>
      </c>
      <c r="I42" s="13">
        <v>38.0</v>
      </c>
      <c r="J42" s="13">
        <v>9.0</v>
      </c>
      <c r="K42" s="13">
        <v>12.0</v>
      </c>
      <c r="L42" s="13">
        <v>15.0</v>
      </c>
      <c r="M42" s="13">
        <v>7.0</v>
      </c>
      <c r="N42" s="131"/>
      <c r="O42" s="13">
        <v>16.0</v>
      </c>
      <c r="P42" s="131"/>
      <c r="Q42" s="132"/>
      <c r="R42" s="132"/>
      <c r="S42" s="132"/>
      <c r="T42" s="126"/>
    </row>
    <row r="43" ht="15.75" customHeight="1">
      <c r="A43" s="127"/>
      <c r="B43" s="122" t="s">
        <v>2663</v>
      </c>
      <c r="C43" s="128">
        <v>11.0</v>
      </c>
      <c r="D43" s="13">
        <v>2.0</v>
      </c>
      <c r="E43" s="28">
        <v>0.07291666666666667</v>
      </c>
      <c r="F43" s="28">
        <v>0.09652777777777778</v>
      </c>
      <c r="G43" s="130" t="s">
        <v>2664</v>
      </c>
      <c r="H43" s="10" t="s">
        <v>2711</v>
      </c>
      <c r="I43" s="13">
        <v>35.0</v>
      </c>
      <c r="J43" s="13">
        <v>11.0</v>
      </c>
      <c r="K43" s="13">
        <v>8.0</v>
      </c>
      <c r="L43" s="13">
        <v>11.0</v>
      </c>
      <c r="M43" s="13">
        <v>19.0</v>
      </c>
      <c r="N43" s="131"/>
      <c r="O43" s="13">
        <v>8.0</v>
      </c>
      <c r="P43" s="131"/>
      <c r="Q43" s="132"/>
      <c r="R43" s="132"/>
      <c r="S43" s="132"/>
      <c r="T43" s="126"/>
    </row>
    <row r="44" ht="15.75" customHeight="1">
      <c r="A44" s="127"/>
      <c r="B44" s="122" t="s">
        <v>2660</v>
      </c>
      <c r="C44" s="128">
        <v>12.0</v>
      </c>
      <c r="D44" s="13">
        <v>3.0</v>
      </c>
      <c r="E44" s="28">
        <v>0.10416666666666667</v>
      </c>
      <c r="F44" s="28">
        <v>0.12777777777777777</v>
      </c>
      <c r="G44" s="130" t="s">
        <v>2712</v>
      </c>
      <c r="H44" s="10" t="s">
        <v>2711</v>
      </c>
      <c r="I44" s="13">
        <v>35.0</v>
      </c>
      <c r="J44" s="13">
        <v>18.0</v>
      </c>
      <c r="K44" s="13">
        <v>9.0</v>
      </c>
      <c r="L44" s="13">
        <v>8.0</v>
      </c>
      <c r="M44" s="13">
        <v>14.0</v>
      </c>
      <c r="N44" s="131"/>
      <c r="O44" s="13">
        <v>15.0</v>
      </c>
      <c r="P44" s="131"/>
      <c r="Q44" s="132"/>
      <c r="R44" s="132"/>
      <c r="S44" s="132"/>
      <c r="T44" s="126"/>
    </row>
    <row r="45" ht="15.75" customHeight="1">
      <c r="A45" s="127"/>
      <c r="B45" s="122" t="s">
        <v>2663</v>
      </c>
      <c r="C45" s="128">
        <v>12.0</v>
      </c>
      <c r="D45" s="13">
        <v>3.0</v>
      </c>
      <c r="E45" s="28">
        <v>0.1326388888888889</v>
      </c>
      <c r="F45" s="28">
        <v>0.15763888888888888</v>
      </c>
      <c r="G45" s="130" t="s">
        <v>2713</v>
      </c>
      <c r="H45" s="10" t="s">
        <v>2714</v>
      </c>
      <c r="I45" s="13">
        <v>37.0</v>
      </c>
      <c r="J45" s="13">
        <v>9.0</v>
      </c>
      <c r="K45" s="13">
        <v>13.0</v>
      </c>
      <c r="L45" s="13">
        <v>14.0</v>
      </c>
      <c r="M45" s="13">
        <v>26.0</v>
      </c>
      <c r="N45" s="131"/>
      <c r="O45" s="13">
        <v>1.0</v>
      </c>
      <c r="P45" s="131"/>
      <c r="Q45" s="132"/>
      <c r="R45" s="132"/>
      <c r="S45" s="132"/>
      <c r="T45" s="126"/>
    </row>
    <row r="46" ht="15.75" customHeight="1">
      <c r="A46" s="127"/>
      <c r="B46" s="122"/>
      <c r="C46" s="128"/>
      <c r="D46" s="13"/>
      <c r="E46" s="28"/>
      <c r="F46" s="28"/>
      <c r="G46" s="13"/>
      <c r="H46" s="10"/>
      <c r="I46" s="13"/>
      <c r="J46" s="13"/>
      <c r="K46" s="13"/>
      <c r="L46" s="13"/>
      <c r="M46" s="13"/>
      <c r="N46" s="131"/>
      <c r="O46" s="13"/>
      <c r="P46" s="131"/>
      <c r="Q46" s="132"/>
      <c r="R46" s="132"/>
      <c r="S46" s="132"/>
      <c r="T46" s="126"/>
    </row>
    <row r="47" ht="15.75" customHeight="1">
      <c r="A47" s="127">
        <v>45699.0</v>
      </c>
      <c r="B47" s="122" t="s">
        <v>2660</v>
      </c>
      <c r="C47" s="128">
        <v>13.0</v>
      </c>
      <c r="D47" s="13">
        <v>1.0</v>
      </c>
      <c r="E47" s="28">
        <v>0.4131944444444444</v>
      </c>
      <c r="F47" s="28">
        <v>0.4361111111111111</v>
      </c>
      <c r="G47" s="130" t="s">
        <v>2715</v>
      </c>
      <c r="H47" s="10" t="s">
        <v>2716</v>
      </c>
      <c r="I47" s="13">
        <v>33.0</v>
      </c>
      <c r="J47" s="13">
        <v>13.0</v>
      </c>
      <c r="K47" s="13">
        <v>10.0</v>
      </c>
      <c r="L47" s="13">
        <v>8.0</v>
      </c>
      <c r="M47" s="13">
        <v>17.0</v>
      </c>
      <c r="N47" s="131"/>
      <c r="O47" s="13">
        <v>11.0</v>
      </c>
      <c r="P47" s="131"/>
      <c r="Q47" s="132"/>
      <c r="R47" s="132"/>
      <c r="S47" s="132"/>
      <c r="T47" s="126"/>
    </row>
    <row r="48" ht="15.75" customHeight="1">
      <c r="A48" s="127"/>
      <c r="B48" s="122" t="s">
        <v>2663</v>
      </c>
      <c r="C48" s="128">
        <v>13.0</v>
      </c>
      <c r="D48" s="13">
        <v>1.0</v>
      </c>
      <c r="E48" s="28">
        <v>0.44027777777777777</v>
      </c>
      <c r="F48" s="28">
        <v>0.46041666666666664</v>
      </c>
      <c r="G48" s="130" t="s">
        <v>2717</v>
      </c>
      <c r="H48" s="10" t="s">
        <v>2718</v>
      </c>
      <c r="I48" s="13">
        <v>22.0</v>
      </c>
      <c r="J48" s="13">
        <v>6.0</v>
      </c>
      <c r="K48" s="13">
        <v>7.0</v>
      </c>
      <c r="L48" s="13">
        <v>9.0</v>
      </c>
      <c r="M48" s="13">
        <v>16.0</v>
      </c>
      <c r="N48" s="131"/>
      <c r="O48" s="13">
        <v>2.0</v>
      </c>
      <c r="P48" s="131"/>
      <c r="Q48" s="132"/>
      <c r="R48" s="132"/>
      <c r="S48" s="132"/>
      <c r="T48" s="126"/>
    </row>
    <row r="49" ht="15.75" customHeight="1">
      <c r="A49" s="127"/>
      <c r="B49" s="122" t="s">
        <v>2665</v>
      </c>
      <c r="C49" s="128">
        <v>9.0</v>
      </c>
      <c r="D49" s="13">
        <v>1.0</v>
      </c>
      <c r="E49" s="28">
        <v>0.4638888888888889</v>
      </c>
      <c r="F49" s="28">
        <v>0.49166666666666664</v>
      </c>
      <c r="G49" s="134" t="s">
        <v>2719</v>
      </c>
      <c r="H49" s="10" t="s">
        <v>2720</v>
      </c>
      <c r="I49" s="13">
        <v>76.0</v>
      </c>
      <c r="J49" s="13">
        <v>33.0</v>
      </c>
      <c r="K49" s="13">
        <v>25.0</v>
      </c>
      <c r="L49" s="13">
        <v>13.0</v>
      </c>
      <c r="M49" s="13">
        <v>1.0</v>
      </c>
      <c r="N49" s="13">
        <v>5.0</v>
      </c>
      <c r="O49" s="13">
        <v>54.0</v>
      </c>
      <c r="P49" s="123">
        <v>0.0</v>
      </c>
      <c r="Q49" s="132"/>
      <c r="R49" s="132"/>
      <c r="S49" s="132"/>
      <c r="T49" s="126"/>
    </row>
    <row r="50" ht="15.75" customHeight="1">
      <c r="A50" s="127"/>
      <c r="B50" s="122" t="s">
        <v>2666</v>
      </c>
      <c r="C50" s="128">
        <v>9.0</v>
      </c>
      <c r="D50" s="13">
        <v>1.0</v>
      </c>
      <c r="E50" s="28">
        <v>0.49375</v>
      </c>
      <c r="F50" s="28">
        <v>0.5222222222222223</v>
      </c>
      <c r="G50" s="134" t="s">
        <v>2721</v>
      </c>
      <c r="H50" s="10" t="s">
        <v>2722</v>
      </c>
      <c r="I50" s="13">
        <v>91.0</v>
      </c>
      <c r="J50" s="13">
        <v>47.0</v>
      </c>
      <c r="K50" s="13">
        <v>39.0</v>
      </c>
      <c r="L50" s="13">
        <v>2.0</v>
      </c>
      <c r="M50" s="13">
        <v>2.0</v>
      </c>
      <c r="N50" s="13">
        <v>3.0</v>
      </c>
      <c r="O50" s="13">
        <v>82.0</v>
      </c>
      <c r="P50" s="13">
        <v>2.0</v>
      </c>
      <c r="Q50" s="132"/>
      <c r="R50" s="132"/>
      <c r="S50" s="132"/>
      <c r="T50" s="126"/>
    </row>
    <row r="51" ht="15.75" customHeight="1">
      <c r="A51" s="127"/>
      <c r="B51" s="122" t="s">
        <v>2660</v>
      </c>
      <c r="C51" s="128">
        <v>14.0</v>
      </c>
      <c r="D51" s="13">
        <v>2.0</v>
      </c>
      <c r="E51" s="28">
        <v>0.5263888888888889</v>
      </c>
      <c r="F51" s="28">
        <v>0.052083333333333336</v>
      </c>
      <c r="G51" s="130" t="s">
        <v>2723</v>
      </c>
      <c r="H51" s="10"/>
      <c r="I51" s="13">
        <v>45.0</v>
      </c>
      <c r="J51" s="13">
        <v>20.0</v>
      </c>
      <c r="K51" s="13">
        <v>18.0</v>
      </c>
      <c r="L51" s="13">
        <v>6.0</v>
      </c>
      <c r="M51" s="13">
        <v>4.0</v>
      </c>
      <c r="N51" s="131"/>
      <c r="O51" s="13">
        <v>32.0</v>
      </c>
      <c r="P51" s="131"/>
      <c r="Q51" s="132"/>
      <c r="R51" s="132"/>
      <c r="S51" s="132"/>
      <c r="T51" s="126"/>
    </row>
    <row r="52" ht="15.75" customHeight="1">
      <c r="A52" s="127"/>
      <c r="B52" s="122" t="s">
        <v>2663</v>
      </c>
      <c r="C52" s="128">
        <v>14.0</v>
      </c>
      <c r="D52" s="13">
        <v>2.0</v>
      </c>
      <c r="E52" s="28">
        <v>0.05555555555555555</v>
      </c>
      <c r="F52" s="28">
        <v>0.07916666666666666</v>
      </c>
      <c r="G52" s="130" t="s">
        <v>2724</v>
      </c>
      <c r="H52" s="10" t="s">
        <v>2725</v>
      </c>
      <c r="I52" s="13">
        <v>21.0</v>
      </c>
      <c r="J52" s="13">
        <v>3.0</v>
      </c>
      <c r="K52" s="13">
        <v>6.0</v>
      </c>
      <c r="L52" s="13">
        <v>11.0</v>
      </c>
      <c r="M52" s="13">
        <v>10.0</v>
      </c>
      <c r="N52" s="131"/>
      <c r="O52" s="13">
        <v>2.0</v>
      </c>
      <c r="P52" s="131"/>
      <c r="Q52" s="132"/>
      <c r="R52" s="132"/>
      <c r="S52" s="132"/>
      <c r="T52" s="126"/>
    </row>
    <row r="53" ht="15.75" customHeight="1">
      <c r="A53" s="127"/>
      <c r="B53" s="122" t="s">
        <v>2660</v>
      </c>
      <c r="C53" s="128">
        <v>15.0</v>
      </c>
      <c r="D53" s="13">
        <v>3.0</v>
      </c>
      <c r="E53" s="28">
        <v>0.08194444444444444</v>
      </c>
      <c r="F53" s="28">
        <v>0.11458333333333333</v>
      </c>
      <c r="G53" s="134" t="s">
        <v>2726</v>
      </c>
      <c r="H53" s="10"/>
      <c r="I53" s="13">
        <v>45.0</v>
      </c>
      <c r="J53" s="13">
        <v>25.0</v>
      </c>
      <c r="K53" s="13">
        <v>16.0</v>
      </c>
      <c r="L53" s="13">
        <v>3.0</v>
      </c>
      <c r="M53" s="13">
        <v>5.0</v>
      </c>
      <c r="N53" s="13">
        <v>1.0</v>
      </c>
      <c r="O53" s="13">
        <v>36.0</v>
      </c>
      <c r="P53" s="131"/>
      <c r="Q53" s="132"/>
      <c r="R53" s="132"/>
      <c r="S53" s="132"/>
      <c r="T53" s="126"/>
    </row>
    <row r="54" ht="15.75" customHeight="1">
      <c r="A54" s="127"/>
      <c r="B54" s="122" t="s">
        <v>2663</v>
      </c>
      <c r="C54" s="128">
        <v>15.0</v>
      </c>
      <c r="D54" s="13">
        <v>3.0</v>
      </c>
      <c r="E54" s="28">
        <v>0.11736111111111111</v>
      </c>
      <c r="F54" s="28">
        <v>0.14444444444444443</v>
      </c>
      <c r="G54" s="130" t="s">
        <v>2727</v>
      </c>
      <c r="H54" s="10" t="s">
        <v>2728</v>
      </c>
      <c r="I54" s="13">
        <v>37.0</v>
      </c>
      <c r="J54" s="13">
        <v>22.0</v>
      </c>
      <c r="K54" s="13">
        <v>8.0</v>
      </c>
      <c r="L54" s="13">
        <v>7.0</v>
      </c>
      <c r="M54" s="13">
        <v>22.0</v>
      </c>
      <c r="N54" s="131"/>
      <c r="O54" s="13">
        <v>14.0</v>
      </c>
      <c r="P54" s="131"/>
      <c r="Q54" s="132"/>
      <c r="R54" s="132"/>
      <c r="S54" s="132"/>
      <c r="T54" s="126"/>
    </row>
    <row r="55" ht="15.75" customHeight="1">
      <c r="A55" s="127"/>
      <c r="B55" s="122"/>
      <c r="C55" s="128"/>
      <c r="D55" s="13"/>
      <c r="E55" s="28"/>
      <c r="F55" s="28"/>
      <c r="G55" s="13"/>
      <c r="H55" s="10"/>
      <c r="I55" s="13"/>
      <c r="J55" s="13"/>
      <c r="K55" s="13"/>
      <c r="L55" s="13"/>
      <c r="M55" s="13"/>
      <c r="N55" s="131"/>
      <c r="O55" s="13"/>
      <c r="P55" s="131"/>
      <c r="Q55" s="132"/>
      <c r="R55" s="132"/>
      <c r="S55" s="132"/>
      <c r="T55" s="126"/>
    </row>
    <row r="56" ht="30.0" customHeight="1">
      <c r="A56" s="127">
        <v>45700.0</v>
      </c>
      <c r="B56" s="122" t="s">
        <v>2660</v>
      </c>
      <c r="C56" s="128">
        <v>16.0</v>
      </c>
      <c r="D56" s="13">
        <v>1.0</v>
      </c>
      <c r="E56" s="28">
        <v>0.4479166666666667</v>
      </c>
      <c r="F56" s="28">
        <v>0.4722222222222222</v>
      </c>
      <c r="G56" s="134" t="s">
        <v>2729</v>
      </c>
      <c r="H56" s="10" t="s">
        <v>2730</v>
      </c>
      <c r="I56" s="13">
        <v>37.0</v>
      </c>
      <c r="J56" s="13">
        <v>17.0</v>
      </c>
      <c r="K56" s="13">
        <v>19.0</v>
      </c>
      <c r="L56" s="13">
        <v>1.0</v>
      </c>
      <c r="M56" s="13">
        <v>10.0</v>
      </c>
      <c r="N56" s="13">
        <v>0.0</v>
      </c>
      <c r="O56" s="13">
        <v>15.0</v>
      </c>
      <c r="P56" s="13">
        <v>11.0</v>
      </c>
      <c r="Q56" s="132"/>
      <c r="R56" s="132"/>
      <c r="S56" s="132"/>
      <c r="T56" s="126"/>
    </row>
    <row r="57" ht="30.0" customHeight="1">
      <c r="A57" s="127"/>
      <c r="B57" s="122" t="s">
        <v>2663</v>
      </c>
      <c r="C57" s="128">
        <v>16.0</v>
      </c>
      <c r="D57" s="13">
        <v>1.0</v>
      </c>
      <c r="E57" s="28">
        <v>0.47430555555555554</v>
      </c>
      <c r="F57" s="28">
        <v>0.50625</v>
      </c>
      <c r="G57" s="130" t="s">
        <v>2731</v>
      </c>
      <c r="H57" s="10" t="s">
        <v>2732</v>
      </c>
      <c r="I57" s="13">
        <v>48.0</v>
      </c>
      <c r="J57" s="13">
        <v>23.0</v>
      </c>
      <c r="K57" s="13">
        <v>14.0</v>
      </c>
      <c r="L57" s="13">
        <v>11.0</v>
      </c>
      <c r="M57" s="13">
        <v>13.0</v>
      </c>
      <c r="N57" s="131"/>
      <c r="O57" s="13">
        <v>24.0</v>
      </c>
      <c r="P57" s="131"/>
      <c r="Q57" s="132"/>
      <c r="R57" s="132"/>
      <c r="S57" s="132"/>
      <c r="T57" s="126"/>
    </row>
    <row r="58" ht="30.0" customHeight="1">
      <c r="A58" s="127"/>
      <c r="B58" s="122" t="s">
        <v>2665</v>
      </c>
      <c r="C58" s="13">
        <v>10.0</v>
      </c>
      <c r="D58" s="13">
        <v>1.0</v>
      </c>
      <c r="E58" s="28">
        <v>0.5090277777777777</v>
      </c>
      <c r="F58" s="28">
        <v>0.5319444444444444</v>
      </c>
      <c r="G58" s="134" t="s">
        <v>2733</v>
      </c>
      <c r="H58" s="10" t="s">
        <v>2734</v>
      </c>
      <c r="I58" s="13">
        <v>65.0</v>
      </c>
      <c r="J58" s="13">
        <v>26.0</v>
      </c>
      <c r="K58" s="13">
        <v>31.0</v>
      </c>
      <c r="L58" s="13">
        <v>3.0</v>
      </c>
      <c r="M58" s="13">
        <v>2.0</v>
      </c>
      <c r="N58" s="13">
        <v>5.0</v>
      </c>
      <c r="O58" s="13">
        <v>46.0</v>
      </c>
      <c r="P58" s="13">
        <v>8.0</v>
      </c>
      <c r="Q58" s="132"/>
      <c r="R58" s="132"/>
      <c r="S58" s="132"/>
      <c r="T58" s="126"/>
    </row>
    <row r="59" ht="30.0" customHeight="1">
      <c r="A59" s="127"/>
      <c r="B59" s="122" t="s">
        <v>2666</v>
      </c>
      <c r="C59" s="128">
        <v>10.0</v>
      </c>
      <c r="D59" s="13">
        <v>1.0</v>
      </c>
      <c r="E59" s="28">
        <v>0.5340277777777778</v>
      </c>
      <c r="F59" s="28">
        <v>0.058333333333333334</v>
      </c>
      <c r="G59" s="134" t="s">
        <v>2735</v>
      </c>
      <c r="H59" s="10" t="s">
        <v>2736</v>
      </c>
      <c r="I59" s="13">
        <v>93.0</v>
      </c>
      <c r="J59" s="13">
        <v>47.0</v>
      </c>
      <c r="K59" s="13">
        <v>43.0</v>
      </c>
      <c r="L59" s="13">
        <v>3.0</v>
      </c>
      <c r="M59" s="13">
        <v>2.0</v>
      </c>
      <c r="N59" s="13">
        <v>0.0</v>
      </c>
      <c r="O59" s="13">
        <v>64.0</v>
      </c>
      <c r="P59" s="13">
        <v>25.0</v>
      </c>
      <c r="Q59" s="132"/>
      <c r="R59" s="132"/>
      <c r="S59" s="132"/>
      <c r="T59" s="126"/>
    </row>
    <row r="60" ht="30.0" customHeight="1">
      <c r="A60" s="127"/>
      <c r="B60" s="122" t="s">
        <v>2660</v>
      </c>
      <c r="C60" s="128">
        <v>17.0</v>
      </c>
      <c r="D60" s="13">
        <v>2.0</v>
      </c>
      <c r="E60" s="28">
        <v>0.06458333333333334</v>
      </c>
      <c r="F60" s="28">
        <v>0.08680555555555555</v>
      </c>
      <c r="G60" s="134" t="s">
        <v>2737</v>
      </c>
      <c r="H60" s="10" t="s">
        <v>2738</v>
      </c>
      <c r="I60" s="13">
        <v>46.0</v>
      </c>
      <c r="J60" s="13">
        <v>17.0</v>
      </c>
      <c r="K60" s="13">
        <v>27.0</v>
      </c>
      <c r="L60" s="13">
        <v>2.0</v>
      </c>
      <c r="M60" s="13">
        <v>5.0</v>
      </c>
      <c r="N60" s="13">
        <v>0.0</v>
      </c>
      <c r="O60" s="13">
        <v>36.0</v>
      </c>
      <c r="P60" s="13">
        <v>3.0</v>
      </c>
      <c r="Q60" s="132"/>
      <c r="R60" s="132"/>
      <c r="S60" s="132"/>
      <c r="T60" s="126"/>
    </row>
    <row r="61" ht="30.0" customHeight="1">
      <c r="A61" s="127"/>
      <c r="B61" s="122" t="s">
        <v>2663</v>
      </c>
      <c r="C61" s="128">
        <v>17.0</v>
      </c>
      <c r="D61" s="13">
        <v>2.0</v>
      </c>
      <c r="E61" s="28">
        <v>0.09027777777777778</v>
      </c>
      <c r="F61" s="28">
        <v>0.1284722222222222</v>
      </c>
      <c r="G61" s="130" t="s">
        <v>2739</v>
      </c>
      <c r="H61" s="10" t="s">
        <v>2740</v>
      </c>
      <c r="I61" s="13">
        <v>46.0</v>
      </c>
      <c r="J61" s="13">
        <v>19.0</v>
      </c>
      <c r="K61" s="13">
        <v>13.0</v>
      </c>
      <c r="L61" s="13">
        <v>10.0</v>
      </c>
      <c r="M61" s="13">
        <v>11.0</v>
      </c>
      <c r="N61" s="13">
        <v>2.0</v>
      </c>
      <c r="O61" s="13">
        <v>23.0</v>
      </c>
      <c r="P61" s="131"/>
      <c r="Q61" s="132"/>
      <c r="R61" s="132"/>
      <c r="S61" s="132"/>
      <c r="T61" s="126"/>
    </row>
    <row r="62" ht="38.25" customHeight="1">
      <c r="A62" s="127"/>
      <c r="B62" s="122" t="s">
        <v>2660</v>
      </c>
      <c r="C62" s="128">
        <v>18.0</v>
      </c>
      <c r="D62" s="13">
        <v>3.0</v>
      </c>
      <c r="E62" s="28">
        <v>0.13194444444444445</v>
      </c>
      <c r="F62" s="28">
        <v>0.16458333333333333</v>
      </c>
      <c r="G62" s="134" t="s">
        <v>2741</v>
      </c>
      <c r="H62" s="10" t="s">
        <v>2742</v>
      </c>
      <c r="I62" s="13">
        <v>57.0</v>
      </c>
      <c r="J62" s="13">
        <v>20.0</v>
      </c>
      <c r="K62" s="13">
        <v>33.0</v>
      </c>
      <c r="L62" s="13">
        <v>3.0</v>
      </c>
      <c r="M62" s="13">
        <v>10.0</v>
      </c>
      <c r="N62" s="13">
        <v>0.0</v>
      </c>
      <c r="O62" s="13">
        <v>21.0</v>
      </c>
      <c r="P62" s="13">
        <v>26.0</v>
      </c>
      <c r="Q62" s="132"/>
      <c r="R62" s="132"/>
      <c r="S62" s="132"/>
      <c r="T62" s="126"/>
    </row>
    <row r="63" ht="15.75" customHeight="1">
      <c r="A63" s="127"/>
      <c r="B63" s="122" t="s">
        <v>2663</v>
      </c>
      <c r="C63" s="128">
        <v>18.0</v>
      </c>
      <c r="D63" s="13">
        <v>3.0</v>
      </c>
      <c r="E63" s="28">
        <v>0.16875</v>
      </c>
      <c r="F63" s="28">
        <v>0.1909722222222222</v>
      </c>
      <c r="G63" s="130" t="s">
        <v>2743</v>
      </c>
      <c r="H63" s="10" t="s">
        <v>2744</v>
      </c>
      <c r="I63" s="13">
        <v>23.0</v>
      </c>
      <c r="J63" s="13">
        <v>12.0</v>
      </c>
      <c r="K63" s="13">
        <v>8.0</v>
      </c>
      <c r="L63" s="13">
        <v>3.0</v>
      </c>
      <c r="M63" s="13">
        <v>5.0</v>
      </c>
      <c r="N63" s="13">
        <v>0.0</v>
      </c>
      <c r="O63" s="13">
        <v>18.0</v>
      </c>
      <c r="P63" s="131"/>
      <c r="Q63" s="132"/>
      <c r="R63" s="132"/>
      <c r="S63" s="132"/>
      <c r="T63" s="126"/>
    </row>
    <row r="64" ht="15.75" customHeight="1">
      <c r="A64" s="127"/>
      <c r="B64" s="122"/>
      <c r="C64" s="128"/>
      <c r="D64" s="13"/>
      <c r="E64" s="28"/>
      <c r="F64" s="28"/>
      <c r="G64" s="13"/>
      <c r="H64" s="10"/>
      <c r="I64" s="13"/>
      <c r="J64" s="13"/>
      <c r="K64" s="13"/>
      <c r="L64" s="13"/>
      <c r="M64" s="13"/>
      <c r="N64" s="13"/>
      <c r="O64" s="13"/>
      <c r="Q64" s="132"/>
      <c r="R64" s="132"/>
      <c r="S64" s="132"/>
      <c r="T64" s="126"/>
    </row>
    <row r="65" ht="15.75" customHeight="1">
      <c r="A65" s="127">
        <v>45701.0</v>
      </c>
      <c r="B65" s="122" t="s">
        <v>2660</v>
      </c>
      <c r="C65" s="128">
        <v>19.0</v>
      </c>
      <c r="D65" s="13">
        <v>1.0</v>
      </c>
      <c r="E65" s="28">
        <v>0.38472222222222224</v>
      </c>
      <c r="F65" s="28">
        <v>0.4131944444444444</v>
      </c>
      <c r="G65" s="134" t="s">
        <v>2745</v>
      </c>
      <c r="H65" s="10" t="s">
        <v>2746</v>
      </c>
      <c r="I65" s="13">
        <v>46.0</v>
      </c>
      <c r="J65" s="13">
        <v>29.0</v>
      </c>
      <c r="K65" s="13">
        <v>16.0</v>
      </c>
      <c r="L65" s="13">
        <v>1.0</v>
      </c>
      <c r="M65" s="13">
        <v>10.0</v>
      </c>
      <c r="N65" s="13">
        <v>0.0</v>
      </c>
      <c r="O65" s="13">
        <v>18.0</v>
      </c>
      <c r="P65" s="13">
        <v>18.0</v>
      </c>
      <c r="Q65" s="132"/>
      <c r="R65" s="132">
        <f t="shared" ref="R65:R72" si="1">O65 / I65</f>
        <v>0.3913043478</v>
      </c>
      <c r="S65" s="132">
        <f t="shared" ref="S65:S72" si="2"> (P65 + O65)/I65</f>
        <v>0.7826086957</v>
      </c>
      <c r="T65" s="126">
        <f t="shared" ref="T65:T72" si="3"> O65 / P65</f>
        <v>1</v>
      </c>
    </row>
    <row r="66" ht="15.75" customHeight="1">
      <c r="A66" s="127"/>
      <c r="B66" s="122" t="s">
        <v>2663</v>
      </c>
      <c r="C66" s="128">
        <v>19.0</v>
      </c>
      <c r="D66" s="13">
        <v>1.0</v>
      </c>
      <c r="E66" s="28">
        <v>0.4173611111111111</v>
      </c>
      <c r="F66" s="28">
        <v>0.4444444444444444</v>
      </c>
      <c r="G66" s="134" t="s">
        <v>2747</v>
      </c>
      <c r="H66" s="10" t="s">
        <v>2748</v>
      </c>
      <c r="I66" s="13">
        <v>27.0</v>
      </c>
      <c r="J66" s="13">
        <v>10.0</v>
      </c>
      <c r="K66" s="13">
        <v>10.0</v>
      </c>
      <c r="L66" s="13">
        <v>6.0</v>
      </c>
      <c r="M66" s="13">
        <v>11.0</v>
      </c>
      <c r="N66" s="13">
        <v>1.0</v>
      </c>
      <c r="O66" s="13">
        <v>3.0</v>
      </c>
      <c r="P66" s="13">
        <v>7.0</v>
      </c>
      <c r="Q66" s="132"/>
      <c r="R66" s="132">
        <f t="shared" si="1"/>
        <v>0.1111111111</v>
      </c>
      <c r="S66" s="132">
        <f t="shared" si="2"/>
        <v>0.3703703704</v>
      </c>
      <c r="T66" s="126">
        <f t="shared" si="3"/>
        <v>0.4285714286</v>
      </c>
    </row>
    <row r="67" ht="15.75" customHeight="1">
      <c r="A67" s="127"/>
      <c r="B67" s="122" t="s">
        <v>2665</v>
      </c>
      <c r="C67" s="128">
        <v>11.0</v>
      </c>
      <c r="D67" s="13">
        <v>1.0</v>
      </c>
      <c r="E67" s="28">
        <v>0.4486111111111111</v>
      </c>
      <c r="F67" s="28">
        <v>0.48194444444444445</v>
      </c>
      <c r="G67" s="26" t="s">
        <v>2749</v>
      </c>
      <c r="H67" s="10" t="s">
        <v>2750</v>
      </c>
      <c r="I67" s="13">
        <v>59.0</v>
      </c>
      <c r="J67" s="13">
        <v>37.0</v>
      </c>
      <c r="K67" s="13">
        <v>20.0</v>
      </c>
      <c r="L67" s="13">
        <v>0.0</v>
      </c>
      <c r="M67" s="13">
        <v>10.0</v>
      </c>
      <c r="N67" s="13">
        <v>1.0</v>
      </c>
      <c r="O67" s="13">
        <v>31.0</v>
      </c>
      <c r="P67" s="13">
        <v>18.0</v>
      </c>
      <c r="Q67" s="132"/>
      <c r="R67" s="132">
        <f t="shared" si="1"/>
        <v>0.5254237288</v>
      </c>
      <c r="S67" s="132">
        <f t="shared" si="2"/>
        <v>0.8305084746</v>
      </c>
      <c r="T67" s="126">
        <f t="shared" si="3"/>
        <v>1.722222222</v>
      </c>
    </row>
    <row r="68" ht="15.75" customHeight="1">
      <c r="A68" s="127"/>
      <c r="B68" s="122" t="s">
        <v>2666</v>
      </c>
      <c r="C68" s="128">
        <v>11.0</v>
      </c>
      <c r="D68" s="13">
        <v>1.0</v>
      </c>
      <c r="E68" s="28">
        <v>0.4847222222222222</v>
      </c>
      <c r="F68" s="28">
        <v>0.51875</v>
      </c>
      <c r="G68" s="134" t="s">
        <v>2751</v>
      </c>
      <c r="H68" s="10" t="s">
        <v>2752</v>
      </c>
      <c r="I68" s="13">
        <v>80.0</v>
      </c>
      <c r="J68" s="13">
        <v>39.0</v>
      </c>
      <c r="K68" s="13">
        <v>38.0</v>
      </c>
      <c r="L68" s="13">
        <v>1.0</v>
      </c>
      <c r="M68" s="13">
        <v>8.0</v>
      </c>
      <c r="N68" s="13">
        <v>2.0</v>
      </c>
      <c r="O68" s="13">
        <v>49.0</v>
      </c>
      <c r="P68" s="13">
        <v>22.0</v>
      </c>
      <c r="Q68" s="132"/>
      <c r="R68" s="132">
        <f t="shared" si="1"/>
        <v>0.6125</v>
      </c>
      <c r="S68" s="132">
        <f t="shared" si="2"/>
        <v>0.8875</v>
      </c>
      <c r="T68" s="126">
        <f t="shared" si="3"/>
        <v>2.227272727</v>
      </c>
    </row>
    <row r="69" ht="15.75" customHeight="1">
      <c r="A69" s="127"/>
      <c r="B69" s="122" t="s">
        <v>2660</v>
      </c>
      <c r="C69" s="128">
        <v>20.0</v>
      </c>
      <c r="D69" s="13">
        <v>2.0</v>
      </c>
      <c r="E69" s="28">
        <v>0.5215277777777778</v>
      </c>
      <c r="F69" s="28">
        <v>0.05347222222222222</v>
      </c>
      <c r="G69" s="134" t="s">
        <v>2753</v>
      </c>
      <c r="H69" s="10" t="s">
        <v>2754</v>
      </c>
      <c r="I69" s="13">
        <v>46.0</v>
      </c>
      <c r="J69" s="13">
        <v>17.0</v>
      </c>
      <c r="K69" s="13">
        <v>26.0</v>
      </c>
      <c r="L69" s="13">
        <v>2.0</v>
      </c>
      <c r="M69" s="13">
        <v>5.0</v>
      </c>
      <c r="N69" s="13">
        <v>0.0</v>
      </c>
      <c r="O69" s="13">
        <v>36.0</v>
      </c>
      <c r="P69" s="13">
        <v>3.0</v>
      </c>
      <c r="Q69" s="132"/>
      <c r="R69" s="132">
        <f t="shared" si="1"/>
        <v>0.7826086957</v>
      </c>
      <c r="S69" s="132">
        <f t="shared" si="2"/>
        <v>0.847826087</v>
      </c>
      <c r="T69" s="126">
        <f t="shared" si="3"/>
        <v>12</v>
      </c>
    </row>
    <row r="70" ht="15.75" customHeight="1">
      <c r="A70" s="127"/>
      <c r="B70" s="122" t="s">
        <v>2663</v>
      </c>
      <c r="C70" s="128">
        <v>20.0</v>
      </c>
      <c r="D70" s="13">
        <v>2.0</v>
      </c>
      <c r="E70" s="28">
        <v>0.05694444444444444</v>
      </c>
      <c r="F70" s="28">
        <v>0.08888888888888889</v>
      </c>
      <c r="G70" s="134" t="s">
        <v>2755</v>
      </c>
      <c r="H70" s="10" t="s">
        <v>2756</v>
      </c>
      <c r="I70" s="13">
        <v>43.0</v>
      </c>
      <c r="J70" s="13">
        <v>16.0</v>
      </c>
      <c r="K70" s="13">
        <v>20.0</v>
      </c>
      <c r="L70" s="13">
        <v>5.0</v>
      </c>
      <c r="M70" s="13">
        <v>11.0</v>
      </c>
      <c r="N70" s="13">
        <v>1.0</v>
      </c>
      <c r="O70" s="13">
        <v>9.0</v>
      </c>
      <c r="P70" s="13">
        <v>18.0</v>
      </c>
      <c r="Q70" s="132"/>
      <c r="R70" s="132">
        <f t="shared" si="1"/>
        <v>0.2093023256</v>
      </c>
      <c r="S70" s="132">
        <f t="shared" si="2"/>
        <v>0.6279069767</v>
      </c>
      <c r="T70" s="126">
        <f t="shared" si="3"/>
        <v>0.5</v>
      </c>
    </row>
    <row r="71" ht="15.75" customHeight="1">
      <c r="A71" s="127"/>
      <c r="B71" s="122" t="s">
        <v>2665</v>
      </c>
      <c r="C71" s="128">
        <v>12.0</v>
      </c>
      <c r="D71" s="13">
        <v>2.0</v>
      </c>
      <c r="E71" s="28">
        <v>0.09305555555555556</v>
      </c>
      <c r="F71" s="28">
        <v>0.12013888888888889</v>
      </c>
      <c r="G71" s="26" t="s">
        <v>2757</v>
      </c>
      <c r="H71" s="10" t="s">
        <v>2758</v>
      </c>
      <c r="I71" s="13">
        <v>42.0</v>
      </c>
      <c r="J71" s="13">
        <v>19.0</v>
      </c>
      <c r="K71" s="13">
        <v>18.0</v>
      </c>
      <c r="L71" s="13">
        <v>3.0</v>
      </c>
      <c r="M71" s="13">
        <v>6.0</v>
      </c>
      <c r="N71" s="13">
        <v>1.0</v>
      </c>
      <c r="O71" s="13">
        <v>6.0</v>
      </c>
      <c r="P71" s="13">
        <v>25.0</v>
      </c>
      <c r="Q71" s="132"/>
      <c r="R71" s="132">
        <f t="shared" si="1"/>
        <v>0.1428571429</v>
      </c>
      <c r="S71" s="132">
        <f t="shared" si="2"/>
        <v>0.7380952381</v>
      </c>
      <c r="T71" s="126">
        <f t="shared" si="3"/>
        <v>0.24</v>
      </c>
    </row>
    <row r="72" ht="15.75" customHeight="1">
      <c r="A72" s="127"/>
      <c r="B72" s="122" t="s">
        <v>2666</v>
      </c>
      <c r="C72" s="128">
        <v>12.0</v>
      </c>
      <c r="D72" s="13">
        <v>2.0</v>
      </c>
      <c r="E72" s="28">
        <v>0.12291666666666666</v>
      </c>
      <c r="F72" s="28">
        <v>0.15</v>
      </c>
      <c r="G72" s="134" t="s">
        <v>2751</v>
      </c>
      <c r="H72" s="10" t="s">
        <v>2759</v>
      </c>
      <c r="I72" s="13">
        <v>66.0</v>
      </c>
      <c r="J72" s="13">
        <v>35.0</v>
      </c>
      <c r="K72" s="13">
        <v>28.0</v>
      </c>
      <c r="L72" s="13">
        <v>2.0</v>
      </c>
      <c r="M72" s="13">
        <v>6.0</v>
      </c>
      <c r="N72" s="13">
        <v>1.0</v>
      </c>
      <c r="O72" s="13">
        <v>47.0</v>
      </c>
      <c r="P72" s="13">
        <v>11.0</v>
      </c>
      <c r="Q72" s="132"/>
      <c r="R72" s="132">
        <f t="shared" si="1"/>
        <v>0.7121212121</v>
      </c>
      <c r="S72" s="132">
        <f t="shared" si="2"/>
        <v>0.8787878788</v>
      </c>
      <c r="T72" s="126">
        <f t="shared" si="3"/>
        <v>4.272727273</v>
      </c>
    </row>
    <row r="73" ht="15.75" customHeight="1">
      <c r="A73" s="127"/>
      <c r="B73" s="122"/>
      <c r="C73" s="128"/>
      <c r="D73" s="13"/>
      <c r="E73" s="28"/>
      <c r="F73" s="28"/>
      <c r="G73" s="13"/>
      <c r="H73" s="10"/>
      <c r="I73" s="13"/>
      <c r="J73" s="13"/>
      <c r="K73" s="13"/>
      <c r="L73" s="13"/>
      <c r="M73" s="13"/>
      <c r="N73" s="13"/>
      <c r="O73" s="13"/>
      <c r="P73" s="13"/>
      <c r="Q73" s="132"/>
      <c r="R73" s="132"/>
      <c r="S73" s="132"/>
      <c r="T73" s="126"/>
    </row>
    <row r="74" ht="15.75" customHeight="1">
      <c r="A74" s="127">
        <v>45702.0</v>
      </c>
      <c r="B74" s="122" t="s">
        <v>2660</v>
      </c>
      <c r="C74" s="128">
        <v>21.0</v>
      </c>
      <c r="D74" s="13">
        <v>1.0</v>
      </c>
      <c r="E74" s="28">
        <v>0.4131944444444444</v>
      </c>
      <c r="F74" s="28">
        <v>0.44583333333333336</v>
      </c>
      <c r="G74" s="26" t="s">
        <v>2760</v>
      </c>
      <c r="H74" s="10" t="s">
        <v>2761</v>
      </c>
      <c r="I74" s="13">
        <v>39.0</v>
      </c>
      <c r="J74" s="13">
        <v>21.0</v>
      </c>
      <c r="K74" s="13">
        <v>16.0</v>
      </c>
      <c r="L74" s="13">
        <v>1.0</v>
      </c>
      <c r="M74" s="13">
        <v>23.0</v>
      </c>
      <c r="N74" s="13">
        <v>1.0</v>
      </c>
      <c r="O74" s="13">
        <v>3.0</v>
      </c>
      <c r="P74" s="13">
        <v>12.0</v>
      </c>
      <c r="Q74" s="132"/>
      <c r="R74" s="132">
        <f t="shared" ref="R74:R80" si="4">O74 / I74</f>
        <v>0.07692307692</v>
      </c>
      <c r="S74" s="132">
        <f t="shared" ref="S74:S80" si="5"> (P74 + O74)/I74</f>
        <v>0.3846153846</v>
      </c>
      <c r="T74" s="126">
        <f t="shared" ref="T74:T80" si="6"> O74 / P74</f>
        <v>0.25</v>
      </c>
    </row>
    <row r="75" ht="15.75" customHeight="1">
      <c r="A75" s="127"/>
      <c r="B75" s="122" t="s">
        <v>2663</v>
      </c>
      <c r="C75" s="128">
        <v>21.0</v>
      </c>
      <c r="D75" s="13">
        <v>1.0</v>
      </c>
      <c r="E75" s="28">
        <v>0.45069444444444445</v>
      </c>
      <c r="F75" s="28">
        <v>0.47847222222222224</v>
      </c>
      <c r="G75" s="134" t="s">
        <v>2762</v>
      </c>
      <c r="H75" s="10" t="s">
        <v>2763</v>
      </c>
      <c r="I75" s="13">
        <v>34.0</v>
      </c>
      <c r="J75" s="13">
        <v>20.0</v>
      </c>
      <c r="K75" s="13">
        <v>11.0</v>
      </c>
      <c r="L75" s="13">
        <v>3.0</v>
      </c>
      <c r="M75" s="13">
        <v>12.0</v>
      </c>
      <c r="N75" s="13">
        <v>0.0</v>
      </c>
      <c r="O75" s="13">
        <v>9.0</v>
      </c>
      <c r="P75" s="13">
        <v>10.0</v>
      </c>
      <c r="Q75" s="132"/>
      <c r="R75" s="132">
        <f t="shared" si="4"/>
        <v>0.2647058824</v>
      </c>
      <c r="S75" s="132">
        <f t="shared" si="5"/>
        <v>0.5588235294</v>
      </c>
      <c r="T75" s="126">
        <f t="shared" si="6"/>
        <v>0.9</v>
      </c>
    </row>
    <row r="76" ht="15.75" customHeight="1">
      <c r="A76" s="127"/>
      <c r="B76" s="122" t="s">
        <v>2665</v>
      </c>
      <c r="C76" s="128">
        <v>13.0</v>
      </c>
      <c r="D76" s="13">
        <v>1.0</v>
      </c>
      <c r="E76" s="28">
        <v>0.48125</v>
      </c>
      <c r="F76" s="28">
        <v>0.5118055555555555</v>
      </c>
      <c r="G76" s="26" t="s">
        <v>2764</v>
      </c>
      <c r="H76" s="10" t="s">
        <v>2765</v>
      </c>
      <c r="I76" s="13">
        <v>77.0</v>
      </c>
      <c r="J76" s="13">
        <v>35.0</v>
      </c>
      <c r="K76" s="13">
        <v>40.0</v>
      </c>
      <c r="L76" s="13">
        <v>1.0</v>
      </c>
      <c r="M76" s="13">
        <v>5.0</v>
      </c>
      <c r="N76" s="13">
        <v>1.0</v>
      </c>
      <c r="O76" s="13">
        <v>57.0</v>
      </c>
      <c r="P76" s="13">
        <v>14.0</v>
      </c>
      <c r="Q76" s="132"/>
      <c r="R76" s="132">
        <f t="shared" si="4"/>
        <v>0.7402597403</v>
      </c>
      <c r="S76" s="132">
        <f t="shared" si="5"/>
        <v>0.9220779221</v>
      </c>
      <c r="T76" s="126">
        <f t="shared" si="6"/>
        <v>4.071428571</v>
      </c>
    </row>
    <row r="77" ht="15.75" customHeight="1">
      <c r="A77" s="127"/>
      <c r="B77" s="122" t="s">
        <v>2666</v>
      </c>
      <c r="C77" s="128">
        <v>13.0</v>
      </c>
      <c r="D77" s="13">
        <v>1.0</v>
      </c>
      <c r="E77" s="28">
        <v>0.5159722222222223</v>
      </c>
      <c r="F77" s="28">
        <v>0.043055555555555555</v>
      </c>
      <c r="G77" s="26" t="s">
        <v>2766</v>
      </c>
      <c r="H77" s="10" t="s">
        <v>2767</v>
      </c>
      <c r="I77" s="13">
        <v>56.0</v>
      </c>
      <c r="J77" s="13">
        <v>27.0</v>
      </c>
      <c r="K77" s="13">
        <v>24.0</v>
      </c>
      <c r="L77" s="13">
        <v>4.0</v>
      </c>
      <c r="M77" s="13">
        <v>13.0</v>
      </c>
      <c r="N77" s="13">
        <v>0.0</v>
      </c>
      <c r="O77" s="13">
        <v>16.0</v>
      </c>
      <c r="P77" s="13">
        <v>24.0</v>
      </c>
      <c r="Q77" s="132"/>
      <c r="R77" s="132">
        <f t="shared" si="4"/>
        <v>0.2857142857</v>
      </c>
      <c r="S77" s="132">
        <f t="shared" si="5"/>
        <v>0.7142857143</v>
      </c>
      <c r="T77" s="126">
        <f t="shared" si="6"/>
        <v>0.6666666667</v>
      </c>
    </row>
    <row r="78" ht="15.75" customHeight="1">
      <c r="A78" s="127"/>
      <c r="B78" s="122" t="s">
        <v>2660</v>
      </c>
      <c r="C78" s="128">
        <v>22.0</v>
      </c>
      <c r="D78" s="13">
        <v>2.0</v>
      </c>
      <c r="E78" s="28">
        <v>0.04652777777777778</v>
      </c>
      <c r="F78" s="28">
        <v>0.0763888888888889</v>
      </c>
      <c r="G78" s="26" t="s">
        <v>2768</v>
      </c>
      <c r="H78" s="10" t="s">
        <v>2769</v>
      </c>
      <c r="I78" s="13">
        <v>46.0</v>
      </c>
      <c r="J78" s="13">
        <v>25.0</v>
      </c>
      <c r="K78" s="13">
        <v>20.0</v>
      </c>
      <c r="L78" s="13">
        <v>1.0</v>
      </c>
      <c r="M78" s="13">
        <v>13.0</v>
      </c>
      <c r="N78" s="13">
        <v>0.0</v>
      </c>
      <c r="O78" s="13">
        <v>17.0</v>
      </c>
      <c r="P78" s="13">
        <v>15.0</v>
      </c>
      <c r="Q78" s="132"/>
      <c r="R78" s="132">
        <f t="shared" si="4"/>
        <v>0.3695652174</v>
      </c>
      <c r="S78" s="132">
        <f t="shared" si="5"/>
        <v>0.6956521739</v>
      </c>
      <c r="T78" s="126">
        <f t="shared" si="6"/>
        <v>1.133333333</v>
      </c>
    </row>
    <row r="79" ht="15.75" customHeight="1">
      <c r="A79" s="127"/>
      <c r="B79" s="122" t="s">
        <v>2663</v>
      </c>
      <c r="C79" s="128">
        <v>22.0</v>
      </c>
      <c r="D79" s="13">
        <v>2.0</v>
      </c>
      <c r="E79" s="28">
        <v>0.07916666666666666</v>
      </c>
      <c r="F79" s="28">
        <v>0.12222222222222222</v>
      </c>
      <c r="G79" s="134" t="s">
        <v>2770</v>
      </c>
      <c r="H79" s="10" t="s">
        <v>2771</v>
      </c>
      <c r="I79" s="13">
        <v>62.0</v>
      </c>
      <c r="J79" s="13">
        <v>35.0</v>
      </c>
      <c r="K79" s="13">
        <v>20.0</v>
      </c>
      <c r="L79" s="13">
        <v>7.0</v>
      </c>
      <c r="M79" s="13">
        <v>11.0</v>
      </c>
      <c r="N79" s="13">
        <v>0.0</v>
      </c>
      <c r="O79" s="13">
        <v>25.0</v>
      </c>
      <c r="P79" s="13">
        <v>20.0</v>
      </c>
      <c r="Q79" s="132"/>
      <c r="R79" s="132">
        <f t="shared" si="4"/>
        <v>0.4032258065</v>
      </c>
      <c r="S79" s="132">
        <f t="shared" si="5"/>
        <v>0.7258064516</v>
      </c>
      <c r="T79" s="126">
        <f t="shared" si="6"/>
        <v>1.25</v>
      </c>
    </row>
    <row r="80" ht="15.75" customHeight="1">
      <c r="A80" s="127"/>
      <c r="B80" s="122" t="s">
        <v>2660</v>
      </c>
      <c r="C80" s="128">
        <v>23.0</v>
      </c>
      <c r="D80" s="13">
        <v>3.0</v>
      </c>
      <c r="E80" s="28">
        <v>0.125</v>
      </c>
      <c r="F80" s="28">
        <v>0.15555555555555556</v>
      </c>
      <c r="G80" s="26" t="s">
        <v>2772</v>
      </c>
      <c r="H80" s="10" t="s">
        <v>2773</v>
      </c>
      <c r="I80" s="13">
        <v>61.0</v>
      </c>
      <c r="J80" s="13">
        <v>28.0</v>
      </c>
      <c r="K80" s="13">
        <v>31.0</v>
      </c>
      <c r="L80" s="13">
        <v>1.0</v>
      </c>
      <c r="M80" s="13">
        <v>6.0</v>
      </c>
      <c r="N80" s="13">
        <v>0.0</v>
      </c>
      <c r="O80" s="13">
        <v>44.0</v>
      </c>
      <c r="P80" s="13">
        <v>9.0</v>
      </c>
      <c r="Q80" s="132"/>
      <c r="R80" s="132">
        <f t="shared" si="4"/>
        <v>0.7213114754</v>
      </c>
      <c r="S80" s="132">
        <f t="shared" si="5"/>
        <v>0.868852459</v>
      </c>
      <c r="T80" s="126">
        <f t="shared" si="6"/>
        <v>4.888888889</v>
      </c>
    </row>
    <row r="81" ht="15.75" customHeight="1">
      <c r="A81" s="127"/>
      <c r="B81" s="122"/>
      <c r="C81" s="128"/>
      <c r="E81" s="28"/>
      <c r="F81" s="28"/>
      <c r="G81" s="20"/>
      <c r="H81" s="10"/>
      <c r="I81" s="13"/>
      <c r="J81" s="13"/>
      <c r="K81" s="13"/>
      <c r="L81" s="13"/>
      <c r="M81" s="13"/>
      <c r="N81" s="13"/>
      <c r="O81" s="13"/>
      <c r="Q81" s="132"/>
      <c r="R81" s="132"/>
      <c r="S81" s="132"/>
      <c r="T81" s="126"/>
    </row>
    <row r="82" ht="15.75" customHeight="1">
      <c r="A82" s="127">
        <v>45706.0</v>
      </c>
      <c r="B82" s="122" t="s">
        <v>2660</v>
      </c>
      <c r="C82" s="128">
        <v>24.0</v>
      </c>
      <c r="D82" s="13">
        <v>1.0</v>
      </c>
      <c r="E82" s="28">
        <v>0.4125</v>
      </c>
      <c r="F82" s="28">
        <v>0.43680555555555556</v>
      </c>
      <c r="G82" s="26" t="s">
        <v>2774</v>
      </c>
      <c r="H82" s="10" t="s">
        <v>2775</v>
      </c>
      <c r="I82" s="13">
        <v>47.0</v>
      </c>
      <c r="J82" s="13">
        <v>20.0</v>
      </c>
      <c r="K82" s="13">
        <v>22.0</v>
      </c>
      <c r="L82" s="13">
        <v>1.0</v>
      </c>
      <c r="M82" s="13">
        <v>11.0</v>
      </c>
      <c r="N82" s="13">
        <v>4.0</v>
      </c>
      <c r="O82" s="13">
        <v>58.0</v>
      </c>
      <c r="P82" s="13">
        <v>18.0</v>
      </c>
      <c r="Q82" s="132"/>
      <c r="R82" s="132">
        <f t="shared" ref="R82:R89" si="7">O82 / I82</f>
        <v>1.234042553</v>
      </c>
      <c r="S82" s="132">
        <f t="shared" ref="S82:S89" si="8"> (P82 + O82)/I82</f>
        <v>1.617021277</v>
      </c>
      <c r="T82" s="126">
        <f t="shared" ref="T82:T89" si="9"> O82 / P82</f>
        <v>3.222222222</v>
      </c>
    </row>
    <row r="83" ht="15.75" customHeight="1">
      <c r="A83" s="127"/>
      <c r="B83" s="122" t="s">
        <v>2663</v>
      </c>
      <c r="C83" s="128">
        <v>23.0</v>
      </c>
      <c r="D83" s="13">
        <v>1.0</v>
      </c>
      <c r="E83" s="28">
        <v>0.4409722222222222</v>
      </c>
      <c r="F83" s="28">
        <v>0.4708333333333333</v>
      </c>
      <c r="G83" s="134" t="s">
        <v>2770</v>
      </c>
      <c r="H83" s="10" t="s">
        <v>2776</v>
      </c>
      <c r="I83" s="13">
        <v>57.0</v>
      </c>
      <c r="J83" s="13">
        <v>29.0</v>
      </c>
      <c r="K83" s="13">
        <v>24.0</v>
      </c>
      <c r="L83" s="13">
        <v>2.0</v>
      </c>
      <c r="M83" s="13">
        <v>6.0</v>
      </c>
      <c r="N83" s="13">
        <v>2.0</v>
      </c>
      <c r="O83" s="13">
        <v>32.0</v>
      </c>
      <c r="P83" s="13">
        <v>15.0</v>
      </c>
      <c r="Q83" s="132"/>
      <c r="R83" s="132">
        <f t="shared" si="7"/>
        <v>0.5614035088</v>
      </c>
      <c r="S83" s="132">
        <f t="shared" si="8"/>
        <v>0.8245614035</v>
      </c>
      <c r="T83" s="126">
        <f t="shared" si="9"/>
        <v>2.133333333</v>
      </c>
    </row>
    <row r="84" ht="15.75" customHeight="1">
      <c r="A84" s="127"/>
      <c r="B84" s="122" t="s">
        <v>2665</v>
      </c>
      <c r="C84" s="128">
        <v>14.0</v>
      </c>
      <c r="D84" s="13">
        <v>1.0</v>
      </c>
      <c r="E84" s="28">
        <v>0.475</v>
      </c>
      <c r="F84" s="28">
        <v>0.49722222222222223</v>
      </c>
      <c r="G84" s="26" t="s">
        <v>2764</v>
      </c>
      <c r="H84" s="10"/>
      <c r="I84" s="13">
        <v>56.0</v>
      </c>
      <c r="J84" s="13">
        <v>26.0</v>
      </c>
      <c r="K84" s="13">
        <v>24.0</v>
      </c>
      <c r="L84" s="13">
        <v>5.0</v>
      </c>
      <c r="M84" s="13">
        <v>5.0</v>
      </c>
      <c r="N84" s="13">
        <v>0.0</v>
      </c>
      <c r="O84" s="13">
        <v>30.0</v>
      </c>
      <c r="P84" s="13">
        <v>16.0</v>
      </c>
      <c r="Q84" s="132"/>
      <c r="R84" s="132">
        <f t="shared" si="7"/>
        <v>0.5357142857</v>
      </c>
      <c r="S84" s="132">
        <f t="shared" si="8"/>
        <v>0.8214285714</v>
      </c>
      <c r="T84" s="126">
        <f t="shared" si="9"/>
        <v>1.875</v>
      </c>
    </row>
    <row r="85" ht="15.75" customHeight="1">
      <c r="A85" s="127"/>
      <c r="B85" s="122" t="s">
        <v>2666</v>
      </c>
      <c r="C85" s="128">
        <v>14.0</v>
      </c>
      <c r="D85" s="13">
        <v>1.0</v>
      </c>
      <c r="E85" s="28">
        <v>0.5</v>
      </c>
      <c r="F85" s="28">
        <v>0.5263888888888889</v>
      </c>
      <c r="G85" s="26" t="s">
        <v>2777</v>
      </c>
      <c r="H85" s="10"/>
      <c r="I85" s="13">
        <v>71.0</v>
      </c>
      <c r="J85" s="13">
        <v>37.0</v>
      </c>
      <c r="K85" s="13">
        <v>27.0</v>
      </c>
      <c r="L85" s="13">
        <v>2.0</v>
      </c>
      <c r="M85" s="13">
        <v>4.0</v>
      </c>
      <c r="N85" s="13">
        <v>5.0</v>
      </c>
      <c r="O85" s="13">
        <v>58.0</v>
      </c>
      <c r="P85" s="13">
        <v>4.0</v>
      </c>
      <c r="Q85" s="132"/>
      <c r="R85" s="132">
        <f t="shared" si="7"/>
        <v>0.8169014085</v>
      </c>
      <c r="S85" s="132">
        <f t="shared" si="8"/>
        <v>0.8732394366</v>
      </c>
      <c r="T85" s="126">
        <f t="shared" si="9"/>
        <v>14.5</v>
      </c>
    </row>
    <row r="86" ht="15.75" customHeight="1">
      <c r="A86" s="127"/>
      <c r="B86" s="122" t="s">
        <v>2660</v>
      </c>
      <c r="C86" s="128">
        <v>25.0</v>
      </c>
      <c r="D86" s="13">
        <v>2.0</v>
      </c>
      <c r="E86" s="28">
        <v>0.5284722222222222</v>
      </c>
      <c r="F86" s="28">
        <v>0.05486111111111111</v>
      </c>
      <c r="G86" s="26" t="s">
        <v>2778</v>
      </c>
      <c r="H86" s="10"/>
      <c r="I86" s="13">
        <v>48.0</v>
      </c>
      <c r="J86" s="13">
        <v>22.0</v>
      </c>
      <c r="K86" s="13">
        <v>21.0</v>
      </c>
      <c r="L86" s="13">
        <v>4.0</v>
      </c>
      <c r="M86" s="13">
        <v>10.0</v>
      </c>
      <c r="N86" s="13">
        <v>1.0</v>
      </c>
      <c r="O86" s="13">
        <v>21.0</v>
      </c>
      <c r="P86" s="13">
        <v>12.0</v>
      </c>
      <c r="Q86" s="132"/>
      <c r="R86" s="132">
        <f t="shared" si="7"/>
        <v>0.4375</v>
      </c>
      <c r="S86" s="132">
        <f t="shared" si="8"/>
        <v>0.6875</v>
      </c>
      <c r="T86" s="126">
        <f t="shared" si="9"/>
        <v>1.75</v>
      </c>
    </row>
    <row r="87" ht="15.75" customHeight="1">
      <c r="A87" s="127"/>
      <c r="B87" s="122" t="s">
        <v>2663</v>
      </c>
      <c r="C87" s="128">
        <v>24.0</v>
      </c>
      <c r="D87" s="13">
        <v>2.0</v>
      </c>
      <c r="E87" s="28">
        <v>0.05694444444444444</v>
      </c>
      <c r="F87" s="28">
        <v>0.08055555555555556</v>
      </c>
      <c r="G87" s="26" t="s">
        <v>2779</v>
      </c>
      <c r="H87" s="10" t="s">
        <v>2780</v>
      </c>
      <c r="I87" s="13">
        <v>39.0</v>
      </c>
      <c r="J87" s="13">
        <v>18.0</v>
      </c>
      <c r="K87" s="13">
        <v>18.0</v>
      </c>
      <c r="L87" s="13">
        <v>3.0</v>
      </c>
      <c r="M87" s="13">
        <v>7.0</v>
      </c>
      <c r="N87" s="13">
        <v>0.0</v>
      </c>
      <c r="O87" s="13">
        <v>3.0</v>
      </c>
      <c r="P87" s="13">
        <v>26.0</v>
      </c>
      <c r="Q87" s="132"/>
      <c r="R87" s="132">
        <f t="shared" si="7"/>
        <v>0.07692307692</v>
      </c>
      <c r="S87" s="132">
        <f t="shared" si="8"/>
        <v>0.7435897436</v>
      </c>
      <c r="T87" s="126">
        <f t="shared" si="9"/>
        <v>0.1153846154</v>
      </c>
    </row>
    <row r="88" ht="15.75" customHeight="1">
      <c r="A88" s="127"/>
      <c r="B88" s="122" t="s">
        <v>2665</v>
      </c>
      <c r="C88" s="128">
        <v>15.0</v>
      </c>
      <c r="D88" s="13">
        <v>2.0</v>
      </c>
      <c r="E88" s="28">
        <v>0.5819444444444445</v>
      </c>
      <c r="F88" s="28">
        <v>0.1076388888888889</v>
      </c>
      <c r="G88" s="26" t="s">
        <v>2781</v>
      </c>
      <c r="H88" s="10" t="s">
        <v>2782</v>
      </c>
      <c r="I88" s="13">
        <v>48.0</v>
      </c>
      <c r="J88" s="13">
        <v>25.0</v>
      </c>
      <c r="K88" s="13">
        <v>21.0</v>
      </c>
      <c r="L88" s="13">
        <v>0.0</v>
      </c>
      <c r="M88" s="13">
        <v>3.0</v>
      </c>
      <c r="N88" s="13">
        <v>1.0</v>
      </c>
      <c r="O88" s="13">
        <v>40.0</v>
      </c>
      <c r="P88" s="13">
        <v>4.0</v>
      </c>
      <c r="Q88" s="132"/>
      <c r="R88" s="132">
        <f t="shared" si="7"/>
        <v>0.8333333333</v>
      </c>
      <c r="S88" s="132">
        <f t="shared" si="8"/>
        <v>0.9166666667</v>
      </c>
      <c r="T88" s="126">
        <f t="shared" si="9"/>
        <v>10</v>
      </c>
    </row>
    <row r="89" ht="15.75" customHeight="1">
      <c r="A89" s="127"/>
      <c r="B89" s="122" t="s">
        <v>2666</v>
      </c>
      <c r="C89" s="128">
        <v>15.0</v>
      </c>
      <c r="D89" s="13">
        <v>2.0</v>
      </c>
      <c r="E89" s="28">
        <v>0.1125</v>
      </c>
      <c r="F89" s="28">
        <v>0.13541666666666666</v>
      </c>
      <c r="G89" s="26" t="s">
        <v>2783</v>
      </c>
      <c r="H89" s="10"/>
      <c r="I89" s="13">
        <v>71.0</v>
      </c>
      <c r="J89" s="13">
        <v>30.0</v>
      </c>
      <c r="K89" s="13">
        <v>35.0</v>
      </c>
      <c r="L89" s="13">
        <v>5.0</v>
      </c>
      <c r="M89" s="13">
        <v>7.0</v>
      </c>
      <c r="N89" s="13">
        <v>1.0</v>
      </c>
      <c r="O89" s="13">
        <v>32.0</v>
      </c>
      <c r="P89" s="13">
        <v>26.0</v>
      </c>
      <c r="Q89" s="132"/>
      <c r="R89" s="132">
        <f t="shared" si="7"/>
        <v>0.4507042254</v>
      </c>
      <c r="S89" s="132">
        <f t="shared" si="8"/>
        <v>0.8169014085</v>
      </c>
      <c r="T89" s="126">
        <f t="shared" si="9"/>
        <v>1.230769231</v>
      </c>
    </row>
    <row r="90" ht="15.75" customHeight="1">
      <c r="A90" s="127"/>
      <c r="B90" s="122"/>
      <c r="C90" s="128"/>
      <c r="D90" s="13"/>
      <c r="E90" s="28"/>
      <c r="F90" s="28"/>
      <c r="G90" s="13"/>
      <c r="H90" s="10"/>
      <c r="I90" s="13"/>
      <c r="J90" s="13"/>
      <c r="K90" s="13"/>
      <c r="L90" s="13"/>
      <c r="M90" s="13"/>
      <c r="N90" s="13"/>
      <c r="O90" s="13"/>
      <c r="P90" s="13"/>
      <c r="Q90" s="132"/>
      <c r="R90" s="132"/>
      <c r="S90" s="132"/>
      <c r="T90" s="126"/>
    </row>
    <row r="91" ht="15.75" customHeight="1">
      <c r="A91" s="127">
        <v>45707.0</v>
      </c>
      <c r="B91" s="122" t="s">
        <v>2660</v>
      </c>
      <c r="C91" s="128">
        <v>26.0</v>
      </c>
      <c r="D91" s="13">
        <v>1.0</v>
      </c>
      <c r="E91" s="28">
        <v>0.44930555555555557</v>
      </c>
      <c r="F91" s="28">
        <v>0.4791666666666667</v>
      </c>
      <c r="G91" s="26" t="s">
        <v>2784</v>
      </c>
      <c r="H91" s="10" t="s">
        <v>2785</v>
      </c>
      <c r="I91" s="13">
        <v>57.0</v>
      </c>
      <c r="J91" s="13">
        <v>27.0</v>
      </c>
      <c r="K91" s="13">
        <v>26.0</v>
      </c>
      <c r="L91" s="13">
        <v>3.0</v>
      </c>
      <c r="M91" s="13">
        <v>8.0</v>
      </c>
      <c r="N91" s="13">
        <v>0.0</v>
      </c>
      <c r="O91" s="13">
        <v>30.0</v>
      </c>
      <c r="P91" s="13">
        <v>15.0</v>
      </c>
      <c r="Q91" s="132"/>
      <c r="R91" s="132">
        <f t="shared" ref="R91:R98" si="10">O91 / I91</f>
        <v>0.5263157895</v>
      </c>
      <c r="S91" s="132">
        <f t="shared" ref="S91:S98" si="11"> (P91 + O91)/I91</f>
        <v>0.7894736842</v>
      </c>
      <c r="T91" s="126">
        <f t="shared" ref="T91:T98" si="12"> O91 / P91</f>
        <v>2</v>
      </c>
    </row>
    <row r="92" ht="15.75" customHeight="1">
      <c r="A92" s="127"/>
      <c r="B92" s="122" t="s">
        <v>2663</v>
      </c>
      <c r="C92" s="128">
        <v>25.0</v>
      </c>
      <c r="D92" s="13">
        <v>1.0</v>
      </c>
      <c r="E92" s="28">
        <v>0.4826388888888889</v>
      </c>
      <c r="F92" s="28">
        <v>0.5201388888888889</v>
      </c>
      <c r="G92" s="26" t="s">
        <v>2786</v>
      </c>
      <c r="H92" s="10" t="s">
        <v>2787</v>
      </c>
      <c r="I92" s="13">
        <v>71.0</v>
      </c>
      <c r="J92" s="13">
        <v>36.0</v>
      </c>
      <c r="K92" s="13">
        <v>30.0</v>
      </c>
      <c r="L92" s="13">
        <v>4.0</v>
      </c>
      <c r="M92" s="13">
        <v>11.0</v>
      </c>
      <c r="N92" s="13">
        <v>0.0</v>
      </c>
      <c r="O92" s="13">
        <v>24.0</v>
      </c>
      <c r="P92" s="13">
        <v>32.0</v>
      </c>
      <c r="Q92" s="132"/>
      <c r="R92" s="132">
        <f t="shared" si="10"/>
        <v>0.338028169</v>
      </c>
      <c r="S92" s="132">
        <f t="shared" si="11"/>
        <v>0.7887323944</v>
      </c>
      <c r="T92" s="126">
        <f t="shared" si="12"/>
        <v>0.75</v>
      </c>
    </row>
    <row r="93" ht="15.75" customHeight="1">
      <c r="A93" s="127"/>
      <c r="B93" s="122" t="s">
        <v>2665</v>
      </c>
      <c r="C93" s="128">
        <v>16.0</v>
      </c>
      <c r="D93" s="13">
        <v>1.0</v>
      </c>
      <c r="E93" s="28">
        <v>0.5229166666666667</v>
      </c>
      <c r="F93" s="28">
        <v>0.06180555555555556</v>
      </c>
      <c r="G93" s="26" t="s">
        <v>2788</v>
      </c>
      <c r="H93" s="10" t="s">
        <v>2789</v>
      </c>
      <c r="I93" s="13">
        <v>83.0</v>
      </c>
      <c r="J93" s="13">
        <v>39.0</v>
      </c>
      <c r="K93" s="13">
        <v>40.0</v>
      </c>
      <c r="L93" s="13">
        <v>2.0</v>
      </c>
      <c r="M93" s="13">
        <v>16.0</v>
      </c>
      <c r="N93" s="13">
        <v>1.0</v>
      </c>
      <c r="O93" s="13">
        <v>15.0</v>
      </c>
      <c r="P93" s="13">
        <v>53.0</v>
      </c>
      <c r="Q93" s="132"/>
      <c r="R93" s="132">
        <f t="shared" si="10"/>
        <v>0.1807228916</v>
      </c>
      <c r="S93" s="132">
        <f t="shared" si="11"/>
        <v>0.8192771084</v>
      </c>
      <c r="T93" s="126">
        <f t="shared" si="12"/>
        <v>0.2830188679</v>
      </c>
    </row>
    <row r="94" ht="15.75" customHeight="1">
      <c r="A94" s="127"/>
      <c r="B94" s="122" t="s">
        <v>2666</v>
      </c>
      <c r="C94" s="128">
        <v>16.0</v>
      </c>
      <c r="D94" s="13">
        <v>1.0</v>
      </c>
      <c r="E94" s="28">
        <v>0.06458333333333334</v>
      </c>
      <c r="F94" s="28">
        <v>0.09861111111111111</v>
      </c>
      <c r="G94" s="26" t="s">
        <v>2790</v>
      </c>
      <c r="H94" s="10" t="s">
        <v>2791</v>
      </c>
      <c r="I94" s="13">
        <v>65.0</v>
      </c>
      <c r="J94" s="13">
        <v>30.0</v>
      </c>
      <c r="K94" s="13">
        <v>33.0</v>
      </c>
      <c r="L94" s="13">
        <v>2.0</v>
      </c>
      <c r="M94" s="13">
        <v>7.0</v>
      </c>
      <c r="N94" s="13">
        <v>0.0</v>
      </c>
      <c r="O94" s="13">
        <v>50.0</v>
      </c>
      <c r="P94" s="13">
        <v>7.0</v>
      </c>
      <c r="Q94" s="132"/>
      <c r="R94" s="132">
        <f t="shared" si="10"/>
        <v>0.7692307692</v>
      </c>
      <c r="S94" s="132">
        <f t="shared" si="11"/>
        <v>0.8769230769</v>
      </c>
      <c r="T94" s="126">
        <f t="shared" si="12"/>
        <v>7.142857143</v>
      </c>
    </row>
    <row r="95" ht="15.75" customHeight="1">
      <c r="A95" s="127"/>
      <c r="B95" s="122" t="s">
        <v>2660</v>
      </c>
      <c r="C95" s="128">
        <v>27.0</v>
      </c>
      <c r="D95" s="13">
        <v>2.0</v>
      </c>
      <c r="E95" s="28">
        <v>0.10208333333333333</v>
      </c>
      <c r="F95" s="28">
        <v>0.13680555555555557</v>
      </c>
      <c r="G95" s="26" t="s">
        <v>2792</v>
      </c>
      <c r="H95" s="10" t="s">
        <v>2793</v>
      </c>
      <c r="I95" s="13">
        <v>66.0</v>
      </c>
      <c r="J95" s="13">
        <v>32.0</v>
      </c>
      <c r="K95" s="13">
        <v>30.0</v>
      </c>
      <c r="L95" s="13">
        <v>2.0</v>
      </c>
      <c r="M95" s="13">
        <v>9.0</v>
      </c>
      <c r="N95" s="13">
        <v>2.0</v>
      </c>
      <c r="O95" s="13">
        <v>25.0</v>
      </c>
      <c r="P95" s="13">
        <v>28.0</v>
      </c>
      <c r="Q95" s="132"/>
      <c r="R95" s="132">
        <f t="shared" si="10"/>
        <v>0.3787878788</v>
      </c>
      <c r="S95" s="132">
        <f t="shared" si="11"/>
        <v>0.803030303</v>
      </c>
      <c r="T95" s="126">
        <f t="shared" si="12"/>
        <v>0.8928571429</v>
      </c>
    </row>
    <row r="96" ht="15.75" customHeight="1">
      <c r="A96" s="127"/>
      <c r="B96" s="122" t="s">
        <v>2663</v>
      </c>
      <c r="C96" s="128">
        <v>26.0</v>
      </c>
      <c r="D96" s="13">
        <v>2.0</v>
      </c>
      <c r="E96" s="28">
        <v>0.14305555555555555</v>
      </c>
      <c r="F96" s="28">
        <v>0.19236111111111112</v>
      </c>
      <c r="G96" s="26" t="s">
        <v>2794</v>
      </c>
      <c r="H96" s="10" t="s">
        <v>2795</v>
      </c>
      <c r="I96" s="13">
        <v>76.0</v>
      </c>
      <c r="J96" s="13">
        <v>35.0</v>
      </c>
      <c r="K96" s="13">
        <v>39.0</v>
      </c>
      <c r="L96" s="13">
        <v>2.0</v>
      </c>
      <c r="M96" s="13">
        <v>5.0</v>
      </c>
      <c r="N96" s="13">
        <v>0.0</v>
      </c>
      <c r="O96" s="13">
        <v>52.0</v>
      </c>
      <c r="P96" s="13">
        <v>17.0</v>
      </c>
      <c r="Q96" s="132"/>
      <c r="R96" s="132">
        <f t="shared" si="10"/>
        <v>0.6842105263</v>
      </c>
      <c r="S96" s="132">
        <f t="shared" si="11"/>
        <v>0.9078947368</v>
      </c>
      <c r="T96" s="126">
        <f t="shared" si="12"/>
        <v>3.058823529</v>
      </c>
    </row>
    <row r="97" ht="15.75" customHeight="1">
      <c r="A97" s="127"/>
      <c r="B97" s="122" t="s">
        <v>2665</v>
      </c>
      <c r="C97" s="128">
        <v>17.0</v>
      </c>
      <c r="D97" s="13">
        <v>2.0</v>
      </c>
      <c r="E97" s="28">
        <v>0.19583333333333333</v>
      </c>
      <c r="F97" s="28">
        <v>0.21944444444444444</v>
      </c>
      <c r="G97" s="26" t="s">
        <v>2796</v>
      </c>
      <c r="H97" s="10" t="s">
        <v>2797</v>
      </c>
      <c r="I97" s="13">
        <v>24.0</v>
      </c>
      <c r="J97" s="13">
        <v>9.0</v>
      </c>
      <c r="K97" s="13">
        <v>14.0</v>
      </c>
      <c r="L97" s="13">
        <v>1.0</v>
      </c>
      <c r="M97" s="13">
        <v>7.0</v>
      </c>
      <c r="N97" s="13">
        <v>0.0</v>
      </c>
      <c r="O97" s="13">
        <v>1.0</v>
      </c>
      <c r="P97" s="13">
        <v>15.0</v>
      </c>
      <c r="Q97" s="132"/>
      <c r="R97" s="132">
        <f t="shared" si="10"/>
        <v>0.04166666667</v>
      </c>
      <c r="S97" s="132">
        <f t="shared" si="11"/>
        <v>0.6666666667</v>
      </c>
      <c r="T97" s="126">
        <f t="shared" si="12"/>
        <v>0.06666666667</v>
      </c>
    </row>
    <row r="98" ht="15.75" customHeight="1">
      <c r="A98" s="127"/>
      <c r="B98" s="122" t="s">
        <v>2666</v>
      </c>
      <c r="C98" s="128">
        <v>17.0</v>
      </c>
      <c r="D98" s="13">
        <v>2.0</v>
      </c>
      <c r="E98" s="28">
        <v>0.2222222222222222</v>
      </c>
      <c r="F98" s="28">
        <v>0.24166666666666667</v>
      </c>
      <c r="G98" s="26" t="s">
        <v>2798</v>
      </c>
      <c r="H98" s="10" t="s">
        <v>2799</v>
      </c>
      <c r="I98" s="13">
        <v>49.0</v>
      </c>
      <c r="J98" s="13">
        <v>21.0</v>
      </c>
      <c r="K98" s="13">
        <v>24.0</v>
      </c>
      <c r="L98" s="13">
        <v>3.0</v>
      </c>
      <c r="M98" s="13">
        <v>3.0</v>
      </c>
      <c r="N98" s="13">
        <v>0.0</v>
      </c>
      <c r="O98" s="13">
        <v>40.0</v>
      </c>
      <c r="P98" s="13">
        <v>3.0</v>
      </c>
      <c r="Q98" s="132"/>
      <c r="R98" s="132">
        <f t="shared" si="10"/>
        <v>0.8163265306</v>
      </c>
      <c r="S98" s="132">
        <f t="shared" si="11"/>
        <v>0.8775510204</v>
      </c>
      <c r="T98" s="126">
        <f t="shared" si="12"/>
        <v>13.33333333</v>
      </c>
    </row>
    <row r="99" ht="15.75" customHeight="1">
      <c r="A99" s="127"/>
      <c r="B99" s="122"/>
      <c r="C99" s="128"/>
      <c r="D99" s="13"/>
      <c r="E99" s="28"/>
      <c r="F99" s="28"/>
      <c r="G99" s="13"/>
      <c r="H99" s="10"/>
      <c r="I99" s="13"/>
      <c r="J99" s="13"/>
      <c r="K99" s="13"/>
      <c r="L99" s="13"/>
      <c r="M99" s="13"/>
      <c r="N99" s="13"/>
      <c r="O99" s="13"/>
      <c r="P99" s="13"/>
      <c r="Q99" s="132"/>
      <c r="R99" s="132"/>
      <c r="S99" s="132"/>
      <c r="T99" s="126"/>
    </row>
    <row r="100" ht="15.75" customHeight="1">
      <c r="A100" s="127">
        <v>45708.0</v>
      </c>
      <c r="B100" s="122" t="s">
        <v>2660</v>
      </c>
      <c r="C100" s="128">
        <v>28.0</v>
      </c>
      <c r="D100" s="13">
        <v>1.0</v>
      </c>
      <c r="E100" s="28">
        <v>0.39305555555555555</v>
      </c>
      <c r="F100" s="28">
        <v>0.44027777777777777</v>
      </c>
      <c r="G100" s="26" t="s">
        <v>2800</v>
      </c>
      <c r="H100" s="10" t="s">
        <v>2801</v>
      </c>
      <c r="I100" s="13">
        <v>81.0</v>
      </c>
      <c r="J100" s="13">
        <v>33.0</v>
      </c>
      <c r="K100" s="13">
        <v>38.0</v>
      </c>
      <c r="L100" s="13">
        <v>3.0</v>
      </c>
      <c r="M100" s="13">
        <v>7.0</v>
      </c>
      <c r="N100" s="13">
        <v>7.0</v>
      </c>
      <c r="O100" s="13">
        <v>37.0</v>
      </c>
      <c r="P100" s="13">
        <v>26.0</v>
      </c>
      <c r="Q100" s="132"/>
      <c r="R100" s="132">
        <f t="shared" ref="R100:R105" si="13">O100 / I100</f>
        <v>0.4567901235</v>
      </c>
      <c r="S100" s="132">
        <f t="shared" ref="S100:S105" si="14"> (P100 + O100)/I100</f>
        <v>0.7777777778</v>
      </c>
      <c r="T100" s="126">
        <f t="shared" ref="T100:T105" si="15"> O100 / P100</f>
        <v>1.423076923</v>
      </c>
    </row>
    <row r="101" ht="15.75" customHeight="1">
      <c r="A101" s="127"/>
      <c r="B101" s="122" t="s">
        <v>2663</v>
      </c>
      <c r="C101" s="128">
        <v>27.0</v>
      </c>
      <c r="D101" s="13">
        <v>1.0</v>
      </c>
      <c r="E101" s="28">
        <v>0.44305555555555554</v>
      </c>
      <c r="F101" s="28">
        <v>0.4847222222222222</v>
      </c>
      <c r="G101" s="26" t="s">
        <v>2802</v>
      </c>
      <c r="H101" s="10" t="s">
        <v>2803</v>
      </c>
      <c r="I101" s="13">
        <v>70.0</v>
      </c>
      <c r="J101" s="13">
        <v>38.0</v>
      </c>
      <c r="K101" s="13">
        <v>27.0</v>
      </c>
      <c r="L101" s="13">
        <v>5.0</v>
      </c>
      <c r="M101" s="13">
        <v>6.0</v>
      </c>
      <c r="N101" s="13">
        <v>0.0</v>
      </c>
      <c r="O101" s="13">
        <v>29.0</v>
      </c>
      <c r="P101" s="13">
        <v>30.0</v>
      </c>
      <c r="Q101" s="132"/>
      <c r="R101" s="132">
        <f t="shared" si="13"/>
        <v>0.4142857143</v>
      </c>
      <c r="S101" s="132">
        <f t="shared" si="14"/>
        <v>0.8428571429</v>
      </c>
      <c r="T101" s="126">
        <f t="shared" si="15"/>
        <v>0.9666666667</v>
      </c>
    </row>
    <row r="102" ht="15.75" customHeight="1">
      <c r="A102" s="127"/>
      <c r="B102" s="122" t="s">
        <v>2665</v>
      </c>
      <c r="C102" s="128">
        <v>18.0</v>
      </c>
      <c r="D102" s="13">
        <v>1.0</v>
      </c>
      <c r="E102" s="28">
        <v>0.48819444444444443</v>
      </c>
      <c r="F102" s="28">
        <v>0.5298611111111111</v>
      </c>
      <c r="G102" s="26" t="s">
        <v>2804</v>
      </c>
      <c r="H102" s="10" t="s">
        <v>2805</v>
      </c>
      <c r="I102" s="13">
        <v>50.0</v>
      </c>
      <c r="J102" s="13">
        <v>25.0</v>
      </c>
      <c r="K102" s="13">
        <v>23.0</v>
      </c>
      <c r="L102" s="13">
        <v>0.0</v>
      </c>
      <c r="M102" s="13">
        <v>20.0</v>
      </c>
      <c r="N102" s="13">
        <v>1.0</v>
      </c>
      <c r="O102" s="13">
        <v>6.0</v>
      </c>
      <c r="P102" s="13">
        <v>23.0</v>
      </c>
      <c r="Q102" s="132"/>
      <c r="R102" s="132">
        <f t="shared" si="13"/>
        <v>0.12</v>
      </c>
      <c r="S102" s="132">
        <f t="shared" si="14"/>
        <v>0.58</v>
      </c>
      <c r="T102" s="126">
        <f t="shared" si="15"/>
        <v>0.2608695652</v>
      </c>
    </row>
    <row r="103" ht="15.75" customHeight="1">
      <c r="A103" s="127"/>
      <c r="B103" s="122" t="s">
        <v>2666</v>
      </c>
      <c r="C103" s="128">
        <v>18.0</v>
      </c>
      <c r="D103" s="13">
        <v>1.0</v>
      </c>
      <c r="E103" s="28">
        <v>0.5333333333333333</v>
      </c>
      <c r="F103" s="28">
        <v>0.07430555555555556</v>
      </c>
      <c r="G103" s="26" t="s">
        <v>2806</v>
      </c>
      <c r="H103" s="10"/>
      <c r="I103" s="13">
        <v>74.0</v>
      </c>
      <c r="J103" s="13">
        <v>33.0</v>
      </c>
      <c r="K103" s="13">
        <v>34.0</v>
      </c>
      <c r="L103" s="13">
        <v>4.0</v>
      </c>
      <c r="M103" s="13">
        <v>12.0</v>
      </c>
      <c r="N103" s="13">
        <v>2.0</v>
      </c>
      <c r="O103" s="13">
        <v>30.0</v>
      </c>
      <c r="P103" s="13">
        <v>26.0</v>
      </c>
      <c r="Q103" s="132"/>
      <c r="R103" s="132">
        <f t="shared" si="13"/>
        <v>0.4054054054</v>
      </c>
      <c r="S103" s="132">
        <f t="shared" si="14"/>
        <v>0.7567567568</v>
      </c>
      <c r="T103" s="126">
        <f t="shared" si="15"/>
        <v>1.153846154</v>
      </c>
    </row>
    <row r="104" ht="15.75" customHeight="1">
      <c r="A104" s="127"/>
      <c r="B104" s="122" t="s">
        <v>2660</v>
      </c>
      <c r="C104" s="128">
        <v>29.0</v>
      </c>
      <c r="D104" s="13">
        <v>2.0</v>
      </c>
      <c r="E104" s="28">
        <v>0.07916666666666666</v>
      </c>
      <c r="F104" s="28">
        <v>0.12083333333333333</v>
      </c>
      <c r="G104" s="26" t="s">
        <v>2800</v>
      </c>
      <c r="H104" s="10"/>
      <c r="I104" s="13">
        <v>78.0</v>
      </c>
      <c r="J104" s="13">
        <v>32.0</v>
      </c>
      <c r="K104" s="13">
        <v>37.0</v>
      </c>
      <c r="L104" s="13">
        <v>2.0</v>
      </c>
      <c r="M104" s="13">
        <v>8.0</v>
      </c>
      <c r="N104" s="13">
        <v>7.0</v>
      </c>
      <c r="O104" s="13">
        <v>31.0</v>
      </c>
      <c r="P104" s="13">
        <v>30.0</v>
      </c>
      <c r="Q104" s="132"/>
      <c r="R104" s="132">
        <f t="shared" si="13"/>
        <v>0.3974358974</v>
      </c>
      <c r="S104" s="132">
        <f t="shared" si="14"/>
        <v>0.7820512821</v>
      </c>
      <c r="T104" s="126">
        <f t="shared" si="15"/>
        <v>1.033333333</v>
      </c>
    </row>
    <row r="105" ht="15.75" customHeight="1">
      <c r="A105" s="127"/>
      <c r="B105" s="122" t="s">
        <v>2663</v>
      </c>
      <c r="C105" s="128">
        <v>28.0</v>
      </c>
      <c r="D105" s="13">
        <v>2.0</v>
      </c>
      <c r="E105" s="28">
        <v>0.125</v>
      </c>
      <c r="F105" s="28">
        <v>0.16944444444444445</v>
      </c>
      <c r="G105" s="26" t="s">
        <v>2807</v>
      </c>
      <c r="H105" s="10"/>
      <c r="I105" s="13">
        <v>87.0</v>
      </c>
      <c r="J105" s="13">
        <v>42.0</v>
      </c>
      <c r="K105" s="13">
        <v>38.0</v>
      </c>
      <c r="L105" s="13">
        <v>7.0</v>
      </c>
      <c r="M105" s="13">
        <v>0.0</v>
      </c>
      <c r="N105" s="13">
        <v>0.0</v>
      </c>
      <c r="O105" s="13">
        <v>38.0</v>
      </c>
      <c r="P105" s="13">
        <v>42.0</v>
      </c>
      <c r="Q105" s="132"/>
      <c r="R105" s="132">
        <f t="shared" si="13"/>
        <v>0.4367816092</v>
      </c>
      <c r="S105" s="132">
        <f t="shared" si="14"/>
        <v>0.9195402299</v>
      </c>
      <c r="T105" s="126">
        <f t="shared" si="15"/>
        <v>0.9047619048</v>
      </c>
    </row>
    <row r="106" ht="15.75" customHeight="1">
      <c r="A106" s="127"/>
      <c r="B106" s="122"/>
      <c r="C106" s="128"/>
      <c r="D106" s="13"/>
      <c r="E106" s="28"/>
      <c r="F106" s="28"/>
      <c r="G106" s="13"/>
      <c r="H106" s="10"/>
      <c r="I106" s="13"/>
      <c r="J106" s="13"/>
      <c r="K106" s="13"/>
      <c r="L106" s="13"/>
      <c r="M106" s="13"/>
      <c r="N106" s="13"/>
      <c r="O106" s="13"/>
      <c r="P106" s="13"/>
      <c r="Q106" s="132"/>
      <c r="R106" s="132"/>
      <c r="S106" s="132"/>
      <c r="T106" s="126"/>
    </row>
    <row r="107" ht="15.75" customHeight="1">
      <c r="A107" s="127">
        <v>45709.0</v>
      </c>
      <c r="B107" s="122" t="s">
        <v>2660</v>
      </c>
      <c r="C107" s="128">
        <v>30.0</v>
      </c>
      <c r="D107" s="13">
        <v>1.0</v>
      </c>
      <c r="E107" s="28">
        <v>0.43194444444444446</v>
      </c>
      <c r="F107" s="28">
        <v>0.4652777777777778</v>
      </c>
      <c r="G107" s="26" t="s">
        <v>2808</v>
      </c>
      <c r="H107" s="10" t="s">
        <v>2809</v>
      </c>
      <c r="I107" s="13">
        <v>52.0</v>
      </c>
      <c r="J107" s="13">
        <v>21.0</v>
      </c>
      <c r="K107" s="13">
        <v>24.0</v>
      </c>
      <c r="L107" s="13">
        <v>1.0</v>
      </c>
      <c r="M107" s="13">
        <v>15.0</v>
      </c>
      <c r="N107" s="13">
        <v>5.0</v>
      </c>
      <c r="O107" s="13">
        <v>6.0</v>
      </c>
      <c r="P107" s="13">
        <v>26.0</v>
      </c>
      <c r="Q107" s="132"/>
      <c r="R107" s="132">
        <f t="shared" ref="R107:R114" si="16">O107 / I107</f>
        <v>0.1153846154</v>
      </c>
      <c r="S107" s="132">
        <f t="shared" ref="S107:S114" si="17"> (P107 + O107)/I107</f>
        <v>0.6153846154</v>
      </c>
      <c r="T107" s="126">
        <f t="shared" ref="T107:T114" si="18"> O107 / P107</f>
        <v>0.2307692308</v>
      </c>
    </row>
    <row r="108" ht="15.75" customHeight="1">
      <c r="A108" s="127"/>
      <c r="B108" s="122" t="s">
        <v>2663</v>
      </c>
      <c r="C108" s="128">
        <v>29.0</v>
      </c>
      <c r="D108" s="13">
        <v>1.0</v>
      </c>
      <c r="E108" s="28">
        <v>0.46875</v>
      </c>
      <c r="F108" s="28">
        <v>0.4979166666666667</v>
      </c>
      <c r="G108" s="26" t="s">
        <v>2810</v>
      </c>
      <c r="H108" s="10" t="s">
        <v>2811</v>
      </c>
      <c r="I108" s="13">
        <v>44.0</v>
      </c>
      <c r="J108" s="13">
        <v>14.0</v>
      </c>
      <c r="K108" s="13">
        <v>26.0</v>
      </c>
      <c r="L108" s="13">
        <v>3.0</v>
      </c>
      <c r="M108" s="13">
        <v>3.0</v>
      </c>
      <c r="N108" s="13">
        <v>0.0</v>
      </c>
      <c r="O108" s="13">
        <v>21.0</v>
      </c>
      <c r="P108" s="13">
        <v>16.0</v>
      </c>
      <c r="Q108" s="132"/>
      <c r="R108" s="132">
        <f t="shared" si="16"/>
        <v>0.4772727273</v>
      </c>
      <c r="S108" s="132">
        <f t="shared" si="17"/>
        <v>0.8409090909</v>
      </c>
      <c r="T108" s="126">
        <f t="shared" si="18"/>
        <v>1.3125</v>
      </c>
    </row>
    <row r="109" ht="15.75" customHeight="1">
      <c r="A109" s="127"/>
      <c r="B109" s="122" t="s">
        <v>2665</v>
      </c>
      <c r="C109" s="128">
        <v>19.0</v>
      </c>
      <c r="D109" s="13">
        <v>1.0</v>
      </c>
      <c r="E109" s="28">
        <v>0.5013888888888889</v>
      </c>
      <c r="F109" s="28">
        <v>0.5222222222222223</v>
      </c>
      <c r="G109" s="26" t="s">
        <v>2812</v>
      </c>
      <c r="H109" s="10" t="s">
        <v>2813</v>
      </c>
      <c r="I109" s="13">
        <v>36.0</v>
      </c>
      <c r="J109" s="13">
        <v>20.0</v>
      </c>
      <c r="K109" s="13">
        <v>15.0</v>
      </c>
      <c r="L109" s="13">
        <v>1.0</v>
      </c>
      <c r="M109" s="13">
        <v>3.0</v>
      </c>
      <c r="N109" s="13">
        <v>0.0</v>
      </c>
      <c r="O109" s="13">
        <v>9.0</v>
      </c>
      <c r="P109" s="13">
        <v>23.0</v>
      </c>
      <c r="Q109" s="132"/>
      <c r="R109" s="132">
        <f t="shared" si="16"/>
        <v>0.25</v>
      </c>
      <c r="S109" s="132">
        <f t="shared" si="17"/>
        <v>0.8888888889</v>
      </c>
      <c r="T109" s="126">
        <f t="shared" si="18"/>
        <v>0.3913043478</v>
      </c>
    </row>
    <row r="110" ht="15.75" customHeight="1">
      <c r="A110" s="127"/>
      <c r="B110" s="122" t="s">
        <v>2666</v>
      </c>
      <c r="C110" s="128">
        <v>19.0</v>
      </c>
      <c r="D110" s="13">
        <v>1.0</v>
      </c>
      <c r="E110" s="28">
        <v>0.5243055555555556</v>
      </c>
      <c r="F110" s="28">
        <v>0.050694444444444445</v>
      </c>
      <c r="G110" s="26" t="s">
        <v>2814</v>
      </c>
      <c r="H110" s="10"/>
      <c r="I110" s="13">
        <v>25.0</v>
      </c>
      <c r="J110" s="13">
        <v>4.0</v>
      </c>
      <c r="K110" s="13">
        <v>17.0</v>
      </c>
      <c r="L110" s="13">
        <v>2.0</v>
      </c>
      <c r="M110" s="13">
        <v>8.0</v>
      </c>
      <c r="N110" s="13">
        <v>1.0</v>
      </c>
      <c r="O110" s="13">
        <v>5.0</v>
      </c>
      <c r="P110" s="13">
        <v>9.0</v>
      </c>
      <c r="Q110" s="132"/>
      <c r="R110" s="132">
        <f t="shared" si="16"/>
        <v>0.2</v>
      </c>
      <c r="S110" s="132">
        <f t="shared" si="17"/>
        <v>0.56</v>
      </c>
      <c r="T110" s="126">
        <f t="shared" si="18"/>
        <v>0.5555555556</v>
      </c>
    </row>
    <row r="111" ht="15.75" customHeight="1">
      <c r="A111" s="127"/>
      <c r="B111" s="122" t="s">
        <v>2660</v>
      </c>
      <c r="C111" s="128">
        <v>31.0</v>
      </c>
      <c r="D111" s="13">
        <v>2.0</v>
      </c>
      <c r="E111" s="28">
        <v>0.05416666666666667</v>
      </c>
      <c r="F111" s="28">
        <v>0.07569444444444444</v>
      </c>
      <c r="G111" s="26" t="s">
        <v>2815</v>
      </c>
      <c r="H111" s="10" t="s">
        <v>2816</v>
      </c>
      <c r="I111" s="13">
        <v>37.0</v>
      </c>
      <c r="J111" s="13">
        <v>8.0</v>
      </c>
      <c r="K111" s="13">
        <v>25.0</v>
      </c>
      <c r="L111" s="13">
        <v>2.0</v>
      </c>
      <c r="M111" s="13">
        <v>3.0</v>
      </c>
      <c r="N111" s="13">
        <v>2.0</v>
      </c>
      <c r="O111" s="13">
        <v>10.0</v>
      </c>
      <c r="P111" s="13">
        <v>20.0</v>
      </c>
      <c r="Q111" s="132"/>
      <c r="R111" s="132">
        <f t="shared" si="16"/>
        <v>0.2702702703</v>
      </c>
      <c r="S111" s="132">
        <f t="shared" si="17"/>
        <v>0.8108108108</v>
      </c>
      <c r="T111" s="126">
        <f t="shared" si="18"/>
        <v>0.5</v>
      </c>
    </row>
    <row r="112" ht="15.75" customHeight="1">
      <c r="A112" s="127"/>
      <c r="B112" s="122" t="s">
        <v>2663</v>
      </c>
      <c r="C112" s="128">
        <v>30.0</v>
      </c>
      <c r="D112" s="13">
        <v>2.0</v>
      </c>
      <c r="E112" s="28">
        <v>0.07847222222222222</v>
      </c>
      <c r="F112" s="28">
        <v>0.10416666666666667</v>
      </c>
      <c r="G112" s="26" t="s">
        <v>2817</v>
      </c>
      <c r="H112" s="10" t="s">
        <v>2818</v>
      </c>
      <c r="I112" s="13">
        <v>46.0</v>
      </c>
      <c r="J112" s="13">
        <v>17.0</v>
      </c>
      <c r="K112" s="13">
        <v>26.0</v>
      </c>
      <c r="L112" s="13">
        <v>3.0</v>
      </c>
      <c r="M112" s="13">
        <v>1.0</v>
      </c>
      <c r="N112" s="13">
        <v>0.0</v>
      </c>
      <c r="O112" s="13">
        <v>20.0</v>
      </c>
      <c r="P112" s="13">
        <v>23.0</v>
      </c>
      <c r="Q112" s="132"/>
      <c r="R112" s="132">
        <f t="shared" si="16"/>
        <v>0.4347826087</v>
      </c>
      <c r="S112" s="132">
        <f t="shared" si="17"/>
        <v>0.9347826087</v>
      </c>
      <c r="T112" s="126">
        <f t="shared" si="18"/>
        <v>0.8695652174</v>
      </c>
    </row>
    <row r="113" ht="39.0" customHeight="1">
      <c r="A113" s="127"/>
      <c r="B113" s="122" t="s">
        <v>2665</v>
      </c>
      <c r="C113" s="128">
        <v>20.0</v>
      </c>
      <c r="D113" s="13">
        <v>2.0</v>
      </c>
      <c r="E113" s="28">
        <v>0.1076388888888889</v>
      </c>
      <c r="F113" s="28">
        <v>0.13055555555555556</v>
      </c>
      <c r="G113" s="26" t="s">
        <v>2819</v>
      </c>
      <c r="H113" s="10" t="s">
        <v>2820</v>
      </c>
      <c r="I113" s="13">
        <v>23.0</v>
      </c>
      <c r="J113" s="13">
        <v>12.0</v>
      </c>
      <c r="K113" s="13">
        <v>6.0</v>
      </c>
      <c r="L113" s="13">
        <v>1.0</v>
      </c>
      <c r="M113" s="13">
        <v>3.0</v>
      </c>
      <c r="N113" s="13">
        <v>3.0</v>
      </c>
      <c r="O113" s="13">
        <v>2.0</v>
      </c>
      <c r="P113" s="13">
        <v>14.0</v>
      </c>
      <c r="Q113" s="132"/>
      <c r="R113" s="132">
        <f t="shared" si="16"/>
        <v>0.08695652174</v>
      </c>
      <c r="S113" s="132">
        <f t="shared" si="17"/>
        <v>0.6956521739</v>
      </c>
      <c r="T113" s="126">
        <f t="shared" si="18"/>
        <v>0.1428571429</v>
      </c>
    </row>
    <row r="114" ht="15.75" customHeight="1">
      <c r="A114" s="127"/>
      <c r="B114" s="122" t="s">
        <v>2666</v>
      </c>
      <c r="C114" s="128">
        <v>20.0</v>
      </c>
      <c r="D114" s="13">
        <v>2.0</v>
      </c>
      <c r="E114" s="28">
        <v>0.1326388888888889</v>
      </c>
      <c r="F114" s="28">
        <v>0.14583333333333334</v>
      </c>
      <c r="G114" s="26" t="s">
        <v>2821</v>
      </c>
      <c r="H114" s="10" t="s">
        <v>2822</v>
      </c>
      <c r="I114" s="13">
        <v>30.0</v>
      </c>
      <c r="J114" s="13">
        <v>11.0</v>
      </c>
      <c r="K114" s="13">
        <v>16.0</v>
      </c>
      <c r="L114" s="13">
        <v>1.0</v>
      </c>
      <c r="M114" s="13">
        <v>2.0</v>
      </c>
      <c r="N114" s="13">
        <v>2.0</v>
      </c>
      <c r="O114" s="13">
        <v>16.0</v>
      </c>
      <c r="P114" s="13">
        <v>9.0</v>
      </c>
      <c r="Q114" s="132"/>
      <c r="R114" s="132">
        <f t="shared" si="16"/>
        <v>0.5333333333</v>
      </c>
      <c r="S114" s="132">
        <f t="shared" si="17"/>
        <v>0.8333333333</v>
      </c>
      <c r="T114" s="126">
        <f t="shared" si="18"/>
        <v>1.777777778</v>
      </c>
    </row>
    <row r="115" ht="15.75" customHeight="1">
      <c r="A115" s="127"/>
      <c r="B115" s="122"/>
      <c r="C115" s="128"/>
      <c r="D115" s="13"/>
      <c r="E115" s="28"/>
      <c r="F115" s="28"/>
      <c r="G115" s="13"/>
      <c r="H115" s="10"/>
      <c r="I115" s="13"/>
      <c r="J115" s="13"/>
      <c r="K115" s="13"/>
      <c r="L115" s="13"/>
      <c r="M115" s="13"/>
      <c r="N115" s="13"/>
      <c r="O115" s="13"/>
      <c r="P115" s="13"/>
      <c r="Q115" s="132"/>
      <c r="R115" s="132"/>
      <c r="S115" s="132"/>
      <c r="T115" s="126"/>
    </row>
    <row r="116" ht="15.75" customHeight="1">
      <c r="A116" s="127">
        <v>45712.0</v>
      </c>
      <c r="B116" s="122" t="s">
        <v>2660</v>
      </c>
      <c r="C116" s="128">
        <v>32.0</v>
      </c>
      <c r="D116" s="13">
        <v>1.0</v>
      </c>
      <c r="E116" s="28">
        <v>0.42916666666666664</v>
      </c>
      <c r="F116" s="28">
        <v>0.4513888888888889</v>
      </c>
      <c r="G116" s="26" t="s">
        <v>2823</v>
      </c>
      <c r="H116" s="10" t="s">
        <v>2824</v>
      </c>
      <c r="I116" s="13">
        <v>41.0</v>
      </c>
      <c r="J116" s="13">
        <v>16.0</v>
      </c>
      <c r="K116" s="13">
        <v>21.0</v>
      </c>
      <c r="L116" s="13">
        <v>0.0</v>
      </c>
      <c r="M116" s="13">
        <v>4.0</v>
      </c>
      <c r="N116" s="13">
        <v>4.0</v>
      </c>
      <c r="O116" s="13">
        <v>14.0</v>
      </c>
      <c r="P116" s="13">
        <v>18.0</v>
      </c>
      <c r="Q116" s="132"/>
      <c r="R116" s="132">
        <f t="shared" ref="R116:R123" si="19">O116 / I116</f>
        <v>0.3414634146</v>
      </c>
      <c r="S116" s="132">
        <f t="shared" ref="S116:S123" si="20"> (P116 + O116)/I116</f>
        <v>0.7804878049</v>
      </c>
      <c r="T116" s="126">
        <f t="shared" ref="T116:T123" si="21"> O116 / P116</f>
        <v>0.7777777778</v>
      </c>
    </row>
    <row r="117" ht="15.75" customHeight="1">
      <c r="A117" s="127"/>
      <c r="B117" s="122" t="s">
        <v>2663</v>
      </c>
      <c r="C117" s="128">
        <v>31.0</v>
      </c>
      <c r="D117" s="13">
        <v>1.0</v>
      </c>
      <c r="E117" s="28">
        <v>0.4548611111111111</v>
      </c>
      <c r="F117" s="28">
        <v>0.47847222222222224</v>
      </c>
      <c r="G117" s="26" t="s">
        <v>2825</v>
      </c>
      <c r="H117" s="10" t="s">
        <v>2826</v>
      </c>
      <c r="I117" s="13">
        <v>35.0</v>
      </c>
      <c r="J117" s="13">
        <v>17.0</v>
      </c>
      <c r="K117" s="13">
        <v>18.0</v>
      </c>
      <c r="L117" s="13">
        <v>0.0</v>
      </c>
      <c r="M117" s="13">
        <v>8.0</v>
      </c>
      <c r="N117" s="13">
        <v>0.0</v>
      </c>
      <c r="O117" s="13">
        <v>11.0</v>
      </c>
      <c r="P117" s="13">
        <v>18.0</v>
      </c>
      <c r="Q117" s="132"/>
      <c r="R117" s="132">
        <f t="shared" si="19"/>
        <v>0.3142857143</v>
      </c>
      <c r="S117" s="132">
        <f t="shared" si="20"/>
        <v>0.8285714286</v>
      </c>
      <c r="T117" s="126">
        <f t="shared" si="21"/>
        <v>0.6111111111</v>
      </c>
    </row>
    <row r="118" ht="15.75" customHeight="1">
      <c r="A118" s="127"/>
      <c r="B118" s="122" t="s">
        <v>2665</v>
      </c>
      <c r="C118" s="128">
        <v>21.0</v>
      </c>
      <c r="D118" s="13">
        <v>1.0</v>
      </c>
      <c r="E118" s="28">
        <v>0.48333333333333334</v>
      </c>
      <c r="F118" s="28">
        <v>0.5055555555555555</v>
      </c>
      <c r="G118" s="26" t="s">
        <v>2827</v>
      </c>
      <c r="H118" s="10" t="s">
        <v>2828</v>
      </c>
      <c r="I118" s="13">
        <v>47.0</v>
      </c>
      <c r="J118" s="13">
        <v>21.0</v>
      </c>
      <c r="K118" s="13">
        <v>25.0</v>
      </c>
      <c r="L118" s="13">
        <v>0.0</v>
      </c>
      <c r="M118" s="13">
        <v>5.0</v>
      </c>
      <c r="N118" s="13">
        <v>0.0</v>
      </c>
      <c r="O118" s="13">
        <v>12.0</v>
      </c>
      <c r="P118" s="13">
        <v>31.0</v>
      </c>
      <c r="Q118" s="132"/>
      <c r="R118" s="132">
        <f t="shared" si="19"/>
        <v>0.2553191489</v>
      </c>
      <c r="S118" s="132">
        <f t="shared" si="20"/>
        <v>0.914893617</v>
      </c>
      <c r="T118" s="126">
        <f t="shared" si="21"/>
        <v>0.3870967742</v>
      </c>
    </row>
    <row r="119" ht="15.75" customHeight="1">
      <c r="A119" s="127"/>
      <c r="B119" s="122" t="s">
        <v>2666</v>
      </c>
      <c r="C119" s="128">
        <v>21.0</v>
      </c>
      <c r="D119" s="13">
        <v>1.0</v>
      </c>
      <c r="E119" s="28">
        <v>0.5083333333333333</v>
      </c>
      <c r="F119" s="28">
        <v>0.5319444444444444</v>
      </c>
      <c r="G119" s="26" t="s">
        <v>2829</v>
      </c>
      <c r="H119" s="10" t="s">
        <v>2830</v>
      </c>
      <c r="I119" s="13">
        <v>48.0</v>
      </c>
      <c r="J119" s="13">
        <v>14.0</v>
      </c>
      <c r="K119" s="13">
        <v>24.0</v>
      </c>
      <c r="L119" s="13">
        <v>2.0</v>
      </c>
      <c r="M119" s="13">
        <v>6.0</v>
      </c>
      <c r="N119" s="13">
        <v>7.0</v>
      </c>
      <c r="O119" s="13">
        <v>11.0</v>
      </c>
      <c r="P119" s="13">
        <v>21.0</v>
      </c>
      <c r="Q119" s="132"/>
      <c r="R119" s="132">
        <f t="shared" si="19"/>
        <v>0.2291666667</v>
      </c>
      <c r="S119" s="132">
        <f t="shared" si="20"/>
        <v>0.6666666667</v>
      </c>
      <c r="T119" s="126">
        <f t="shared" si="21"/>
        <v>0.5238095238</v>
      </c>
    </row>
    <row r="120" ht="15.75" customHeight="1">
      <c r="A120" s="127"/>
      <c r="B120" s="122" t="s">
        <v>2660</v>
      </c>
      <c r="C120" s="128">
        <v>33.0</v>
      </c>
      <c r="D120" s="13">
        <v>2.0</v>
      </c>
      <c r="E120" s="28">
        <v>0.5368055555555555</v>
      </c>
      <c r="F120" s="28">
        <v>0.06180555555555556</v>
      </c>
      <c r="G120" s="26" t="s">
        <v>2831</v>
      </c>
      <c r="H120" s="10" t="s">
        <v>2832</v>
      </c>
      <c r="I120" s="13">
        <v>47.0</v>
      </c>
      <c r="J120" s="13">
        <v>17.0</v>
      </c>
      <c r="K120" s="13">
        <v>25.0</v>
      </c>
      <c r="L120" s="13">
        <v>1.0</v>
      </c>
      <c r="M120" s="13">
        <v>9.0</v>
      </c>
      <c r="N120" s="13">
        <v>4.0</v>
      </c>
      <c r="O120" s="13">
        <v>10.0</v>
      </c>
      <c r="P120" s="13">
        <v>24.0</v>
      </c>
      <c r="Q120" s="132"/>
      <c r="R120" s="132">
        <f t="shared" si="19"/>
        <v>0.2127659574</v>
      </c>
      <c r="S120" s="132">
        <f t="shared" si="20"/>
        <v>0.7234042553</v>
      </c>
      <c r="T120" s="126">
        <f t="shared" si="21"/>
        <v>0.4166666667</v>
      </c>
    </row>
    <row r="121" ht="15.75" customHeight="1">
      <c r="A121" s="127"/>
      <c r="B121" s="122" t="s">
        <v>2663</v>
      </c>
      <c r="C121" s="128">
        <v>32.0</v>
      </c>
      <c r="D121" s="13">
        <v>2.0</v>
      </c>
      <c r="E121" s="28">
        <v>0.06597222222222222</v>
      </c>
      <c r="F121" s="28">
        <v>0.08819444444444445</v>
      </c>
      <c r="G121" s="26" t="s">
        <v>2833</v>
      </c>
      <c r="H121" s="10" t="s">
        <v>2834</v>
      </c>
      <c r="I121" s="13">
        <v>46.0</v>
      </c>
      <c r="J121" s="13">
        <v>22.0</v>
      </c>
      <c r="K121" s="13">
        <v>23.0</v>
      </c>
      <c r="L121" s="13">
        <v>1.0</v>
      </c>
      <c r="M121" s="13">
        <v>3.0</v>
      </c>
      <c r="N121" s="13">
        <v>0.0</v>
      </c>
      <c r="O121" s="13">
        <v>10.0</v>
      </c>
      <c r="P121" s="13">
        <v>31.0</v>
      </c>
      <c r="Q121" s="132"/>
      <c r="R121" s="132">
        <f t="shared" si="19"/>
        <v>0.2173913043</v>
      </c>
      <c r="S121" s="132">
        <f t="shared" si="20"/>
        <v>0.8913043478</v>
      </c>
      <c r="T121" s="126">
        <f t="shared" si="21"/>
        <v>0.3225806452</v>
      </c>
    </row>
    <row r="122" ht="15.75" customHeight="1">
      <c r="A122" s="127"/>
      <c r="B122" s="122" t="s">
        <v>2665</v>
      </c>
      <c r="C122" s="128">
        <v>22.0</v>
      </c>
      <c r="D122" s="13">
        <v>2.0</v>
      </c>
      <c r="E122" s="28">
        <v>0.09236111111111112</v>
      </c>
      <c r="F122" s="28">
        <v>0.11597222222222223</v>
      </c>
      <c r="G122" s="26" t="s">
        <v>2835</v>
      </c>
      <c r="H122" s="10" t="s">
        <v>2836</v>
      </c>
      <c r="I122" s="13">
        <v>54.0</v>
      </c>
      <c r="J122" s="13">
        <v>24.0</v>
      </c>
      <c r="K122" s="13">
        <v>22.0</v>
      </c>
      <c r="L122" s="13">
        <v>4.0</v>
      </c>
      <c r="M122" s="13">
        <v>2.0</v>
      </c>
      <c r="N122" s="13">
        <v>4.0</v>
      </c>
      <c r="O122" s="13">
        <v>16.0</v>
      </c>
      <c r="P122" s="13">
        <v>28.0</v>
      </c>
      <c r="Q122" s="132"/>
      <c r="R122" s="132">
        <f t="shared" si="19"/>
        <v>0.2962962963</v>
      </c>
      <c r="S122" s="132">
        <f t="shared" si="20"/>
        <v>0.8148148148</v>
      </c>
      <c r="T122" s="126">
        <f t="shared" si="21"/>
        <v>0.5714285714</v>
      </c>
    </row>
    <row r="123" ht="15.75" customHeight="1">
      <c r="A123" s="127"/>
      <c r="B123" s="122" t="s">
        <v>2666</v>
      </c>
      <c r="C123" s="128">
        <v>22.0</v>
      </c>
      <c r="D123" s="13">
        <v>2.0</v>
      </c>
      <c r="E123" s="28">
        <v>0.11944444444444445</v>
      </c>
      <c r="F123" s="28">
        <v>0.14652777777777778</v>
      </c>
      <c r="G123" s="26" t="s">
        <v>2837</v>
      </c>
      <c r="H123" s="10" t="s">
        <v>2838</v>
      </c>
      <c r="I123" s="13">
        <v>53.0</v>
      </c>
      <c r="J123" s="13">
        <v>22.0</v>
      </c>
      <c r="K123" s="13">
        <v>18.0</v>
      </c>
      <c r="L123" s="13">
        <v>5.0</v>
      </c>
      <c r="M123" s="13">
        <v>9.0</v>
      </c>
      <c r="N123" s="13">
        <v>8.0</v>
      </c>
      <c r="O123" s="13">
        <v>3.0</v>
      </c>
      <c r="P123" s="13">
        <v>30.0</v>
      </c>
      <c r="Q123" s="132"/>
      <c r="R123" s="132">
        <f t="shared" si="19"/>
        <v>0.05660377358</v>
      </c>
      <c r="S123" s="132">
        <f t="shared" si="20"/>
        <v>0.6226415094</v>
      </c>
      <c r="T123" s="126">
        <f t="shared" si="21"/>
        <v>0.1</v>
      </c>
    </row>
    <row r="124" ht="15.75" customHeight="1">
      <c r="A124" s="127"/>
      <c r="B124" s="122"/>
      <c r="C124" s="128"/>
      <c r="D124" s="13"/>
      <c r="E124" s="28"/>
      <c r="F124" s="28"/>
      <c r="G124" s="13"/>
      <c r="H124" s="10" t="s">
        <v>2839</v>
      </c>
      <c r="I124" s="13"/>
      <c r="J124" s="13"/>
      <c r="K124" s="13"/>
      <c r="L124" s="13"/>
      <c r="M124" s="13"/>
      <c r="N124" s="13"/>
      <c r="O124" s="13"/>
      <c r="P124" s="13"/>
      <c r="Q124" s="132"/>
      <c r="R124" s="132"/>
      <c r="S124" s="132"/>
      <c r="T124" s="126"/>
    </row>
    <row r="125" ht="15.75" customHeight="1">
      <c r="A125" s="127">
        <v>45713.0</v>
      </c>
      <c r="B125" s="122" t="s">
        <v>2660</v>
      </c>
      <c r="C125" s="128">
        <v>34.0</v>
      </c>
      <c r="D125" s="13">
        <v>1.0</v>
      </c>
      <c r="E125" s="28">
        <v>0.4534722222222222</v>
      </c>
      <c r="F125" s="28">
        <v>0.48125</v>
      </c>
      <c r="G125" s="26" t="s">
        <v>2840</v>
      </c>
      <c r="H125" s="10" t="s">
        <v>2775</v>
      </c>
      <c r="I125" s="13">
        <v>61.0</v>
      </c>
      <c r="J125" s="13">
        <v>32.0</v>
      </c>
      <c r="K125" s="13">
        <v>25.0</v>
      </c>
      <c r="L125" s="13">
        <v>1.0</v>
      </c>
      <c r="M125" s="13">
        <v>4.0</v>
      </c>
      <c r="N125" s="13">
        <v>3.0</v>
      </c>
      <c r="O125" s="13">
        <v>23.0</v>
      </c>
      <c r="P125" s="13">
        <v>30.0</v>
      </c>
      <c r="Q125" s="132"/>
      <c r="R125" s="132">
        <f t="shared" ref="R125:R130" si="22">O125 / I125</f>
        <v>0.3770491803</v>
      </c>
      <c r="S125" s="132">
        <f t="shared" ref="S125:S130" si="23"> (P125 + O125)/I125</f>
        <v>0.868852459</v>
      </c>
      <c r="T125" s="126">
        <f t="shared" ref="T125:T130" si="24"> O125 / P125</f>
        <v>0.7666666667</v>
      </c>
    </row>
    <row r="126" ht="15.75" customHeight="1">
      <c r="A126" s="127"/>
      <c r="B126" s="122" t="s">
        <v>2663</v>
      </c>
      <c r="C126" s="128">
        <v>33.0</v>
      </c>
      <c r="D126" s="13">
        <v>1.0</v>
      </c>
      <c r="E126" s="28">
        <v>0.4840277777777778</v>
      </c>
      <c r="F126" s="28">
        <v>0.5131944444444444</v>
      </c>
      <c r="G126" s="26" t="s">
        <v>2841</v>
      </c>
      <c r="H126" s="10" t="s">
        <v>2842</v>
      </c>
      <c r="I126" s="13">
        <v>49.0</v>
      </c>
      <c r="J126" s="13">
        <v>18.0</v>
      </c>
      <c r="K126" s="13">
        <v>25.0</v>
      </c>
      <c r="L126" s="13">
        <v>6.0</v>
      </c>
      <c r="M126" s="13">
        <v>4.0</v>
      </c>
      <c r="N126" s="13">
        <v>0.0</v>
      </c>
      <c r="O126" s="13">
        <v>16.0</v>
      </c>
      <c r="P126" s="13">
        <v>23.0</v>
      </c>
      <c r="Q126" s="132"/>
      <c r="R126" s="132">
        <f t="shared" si="22"/>
        <v>0.3265306122</v>
      </c>
      <c r="S126" s="132">
        <f t="shared" si="23"/>
        <v>0.7959183673</v>
      </c>
      <c r="T126" s="126">
        <f t="shared" si="24"/>
        <v>0.6956521739</v>
      </c>
    </row>
    <row r="127" ht="15.75" customHeight="1">
      <c r="A127" s="127"/>
      <c r="B127" s="122" t="s">
        <v>2665</v>
      </c>
      <c r="C127" s="128">
        <v>23.0</v>
      </c>
      <c r="D127" s="13">
        <v>1.0</v>
      </c>
      <c r="E127" s="28">
        <v>0.5173611111111112</v>
      </c>
      <c r="F127" s="28">
        <v>0.05694444444444444</v>
      </c>
      <c r="G127" s="34" t="s">
        <v>2843</v>
      </c>
      <c r="H127" s="10" t="s">
        <v>2844</v>
      </c>
      <c r="I127" s="13">
        <v>82.0</v>
      </c>
      <c r="J127" s="13">
        <v>43.0</v>
      </c>
      <c r="K127" s="13">
        <v>30.0</v>
      </c>
      <c r="L127" s="13">
        <v>3.0</v>
      </c>
      <c r="M127" s="13">
        <v>8.0</v>
      </c>
      <c r="N127" s="13">
        <v>5.0</v>
      </c>
      <c r="O127" s="13">
        <v>28.0</v>
      </c>
      <c r="P127" s="13">
        <v>38.0</v>
      </c>
      <c r="Q127" s="132"/>
      <c r="R127" s="132">
        <f t="shared" si="22"/>
        <v>0.3414634146</v>
      </c>
      <c r="S127" s="132">
        <f t="shared" si="23"/>
        <v>0.8048780488</v>
      </c>
      <c r="T127" s="126">
        <f t="shared" si="24"/>
        <v>0.7368421053</v>
      </c>
    </row>
    <row r="128" ht="15.75" customHeight="1">
      <c r="A128" s="127"/>
      <c r="B128" s="122" t="s">
        <v>2666</v>
      </c>
      <c r="C128" s="128">
        <v>23.0</v>
      </c>
      <c r="D128" s="13">
        <v>1.0</v>
      </c>
      <c r="E128" s="28">
        <v>0.0625</v>
      </c>
      <c r="F128" s="28">
        <v>0.10138888888888889</v>
      </c>
      <c r="G128" s="34" t="s">
        <v>2845</v>
      </c>
      <c r="H128" s="10" t="s">
        <v>2846</v>
      </c>
      <c r="I128" s="13">
        <v>37.0</v>
      </c>
      <c r="J128" s="13">
        <v>13.0</v>
      </c>
      <c r="K128" s="13">
        <v>16.0</v>
      </c>
      <c r="L128" s="13">
        <v>1.0</v>
      </c>
      <c r="M128" s="13">
        <v>12.0</v>
      </c>
      <c r="N128" s="13">
        <v>6.0</v>
      </c>
      <c r="O128" s="13">
        <v>3.0</v>
      </c>
      <c r="P128" s="13">
        <v>15.0</v>
      </c>
      <c r="Q128" s="132"/>
      <c r="R128" s="132">
        <f t="shared" si="22"/>
        <v>0.08108108108</v>
      </c>
      <c r="S128" s="132">
        <f t="shared" si="23"/>
        <v>0.4864864865</v>
      </c>
      <c r="T128" s="126">
        <f t="shared" si="24"/>
        <v>0.2</v>
      </c>
    </row>
    <row r="129" ht="15.75" customHeight="1">
      <c r="A129" s="127"/>
      <c r="B129" s="122" t="s">
        <v>2660</v>
      </c>
      <c r="C129" s="128">
        <v>35.0</v>
      </c>
      <c r="D129" s="13">
        <v>2.0</v>
      </c>
      <c r="E129" s="28">
        <v>0.10555555555555556</v>
      </c>
      <c r="F129" s="28">
        <v>0.13333333333333333</v>
      </c>
      <c r="G129" s="34" t="s">
        <v>2847</v>
      </c>
      <c r="H129" s="10" t="s">
        <v>2848</v>
      </c>
      <c r="I129" s="13">
        <v>58.0</v>
      </c>
      <c r="J129" s="13">
        <v>30.0</v>
      </c>
      <c r="K129" s="13">
        <v>22.0</v>
      </c>
      <c r="L129" s="13">
        <v>0.0</v>
      </c>
      <c r="M129" s="13">
        <v>6.0</v>
      </c>
      <c r="N129" s="13">
        <v>5.0</v>
      </c>
      <c r="O129" s="13">
        <v>16.0</v>
      </c>
      <c r="P129" s="13">
        <v>31.0</v>
      </c>
      <c r="Q129" s="132"/>
      <c r="R129" s="132">
        <f t="shared" si="22"/>
        <v>0.275862069</v>
      </c>
      <c r="S129" s="132">
        <f t="shared" si="23"/>
        <v>0.8103448276</v>
      </c>
      <c r="T129" s="126">
        <f t="shared" si="24"/>
        <v>0.5161290323</v>
      </c>
    </row>
    <row r="130" ht="15.75" customHeight="1">
      <c r="A130" s="127"/>
      <c r="B130" s="122" t="s">
        <v>2663</v>
      </c>
      <c r="C130" s="128">
        <v>34.0</v>
      </c>
      <c r="D130" s="13">
        <v>2.0</v>
      </c>
      <c r="E130" s="28">
        <v>0.13680555555555557</v>
      </c>
      <c r="F130" s="28">
        <v>0.16597222222222222</v>
      </c>
      <c r="G130" s="34" t="s">
        <v>2849</v>
      </c>
      <c r="H130" s="10" t="s">
        <v>2850</v>
      </c>
      <c r="I130" s="13">
        <v>24.0</v>
      </c>
      <c r="J130" s="13">
        <v>14.0</v>
      </c>
      <c r="K130" s="13">
        <v>7.0</v>
      </c>
      <c r="L130" s="13">
        <v>2.0</v>
      </c>
      <c r="M130" s="13">
        <v>2.0</v>
      </c>
      <c r="N130" s="13">
        <v>1.0</v>
      </c>
      <c r="O130" s="13">
        <v>2.0</v>
      </c>
      <c r="P130" s="13">
        <v>16.0</v>
      </c>
      <c r="Q130" s="132"/>
      <c r="R130" s="132">
        <f t="shared" si="22"/>
        <v>0.08333333333</v>
      </c>
      <c r="S130" s="132">
        <f t="shared" si="23"/>
        <v>0.75</v>
      </c>
      <c r="T130" s="126">
        <f t="shared" si="24"/>
        <v>0.125</v>
      </c>
    </row>
    <row r="131" ht="15.75" customHeight="1">
      <c r="A131" s="127"/>
      <c r="B131" s="122"/>
      <c r="C131" s="128"/>
      <c r="D131" s="13"/>
      <c r="E131" s="28"/>
      <c r="F131" s="28"/>
      <c r="G131" s="13"/>
      <c r="H131" s="10"/>
      <c r="I131" s="13"/>
      <c r="J131" s="13"/>
      <c r="K131" s="13"/>
      <c r="L131" s="13"/>
      <c r="M131" s="13"/>
      <c r="N131" s="13"/>
      <c r="O131" s="13"/>
      <c r="P131" s="13"/>
      <c r="Q131" s="132"/>
      <c r="R131" s="132"/>
      <c r="S131" s="132"/>
      <c r="T131" s="126"/>
    </row>
    <row r="132" ht="15.75" customHeight="1">
      <c r="A132" s="127">
        <v>45714.0</v>
      </c>
      <c r="B132" s="122" t="s">
        <v>2660</v>
      </c>
      <c r="C132" s="128">
        <v>36.0</v>
      </c>
      <c r="D132" s="13">
        <v>1.0</v>
      </c>
      <c r="E132" s="28">
        <v>0.4</v>
      </c>
      <c r="F132" s="28">
        <v>0.44166666666666665</v>
      </c>
      <c r="G132" s="34" t="s">
        <v>2851</v>
      </c>
      <c r="H132" s="10" t="s">
        <v>2852</v>
      </c>
      <c r="I132" s="13">
        <v>66.0</v>
      </c>
      <c r="J132" s="13">
        <v>26.0</v>
      </c>
      <c r="K132" s="13">
        <v>27.0</v>
      </c>
      <c r="L132" s="13">
        <v>0.0</v>
      </c>
      <c r="M132" s="13">
        <v>8.0</v>
      </c>
      <c r="N132" s="13">
        <v>13.0</v>
      </c>
      <c r="O132" s="13">
        <v>12.0</v>
      </c>
      <c r="P132" s="13">
        <v>32.0</v>
      </c>
      <c r="Q132" s="132"/>
      <c r="R132" s="132">
        <f t="shared" ref="R132:R139" si="25">O132 / I132</f>
        <v>0.1818181818</v>
      </c>
      <c r="S132" s="132">
        <f t="shared" ref="S132:S139" si="26"> (P132 + O132)/I132</f>
        <v>0.6666666667</v>
      </c>
      <c r="T132" s="126">
        <f t="shared" ref="T132:T139" si="27"> O132 / P132</f>
        <v>0.375</v>
      </c>
    </row>
    <row r="133" ht="15.75" customHeight="1">
      <c r="A133" s="127"/>
      <c r="B133" s="122" t="s">
        <v>2663</v>
      </c>
      <c r="C133" s="128">
        <v>35.0</v>
      </c>
      <c r="D133" s="13">
        <v>1.0</v>
      </c>
      <c r="E133" s="28">
        <v>0.4486111111111111</v>
      </c>
      <c r="F133" s="28">
        <v>0.49166666666666664</v>
      </c>
      <c r="G133" s="34" t="s">
        <v>2853</v>
      </c>
      <c r="H133" s="10" t="s">
        <v>2854</v>
      </c>
      <c r="I133" s="13">
        <v>58.0</v>
      </c>
      <c r="J133" s="13">
        <v>30.0</v>
      </c>
      <c r="K133" s="13">
        <v>26.0</v>
      </c>
      <c r="L133" s="13">
        <v>0.0</v>
      </c>
      <c r="M133" s="13">
        <v>14.0</v>
      </c>
      <c r="N133" s="13">
        <v>2.0</v>
      </c>
      <c r="O133" s="13">
        <v>16.0</v>
      </c>
      <c r="P133" s="13">
        <v>27.0</v>
      </c>
      <c r="Q133" s="132"/>
      <c r="R133" s="132">
        <f t="shared" si="25"/>
        <v>0.275862069</v>
      </c>
      <c r="S133" s="132">
        <f t="shared" si="26"/>
        <v>0.7413793103</v>
      </c>
      <c r="T133" s="126">
        <f t="shared" si="27"/>
        <v>0.5925925926</v>
      </c>
    </row>
    <row r="134" ht="15.75" customHeight="1">
      <c r="A134" s="127"/>
      <c r="B134" s="122" t="s">
        <v>2665</v>
      </c>
      <c r="C134" s="128">
        <v>24.0</v>
      </c>
      <c r="D134" s="13">
        <v>1.0</v>
      </c>
      <c r="E134" s="28">
        <v>0.5013888888888889</v>
      </c>
      <c r="F134" s="28">
        <v>0.043055555555555555</v>
      </c>
      <c r="G134" s="34" t="s">
        <v>2855</v>
      </c>
      <c r="H134" s="10" t="s">
        <v>2856</v>
      </c>
      <c r="I134" s="13">
        <v>77.0</v>
      </c>
      <c r="J134" s="13">
        <v>35.0</v>
      </c>
      <c r="K134" s="13">
        <v>12.0</v>
      </c>
      <c r="L134" s="13">
        <v>15.0</v>
      </c>
      <c r="M134" s="13">
        <v>9.0</v>
      </c>
      <c r="N134" s="13">
        <v>14.0</v>
      </c>
      <c r="O134" s="13">
        <v>15.0</v>
      </c>
      <c r="P134" s="13">
        <v>24.0</v>
      </c>
      <c r="Q134" s="132"/>
      <c r="R134" s="132">
        <f t="shared" si="25"/>
        <v>0.1948051948</v>
      </c>
      <c r="S134" s="132">
        <f t="shared" si="26"/>
        <v>0.5064935065</v>
      </c>
      <c r="T134" s="126">
        <f t="shared" si="27"/>
        <v>0.625</v>
      </c>
    </row>
    <row r="135" ht="15.75" customHeight="1">
      <c r="A135" s="127"/>
      <c r="B135" s="122" t="s">
        <v>2666</v>
      </c>
      <c r="C135" s="128">
        <v>24.0</v>
      </c>
      <c r="D135" s="13">
        <v>1.0</v>
      </c>
      <c r="E135" s="28">
        <v>0.04722222222222222</v>
      </c>
      <c r="F135" s="28">
        <v>0.09027777777777778</v>
      </c>
      <c r="G135" s="34" t="s">
        <v>2857</v>
      </c>
      <c r="H135" s="10" t="s">
        <v>2858</v>
      </c>
      <c r="I135" s="13">
        <v>58.0</v>
      </c>
      <c r="J135" s="13">
        <v>28.0</v>
      </c>
      <c r="K135" s="13">
        <v>20.0</v>
      </c>
      <c r="L135" s="13">
        <v>1.0</v>
      </c>
      <c r="M135" s="13">
        <v>10.0</v>
      </c>
      <c r="N135" s="13">
        <v>9.0</v>
      </c>
      <c r="O135" s="13">
        <v>6.0</v>
      </c>
      <c r="P135" s="13">
        <v>31.0</v>
      </c>
      <c r="Q135" s="132"/>
      <c r="R135" s="132">
        <f t="shared" si="25"/>
        <v>0.1034482759</v>
      </c>
      <c r="S135" s="132">
        <f t="shared" si="26"/>
        <v>0.6379310345</v>
      </c>
      <c r="T135" s="126">
        <f t="shared" si="27"/>
        <v>0.1935483871</v>
      </c>
    </row>
    <row r="136" ht="15.75" customHeight="1">
      <c r="A136" s="127"/>
      <c r="B136" s="122" t="s">
        <v>2660</v>
      </c>
      <c r="C136" s="128">
        <v>37.0</v>
      </c>
      <c r="D136" s="13">
        <v>2.0</v>
      </c>
      <c r="E136" s="28">
        <v>0.09375</v>
      </c>
      <c r="F136" s="28">
        <v>0.125</v>
      </c>
      <c r="G136" s="34" t="s">
        <v>2859</v>
      </c>
      <c r="H136" s="10" t="s">
        <v>2860</v>
      </c>
      <c r="I136" s="13">
        <v>50.0</v>
      </c>
      <c r="J136" s="13">
        <v>19.0</v>
      </c>
      <c r="K136" s="13">
        <v>24.0</v>
      </c>
      <c r="L136" s="13">
        <v>1.0</v>
      </c>
      <c r="M136" s="13">
        <v>9.0</v>
      </c>
      <c r="N136" s="13">
        <v>5.0</v>
      </c>
      <c r="O136" s="13">
        <v>2.0</v>
      </c>
      <c r="P136" s="13">
        <v>32.0</v>
      </c>
      <c r="Q136" s="132"/>
      <c r="R136" s="132">
        <f t="shared" si="25"/>
        <v>0.04</v>
      </c>
      <c r="S136" s="132">
        <f t="shared" si="26"/>
        <v>0.68</v>
      </c>
      <c r="T136" s="126">
        <f t="shared" si="27"/>
        <v>0.0625</v>
      </c>
    </row>
    <row r="137" ht="15.75" customHeight="1">
      <c r="A137" s="127"/>
      <c r="B137" s="122" t="s">
        <v>2663</v>
      </c>
      <c r="C137" s="128">
        <v>36.0</v>
      </c>
      <c r="D137" s="13">
        <v>2.0</v>
      </c>
      <c r="E137" s="28">
        <v>0.13055555555555556</v>
      </c>
      <c r="F137" s="28">
        <v>0.1638888888888889</v>
      </c>
      <c r="G137" s="34" t="s">
        <v>2861</v>
      </c>
      <c r="H137" s="10" t="s">
        <v>2862</v>
      </c>
      <c r="I137" s="13">
        <v>37.0</v>
      </c>
      <c r="J137" s="13">
        <v>19.0</v>
      </c>
      <c r="K137" s="13">
        <v>15.0</v>
      </c>
      <c r="L137" s="13">
        <v>3.0</v>
      </c>
      <c r="M137" s="13">
        <v>7.0</v>
      </c>
      <c r="N137" s="13">
        <v>0.0</v>
      </c>
      <c r="O137" s="13">
        <v>9.0</v>
      </c>
      <c r="P137" s="13">
        <v>20.0</v>
      </c>
      <c r="Q137" s="132"/>
      <c r="R137" s="132">
        <f t="shared" si="25"/>
        <v>0.2432432432</v>
      </c>
      <c r="S137" s="132">
        <f t="shared" si="26"/>
        <v>0.7837837838</v>
      </c>
      <c r="T137" s="126">
        <f t="shared" si="27"/>
        <v>0.45</v>
      </c>
    </row>
    <row r="138" ht="15.75" customHeight="1">
      <c r="A138" s="127"/>
      <c r="B138" s="122" t="s">
        <v>2665</v>
      </c>
      <c r="C138" s="128">
        <v>25.0</v>
      </c>
      <c r="D138" s="13">
        <v>2.0</v>
      </c>
      <c r="E138" s="28">
        <v>0.16666666666666666</v>
      </c>
      <c r="F138" s="28">
        <v>0.2</v>
      </c>
      <c r="G138" s="34" t="s">
        <v>2863</v>
      </c>
      <c r="H138" s="10" t="s">
        <v>2864</v>
      </c>
      <c r="I138" s="13">
        <v>80.0</v>
      </c>
      <c r="J138" s="13">
        <v>44.0</v>
      </c>
      <c r="K138" s="13">
        <v>15.0</v>
      </c>
      <c r="L138" s="13">
        <v>16.0</v>
      </c>
      <c r="M138" s="13">
        <v>3.0</v>
      </c>
      <c r="N138" s="13">
        <v>4.0</v>
      </c>
      <c r="O138" s="13">
        <v>16.0</v>
      </c>
      <c r="P138" s="13">
        <v>41.0</v>
      </c>
      <c r="Q138" s="132"/>
      <c r="R138" s="132">
        <f t="shared" si="25"/>
        <v>0.2</v>
      </c>
      <c r="S138" s="132">
        <f t="shared" si="26"/>
        <v>0.7125</v>
      </c>
      <c r="T138" s="126">
        <f t="shared" si="27"/>
        <v>0.3902439024</v>
      </c>
    </row>
    <row r="139" ht="15.75" customHeight="1">
      <c r="A139" s="127"/>
      <c r="B139" s="122" t="s">
        <v>2666</v>
      </c>
      <c r="C139" s="128">
        <v>25.0</v>
      </c>
      <c r="D139" s="13">
        <v>2.0</v>
      </c>
      <c r="E139" s="28">
        <v>0.20347222222222222</v>
      </c>
      <c r="F139" s="28">
        <v>0.2388888888888889</v>
      </c>
      <c r="G139" s="34" t="s">
        <v>2865</v>
      </c>
      <c r="H139" s="10" t="s">
        <v>2866</v>
      </c>
      <c r="I139" s="13">
        <v>42.0</v>
      </c>
      <c r="J139" s="13">
        <v>29.0</v>
      </c>
      <c r="K139" s="13">
        <v>9.0</v>
      </c>
      <c r="L139" s="13">
        <v>2.0</v>
      </c>
      <c r="M139" s="13">
        <v>9.0</v>
      </c>
      <c r="N139" s="13">
        <v>2.0</v>
      </c>
      <c r="O139" s="13">
        <v>4.0</v>
      </c>
      <c r="P139" s="13">
        <v>25.0</v>
      </c>
      <c r="Q139" s="132"/>
      <c r="R139" s="132">
        <f t="shared" si="25"/>
        <v>0.09523809524</v>
      </c>
      <c r="S139" s="132">
        <f t="shared" si="26"/>
        <v>0.6904761905</v>
      </c>
      <c r="T139" s="126">
        <f t="shared" si="27"/>
        <v>0.16</v>
      </c>
    </row>
    <row r="140" ht="15.75" customHeight="1">
      <c r="A140" s="127"/>
      <c r="B140" s="122"/>
      <c r="C140" s="128"/>
      <c r="D140" s="13"/>
      <c r="E140" s="28"/>
      <c r="F140" s="28"/>
      <c r="G140" s="13"/>
      <c r="H140" s="10" t="s">
        <v>2867</v>
      </c>
      <c r="I140" s="13"/>
      <c r="J140" s="13"/>
      <c r="K140" s="13"/>
      <c r="L140" s="13"/>
      <c r="M140" s="13"/>
      <c r="N140" s="13"/>
      <c r="O140" s="13"/>
      <c r="P140" s="13"/>
      <c r="Q140" s="132"/>
      <c r="R140" s="132"/>
      <c r="S140" s="132"/>
      <c r="T140" s="126"/>
    </row>
    <row r="141" ht="15.75" customHeight="1">
      <c r="A141" s="127">
        <v>45715.0</v>
      </c>
      <c r="B141" s="122" t="s">
        <v>2660</v>
      </c>
      <c r="C141" s="128">
        <v>37.0</v>
      </c>
      <c r="D141" s="13">
        <v>1.0</v>
      </c>
      <c r="E141" s="28">
        <v>0.3645833333333333</v>
      </c>
      <c r="F141" s="28">
        <v>0.4131944444444444</v>
      </c>
      <c r="G141" s="34" t="s">
        <v>2868</v>
      </c>
      <c r="H141" s="10" t="s">
        <v>2869</v>
      </c>
      <c r="I141" s="13">
        <v>71.0</v>
      </c>
      <c r="J141" s="13">
        <v>35.0</v>
      </c>
      <c r="K141" s="13">
        <v>33.0</v>
      </c>
      <c r="L141" s="13">
        <v>2.0</v>
      </c>
      <c r="M141" s="13">
        <v>10.0</v>
      </c>
      <c r="N141" s="13">
        <v>1.0</v>
      </c>
      <c r="O141" s="13">
        <v>15.0</v>
      </c>
      <c r="P141" s="13">
        <v>43.0</v>
      </c>
      <c r="Q141" s="132"/>
      <c r="R141" s="132">
        <f t="shared" ref="R141:R148" si="28">O141 / I141</f>
        <v>0.2112676056</v>
      </c>
      <c r="S141" s="132">
        <f t="shared" ref="S141:S148" si="29"> (P141 + O141)/I141</f>
        <v>0.8169014085</v>
      </c>
      <c r="T141" s="126">
        <f t="shared" ref="T141:T148" si="30"> O141 / P141</f>
        <v>0.3488372093</v>
      </c>
    </row>
    <row r="142" ht="15.75" customHeight="1">
      <c r="A142" s="127"/>
      <c r="B142" s="122" t="s">
        <v>2663</v>
      </c>
      <c r="C142" s="128">
        <v>36.0</v>
      </c>
      <c r="D142" s="13">
        <v>1.0</v>
      </c>
      <c r="E142" s="28">
        <v>0.4166666666666667</v>
      </c>
      <c r="F142" s="28">
        <v>0.4597222222222222</v>
      </c>
      <c r="G142" s="34" t="s">
        <v>2870</v>
      </c>
      <c r="H142" s="10" t="s">
        <v>2871</v>
      </c>
      <c r="I142" s="13">
        <v>68.0</v>
      </c>
      <c r="J142" s="13">
        <v>38.0</v>
      </c>
      <c r="K142" s="13">
        <v>27.0</v>
      </c>
      <c r="L142" s="13">
        <v>2.0</v>
      </c>
      <c r="M142" s="13">
        <v>9.0</v>
      </c>
      <c r="N142" s="13">
        <v>1.0</v>
      </c>
      <c r="O142" s="13">
        <v>16.0</v>
      </c>
      <c r="P142" s="13">
        <v>39.0</v>
      </c>
      <c r="Q142" s="132"/>
      <c r="R142" s="132">
        <f t="shared" si="28"/>
        <v>0.2352941176</v>
      </c>
      <c r="S142" s="132">
        <f t="shared" si="29"/>
        <v>0.8088235294</v>
      </c>
      <c r="T142" s="126">
        <f t="shared" si="30"/>
        <v>0.4102564103</v>
      </c>
    </row>
    <row r="143" ht="15.75" customHeight="1">
      <c r="A143" s="127"/>
      <c r="B143" s="122" t="s">
        <v>2665</v>
      </c>
      <c r="C143" s="128">
        <v>25.0</v>
      </c>
      <c r="D143" s="13">
        <v>1.0</v>
      </c>
      <c r="E143" s="28">
        <v>0.46319444444444446</v>
      </c>
      <c r="F143" s="28">
        <v>0.5118055555555555</v>
      </c>
      <c r="G143" s="34" t="s">
        <v>2872</v>
      </c>
      <c r="H143" s="10" t="s">
        <v>2873</v>
      </c>
      <c r="I143" s="13">
        <v>94.0</v>
      </c>
      <c r="J143" s="13">
        <v>48.0</v>
      </c>
      <c r="K143" s="13">
        <v>20.0</v>
      </c>
      <c r="L143" s="13">
        <v>23.0</v>
      </c>
      <c r="M143" s="13">
        <v>10.0</v>
      </c>
      <c r="N143" s="13">
        <v>3.0</v>
      </c>
      <c r="O143" s="13">
        <v>23.0</v>
      </c>
      <c r="P143" s="13">
        <v>36.0</v>
      </c>
      <c r="Q143" s="132"/>
      <c r="R143" s="132">
        <f t="shared" si="28"/>
        <v>0.2446808511</v>
      </c>
      <c r="S143" s="132">
        <f t="shared" si="29"/>
        <v>0.6276595745</v>
      </c>
      <c r="T143" s="126">
        <f t="shared" si="30"/>
        <v>0.6388888889</v>
      </c>
    </row>
    <row r="144" ht="15.75" customHeight="1">
      <c r="A144" s="127"/>
      <c r="B144" s="122" t="s">
        <v>2666</v>
      </c>
      <c r="C144" s="128">
        <v>25.0</v>
      </c>
      <c r="D144" s="13">
        <v>1.0</v>
      </c>
      <c r="E144" s="28">
        <v>0.5152777777777777</v>
      </c>
      <c r="F144" s="28">
        <v>0.05763888888888889</v>
      </c>
      <c r="G144" s="34" t="s">
        <v>2874</v>
      </c>
      <c r="H144" s="10" t="s">
        <v>2875</v>
      </c>
      <c r="I144" s="13">
        <v>76.0</v>
      </c>
      <c r="J144" s="13">
        <v>32.0</v>
      </c>
      <c r="K144" s="13">
        <v>35.0</v>
      </c>
      <c r="L144" s="13">
        <v>5.0</v>
      </c>
      <c r="M144" s="13">
        <v>12.0</v>
      </c>
      <c r="N144" s="13">
        <v>4.0</v>
      </c>
      <c r="O144" s="13">
        <v>15.0</v>
      </c>
      <c r="P144" s="13">
        <v>40.0</v>
      </c>
      <c r="Q144" s="132"/>
      <c r="R144" s="132">
        <f t="shared" si="28"/>
        <v>0.1973684211</v>
      </c>
      <c r="S144" s="132">
        <f t="shared" si="29"/>
        <v>0.7236842105</v>
      </c>
      <c r="T144" s="126">
        <f t="shared" si="30"/>
        <v>0.375</v>
      </c>
    </row>
    <row r="145" ht="15.75" customHeight="1">
      <c r="A145" s="127"/>
      <c r="B145" s="122" t="s">
        <v>2660</v>
      </c>
      <c r="C145" s="128">
        <v>38.0</v>
      </c>
      <c r="D145" s="13">
        <v>2.0</v>
      </c>
      <c r="E145" s="28">
        <v>0.06041666666666667</v>
      </c>
      <c r="F145" s="28">
        <v>0.08125</v>
      </c>
      <c r="G145" s="34" t="s">
        <v>2876</v>
      </c>
      <c r="H145" s="10" t="s">
        <v>2877</v>
      </c>
      <c r="I145" s="13">
        <v>38.0</v>
      </c>
      <c r="J145" s="13">
        <v>18.0</v>
      </c>
      <c r="K145" s="13">
        <v>18.0</v>
      </c>
      <c r="L145" s="13">
        <v>0.0</v>
      </c>
      <c r="M145" s="13">
        <v>6.0</v>
      </c>
      <c r="N145" s="13">
        <v>1.0</v>
      </c>
      <c r="O145" s="13">
        <v>11.0</v>
      </c>
      <c r="P145" s="13">
        <v>20.0</v>
      </c>
      <c r="Q145" s="132"/>
      <c r="R145" s="132">
        <f t="shared" si="28"/>
        <v>0.2894736842</v>
      </c>
      <c r="S145" s="132">
        <f t="shared" si="29"/>
        <v>0.8157894737</v>
      </c>
      <c r="T145" s="126">
        <f t="shared" si="30"/>
        <v>0.55</v>
      </c>
    </row>
    <row r="146" ht="15.75" customHeight="1">
      <c r="A146" s="127"/>
      <c r="B146" s="122" t="s">
        <v>2663</v>
      </c>
      <c r="C146" s="128">
        <v>37.0</v>
      </c>
      <c r="D146" s="13">
        <v>2.0</v>
      </c>
      <c r="E146" s="28">
        <v>0.08541666666666667</v>
      </c>
      <c r="F146" s="28">
        <v>0.11041666666666666</v>
      </c>
      <c r="G146" s="34" t="s">
        <v>2878</v>
      </c>
      <c r="H146" s="10" t="s">
        <v>2879</v>
      </c>
      <c r="I146" s="13">
        <v>47.0</v>
      </c>
      <c r="J146" s="13">
        <v>24.0</v>
      </c>
      <c r="K146" s="13">
        <v>20.0</v>
      </c>
      <c r="L146" s="13">
        <v>2.0</v>
      </c>
      <c r="M146" s="13">
        <v>1.0</v>
      </c>
      <c r="N146" s="13">
        <v>1.0</v>
      </c>
      <c r="O146" s="13">
        <v>17.0</v>
      </c>
      <c r="P146" s="13">
        <v>27.0</v>
      </c>
      <c r="Q146" s="132"/>
      <c r="R146" s="132">
        <f t="shared" si="28"/>
        <v>0.3617021277</v>
      </c>
      <c r="S146" s="132">
        <f t="shared" si="29"/>
        <v>0.9361702128</v>
      </c>
      <c r="T146" s="126">
        <f t="shared" si="30"/>
        <v>0.6296296296</v>
      </c>
    </row>
    <row r="147" ht="15.75" customHeight="1">
      <c r="A147" s="127"/>
      <c r="B147" s="122" t="s">
        <v>2665</v>
      </c>
      <c r="C147" s="128">
        <v>26.0</v>
      </c>
      <c r="D147" s="13">
        <v>2.0</v>
      </c>
      <c r="E147" s="28">
        <v>0.11388888888888889</v>
      </c>
      <c r="F147" s="28">
        <v>0.13541666666666666</v>
      </c>
      <c r="G147" s="34" t="s">
        <v>2880</v>
      </c>
      <c r="H147" s="10" t="s">
        <v>2881</v>
      </c>
      <c r="I147" s="13">
        <v>44.0</v>
      </c>
      <c r="J147" s="13">
        <v>17.0</v>
      </c>
      <c r="K147" s="13">
        <v>22.0</v>
      </c>
      <c r="L147" s="13">
        <v>3.0</v>
      </c>
      <c r="M147" s="13">
        <v>3.0</v>
      </c>
      <c r="N147" s="13">
        <v>2.0</v>
      </c>
      <c r="O147" s="13">
        <v>2.0</v>
      </c>
      <c r="P147" s="13">
        <v>34.0</v>
      </c>
      <c r="Q147" s="132"/>
      <c r="R147" s="132">
        <f t="shared" si="28"/>
        <v>0.04545454545</v>
      </c>
      <c r="S147" s="132">
        <f t="shared" si="29"/>
        <v>0.8181818182</v>
      </c>
      <c r="T147" s="126">
        <f t="shared" si="30"/>
        <v>0.05882352941</v>
      </c>
    </row>
    <row r="148" ht="15.75" customHeight="1">
      <c r="A148" s="127"/>
      <c r="B148" s="122" t="s">
        <v>2666</v>
      </c>
      <c r="C148" s="128">
        <v>26.0</v>
      </c>
      <c r="D148" s="13">
        <v>2.0</v>
      </c>
      <c r="E148" s="28">
        <v>0.1375</v>
      </c>
      <c r="F148" s="28">
        <v>0.16527777777777777</v>
      </c>
      <c r="G148" s="34" t="s">
        <v>2882</v>
      </c>
      <c r="H148" s="10" t="s">
        <v>2883</v>
      </c>
      <c r="I148" s="13">
        <v>43.0</v>
      </c>
      <c r="J148" s="13">
        <v>20.0</v>
      </c>
      <c r="K148" s="13">
        <v>17.0</v>
      </c>
      <c r="L148" s="13">
        <v>2.0</v>
      </c>
      <c r="M148" s="13">
        <v>9.0</v>
      </c>
      <c r="N148" s="13">
        <v>3.0</v>
      </c>
      <c r="O148" s="13">
        <v>5.0</v>
      </c>
      <c r="P148" s="13">
        <v>25.0</v>
      </c>
      <c r="Q148" s="132"/>
      <c r="R148" s="132">
        <f t="shared" si="28"/>
        <v>0.1162790698</v>
      </c>
      <c r="S148" s="132">
        <f t="shared" si="29"/>
        <v>0.6976744186</v>
      </c>
      <c r="T148" s="126">
        <f t="shared" si="30"/>
        <v>0.2</v>
      </c>
    </row>
    <row r="149" ht="15.75" customHeight="1">
      <c r="A149" s="127"/>
      <c r="B149" s="122"/>
      <c r="C149" s="128"/>
      <c r="D149" s="13"/>
      <c r="E149" s="28"/>
      <c r="F149" s="28"/>
      <c r="G149" s="13"/>
      <c r="I149" s="13"/>
      <c r="J149" s="13"/>
      <c r="K149" s="13"/>
      <c r="L149" s="13"/>
      <c r="M149" s="13"/>
      <c r="N149" s="13"/>
      <c r="O149" s="13"/>
      <c r="P149" s="13"/>
      <c r="Q149" s="132"/>
      <c r="R149" s="132"/>
      <c r="S149" s="132"/>
      <c r="T149" s="126"/>
    </row>
    <row r="150" ht="15.75" customHeight="1">
      <c r="A150" s="127">
        <v>45719.0</v>
      </c>
      <c r="B150" s="122" t="s">
        <v>2660</v>
      </c>
      <c r="C150" s="128">
        <v>39.0</v>
      </c>
      <c r="D150" s="13">
        <v>1.0</v>
      </c>
      <c r="E150" s="28">
        <v>0.4444444444444444</v>
      </c>
      <c r="F150" s="28">
        <v>0.48125</v>
      </c>
      <c r="G150" s="34" t="s">
        <v>2884</v>
      </c>
      <c r="H150" s="10" t="s">
        <v>2885</v>
      </c>
      <c r="I150" s="13">
        <v>58.0</v>
      </c>
      <c r="J150" s="13">
        <v>24.0</v>
      </c>
      <c r="K150" s="13">
        <v>24.0</v>
      </c>
      <c r="L150" s="13">
        <v>5.0</v>
      </c>
      <c r="M150" s="13">
        <v>5.0</v>
      </c>
      <c r="N150" s="13">
        <v>4.0</v>
      </c>
      <c r="O150" s="13">
        <v>15.0</v>
      </c>
      <c r="P150" s="13">
        <v>29.0</v>
      </c>
      <c r="Q150" s="132"/>
      <c r="R150" s="132">
        <f t="shared" ref="R150:R155" si="31">O150 / I150</f>
        <v>0.2586206897</v>
      </c>
      <c r="S150" s="132">
        <f t="shared" ref="S150:S155" si="32"> (P150 + O150)/I150</f>
        <v>0.7586206897</v>
      </c>
      <c r="T150" s="126">
        <f t="shared" ref="T150:T155" si="33"> O150 / P150</f>
        <v>0.5172413793</v>
      </c>
    </row>
    <row r="151" ht="15.75" customHeight="1">
      <c r="A151" s="127"/>
      <c r="B151" s="122" t="s">
        <v>2663</v>
      </c>
      <c r="C151" s="128">
        <v>38.0</v>
      </c>
      <c r="D151" s="13">
        <v>1.0</v>
      </c>
      <c r="E151" s="28">
        <v>0.4826388888888889</v>
      </c>
      <c r="F151" s="28">
        <v>0.5222222222222223</v>
      </c>
      <c r="G151" s="34" t="s">
        <v>2886</v>
      </c>
      <c r="H151" s="10" t="s">
        <v>2887</v>
      </c>
      <c r="I151" s="13">
        <v>66.0</v>
      </c>
      <c r="J151" s="13">
        <v>33.0</v>
      </c>
      <c r="K151" s="13">
        <v>24.0</v>
      </c>
      <c r="L151" s="13">
        <v>9.0</v>
      </c>
      <c r="M151" s="13">
        <v>8.0</v>
      </c>
      <c r="N151" s="13">
        <v>0.0</v>
      </c>
      <c r="O151" s="13">
        <v>11.0</v>
      </c>
      <c r="P151" s="13">
        <v>39.0</v>
      </c>
      <c r="Q151" s="132"/>
      <c r="R151" s="132">
        <f t="shared" si="31"/>
        <v>0.1666666667</v>
      </c>
      <c r="S151" s="132">
        <f t="shared" si="32"/>
        <v>0.7575757576</v>
      </c>
      <c r="T151" s="126">
        <f t="shared" si="33"/>
        <v>0.2820512821</v>
      </c>
    </row>
    <row r="152" ht="15.75" customHeight="1">
      <c r="A152" s="127"/>
      <c r="B152" s="122" t="s">
        <v>2665</v>
      </c>
      <c r="C152" s="128">
        <v>27.0</v>
      </c>
      <c r="D152" s="13">
        <v>1.0</v>
      </c>
      <c r="E152" s="28">
        <v>0.5256944444444445</v>
      </c>
      <c r="F152" s="28">
        <v>0.07708333333333334</v>
      </c>
      <c r="G152" s="34" t="s">
        <v>2888</v>
      </c>
      <c r="H152" s="10" t="s">
        <v>2889</v>
      </c>
      <c r="I152" s="13">
        <v>111.0</v>
      </c>
      <c r="J152" s="13">
        <v>53.0</v>
      </c>
      <c r="K152" s="13">
        <v>50.0</v>
      </c>
      <c r="L152" s="13">
        <v>1.0</v>
      </c>
      <c r="M152" s="13">
        <v>16.0</v>
      </c>
      <c r="N152" s="13">
        <v>7.0</v>
      </c>
      <c r="O152" s="13">
        <v>30.0</v>
      </c>
      <c r="P152" s="13">
        <v>58.0</v>
      </c>
      <c r="Q152" s="132"/>
      <c r="R152" s="132">
        <f t="shared" si="31"/>
        <v>0.2702702703</v>
      </c>
      <c r="S152" s="132">
        <f t="shared" si="32"/>
        <v>0.7927927928</v>
      </c>
      <c r="T152" s="126">
        <f t="shared" si="33"/>
        <v>0.5172413793</v>
      </c>
    </row>
    <row r="153" ht="15.75" customHeight="1">
      <c r="A153" s="127"/>
      <c r="B153" s="122" t="s">
        <v>2666</v>
      </c>
      <c r="C153" s="128">
        <v>27.0</v>
      </c>
      <c r="D153" s="13">
        <v>1.0</v>
      </c>
      <c r="E153" s="28">
        <v>0.0798611111111111</v>
      </c>
      <c r="F153" s="28">
        <v>0.12291666666666666</v>
      </c>
      <c r="G153" s="34" t="s">
        <v>2890</v>
      </c>
      <c r="H153" s="10" t="s">
        <v>2891</v>
      </c>
      <c r="I153" s="13">
        <v>101.0</v>
      </c>
      <c r="J153" s="13">
        <v>44.0</v>
      </c>
      <c r="K153" s="13">
        <v>49.0</v>
      </c>
      <c r="L153" s="13">
        <v>2.0</v>
      </c>
      <c r="M153" s="13">
        <v>14.0</v>
      </c>
      <c r="N153" s="13">
        <v>5.0</v>
      </c>
      <c r="O153" s="13">
        <v>31.0</v>
      </c>
      <c r="P153" s="13">
        <v>50.0</v>
      </c>
      <c r="Q153" s="132"/>
      <c r="R153" s="132">
        <f t="shared" si="31"/>
        <v>0.3069306931</v>
      </c>
      <c r="S153" s="132">
        <f t="shared" si="32"/>
        <v>0.801980198</v>
      </c>
      <c r="T153" s="126">
        <f t="shared" si="33"/>
        <v>0.62</v>
      </c>
    </row>
    <row r="154" ht="15.75" customHeight="1">
      <c r="A154" s="127"/>
      <c r="B154" s="122" t="s">
        <v>2660</v>
      </c>
      <c r="C154" s="128">
        <v>40.0</v>
      </c>
      <c r="D154" s="13">
        <v>2.0</v>
      </c>
      <c r="E154" s="28">
        <v>0.12569444444444444</v>
      </c>
      <c r="F154" s="28">
        <v>0.175</v>
      </c>
      <c r="G154" s="34" t="s">
        <v>2892</v>
      </c>
      <c r="H154" s="10" t="s">
        <v>2893</v>
      </c>
      <c r="I154" s="13">
        <v>96.0</v>
      </c>
      <c r="J154" s="13">
        <v>54.0</v>
      </c>
      <c r="K154" s="13">
        <v>38.0</v>
      </c>
      <c r="L154" s="13">
        <v>1.0</v>
      </c>
      <c r="M154" s="13">
        <v>7.0</v>
      </c>
      <c r="N154" s="13">
        <v>2.0</v>
      </c>
      <c r="O154" s="13">
        <v>30.0</v>
      </c>
      <c r="P154" s="13">
        <v>55.0</v>
      </c>
      <c r="Q154" s="132"/>
      <c r="R154" s="132">
        <f t="shared" si="31"/>
        <v>0.3125</v>
      </c>
      <c r="S154" s="132">
        <f t="shared" si="32"/>
        <v>0.8854166667</v>
      </c>
      <c r="T154" s="126">
        <f t="shared" si="33"/>
        <v>0.5454545455</v>
      </c>
    </row>
    <row r="155" ht="15.75" customHeight="1">
      <c r="A155" s="127"/>
      <c r="B155" s="122" t="s">
        <v>2663</v>
      </c>
      <c r="C155" s="128">
        <v>39.0</v>
      </c>
      <c r="D155" s="13">
        <v>2.0</v>
      </c>
      <c r="E155" s="28">
        <v>0.17916666666666667</v>
      </c>
      <c r="F155" s="28">
        <v>0.22777777777777777</v>
      </c>
      <c r="G155" s="34" t="s">
        <v>2894</v>
      </c>
      <c r="H155" s="10" t="s">
        <v>2895</v>
      </c>
      <c r="I155" s="13">
        <v>88.0</v>
      </c>
      <c r="J155" s="13">
        <v>45.0</v>
      </c>
      <c r="K155" s="13">
        <v>42.0</v>
      </c>
      <c r="L155" s="13">
        <v>0.0</v>
      </c>
      <c r="M155" s="13">
        <v>13.0</v>
      </c>
      <c r="N155" s="13">
        <v>0.0</v>
      </c>
      <c r="O155" s="13">
        <v>19.0</v>
      </c>
      <c r="P155" s="13">
        <v>57.0</v>
      </c>
      <c r="Q155" s="132"/>
      <c r="R155" s="132">
        <f t="shared" si="31"/>
        <v>0.2159090909</v>
      </c>
      <c r="S155" s="132">
        <f t="shared" si="32"/>
        <v>0.8636363636</v>
      </c>
      <c r="T155" s="126">
        <f t="shared" si="33"/>
        <v>0.3333333333</v>
      </c>
    </row>
    <row r="156" ht="15.75" customHeight="1">
      <c r="A156" s="127"/>
      <c r="B156" s="122"/>
      <c r="C156" s="128"/>
      <c r="D156" s="13"/>
      <c r="E156" s="28"/>
      <c r="F156" s="28"/>
      <c r="G156" s="13"/>
      <c r="H156" s="10"/>
      <c r="I156" s="13"/>
      <c r="J156" s="13"/>
      <c r="K156" s="13"/>
      <c r="L156" s="13"/>
      <c r="M156" s="13"/>
      <c r="O156" s="13"/>
      <c r="Q156" s="132"/>
      <c r="R156" s="132"/>
      <c r="S156" s="132"/>
      <c r="T156" s="126"/>
    </row>
    <row r="157" ht="15.75" customHeight="1">
      <c r="A157" s="127">
        <v>45720.0</v>
      </c>
      <c r="B157" s="122" t="s">
        <v>2660</v>
      </c>
      <c r="C157" s="128">
        <v>41.0</v>
      </c>
      <c r="D157" s="13">
        <v>1.0</v>
      </c>
      <c r="E157" s="28">
        <v>0.4111111111111111</v>
      </c>
      <c r="F157" s="28">
        <v>0.47638888888888886</v>
      </c>
      <c r="G157" s="34" t="s">
        <v>2896</v>
      </c>
      <c r="H157" s="10" t="s">
        <v>2897</v>
      </c>
      <c r="I157" s="13">
        <v>86.0</v>
      </c>
      <c r="J157" s="13">
        <v>41.0</v>
      </c>
      <c r="K157" s="13">
        <v>32.0</v>
      </c>
      <c r="L157" s="13">
        <v>11.0</v>
      </c>
      <c r="M157" s="13">
        <v>15.0</v>
      </c>
      <c r="N157" s="13">
        <v>1.0</v>
      </c>
      <c r="O157" s="13">
        <v>9.0</v>
      </c>
      <c r="P157" s="13">
        <v>50.0</v>
      </c>
      <c r="Q157" s="132"/>
      <c r="R157" s="132">
        <f t="shared" ref="R157:R160" si="34">O157 / I157</f>
        <v>0.1046511628</v>
      </c>
      <c r="S157" s="132">
        <f t="shared" ref="S157:S160" si="35"> (P157 + O157)/I157</f>
        <v>0.6860465116</v>
      </c>
      <c r="T157" s="126">
        <f t="shared" ref="T157:T160" si="36"> O157 / P157</f>
        <v>0.18</v>
      </c>
    </row>
    <row r="158" ht="15.75" customHeight="1">
      <c r="A158" s="127"/>
      <c r="B158" s="122" t="s">
        <v>2663</v>
      </c>
      <c r="C158" s="128">
        <v>40.0</v>
      </c>
      <c r="D158" s="13">
        <v>1.0</v>
      </c>
      <c r="E158" s="28">
        <v>0.48055555555555557</v>
      </c>
      <c r="F158" s="28">
        <v>0.04375</v>
      </c>
      <c r="G158" s="34" t="s">
        <v>2898</v>
      </c>
      <c r="H158" s="10" t="s">
        <v>2899</v>
      </c>
      <c r="I158" s="13">
        <v>89.0</v>
      </c>
      <c r="J158" s="13">
        <v>42.0</v>
      </c>
      <c r="K158" s="13">
        <v>44.0</v>
      </c>
      <c r="L158" s="13">
        <v>3.0</v>
      </c>
      <c r="M158" s="13">
        <v>14.0</v>
      </c>
      <c r="N158" s="13">
        <v>0.0</v>
      </c>
      <c r="O158" s="13">
        <v>13.0</v>
      </c>
      <c r="P158" s="13">
        <v>61.0</v>
      </c>
      <c r="Q158" s="132"/>
      <c r="R158" s="132">
        <f t="shared" si="34"/>
        <v>0.1460674157</v>
      </c>
      <c r="S158" s="132">
        <f t="shared" si="35"/>
        <v>0.8314606742</v>
      </c>
      <c r="T158" s="126">
        <f t="shared" si="36"/>
        <v>0.2131147541</v>
      </c>
    </row>
    <row r="159" ht="15.75" customHeight="1">
      <c r="A159" s="127"/>
      <c r="B159" s="122" t="s">
        <v>2665</v>
      </c>
      <c r="C159" s="128">
        <v>28.0</v>
      </c>
      <c r="D159" s="13">
        <v>1.0</v>
      </c>
      <c r="E159" s="28">
        <v>0.04722222222222222</v>
      </c>
      <c r="F159" s="28">
        <v>0.10972222222222222</v>
      </c>
      <c r="G159" s="34" t="s">
        <v>2900</v>
      </c>
      <c r="H159" s="10" t="s">
        <v>2901</v>
      </c>
      <c r="I159" s="13">
        <v>109.0</v>
      </c>
      <c r="J159" s="13">
        <v>55.0</v>
      </c>
      <c r="K159" s="13">
        <v>47.0</v>
      </c>
      <c r="L159" s="13">
        <v>0.0</v>
      </c>
      <c r="M159" s="13">
        <v>36.0</v>
      </c>
      <c r="N159" s="13">
        <v>6.0</v>
      </c>
      <c r="O159" s="13">
        <v>19.0</v>
      </c>
      <c r="P159" s="13">
        <v>49.0</v>
      </c>
      <c r="Q159" s="132"/>
      <c r="R159" s="132">
        <f t="shared" si="34"/>
        <v>0.1743119266</v>
      </c>
      <c r="S159" s="132">
        <f t="shared" si="35"/>
        <v>0.623853211</v>
      </c>
      <c r="T159" s="126">
        <f t="shared" si="36"/>
        <v>0.387755102</v>
      </c>
    </row>
    <row r="160" ht="15.75" customHeight="1">
      <c r="A160" s="127"/>
      <c r="B160" s="122" t="s">
        <v>2666</v>
      </c>
      <c r="C160" s="128">
        <v>28.0</v>
      </c>
      <c r="D160" s="13">
        <v>1.0</v>
      </c>
      <c r="E160" s="28">
        <v>0.11319444444444444</v>
      </c>
      <c r="F160" s="28">
        <v>0.16944444444444445</v>
      </c>
      <c r="G160" s="34" t="s">
        <v>2902</v>
      </c>
      <c r="H160" s="10" t="s">
        <v>2903</v>
      </c>
      <c r="I160" s="13">
        <v>128.0</v>
      </c>
      <c r="J160" s="13">
        <v>68.0</v>
      </c>
      <c r="K160" s="13">
        <v>56.0</v>
      </c>
      <c r="L160" s="13">
        <v>2.0</v>
      </c>
      <c r="M160" s="13">
        <v>21.0</v>
      </c>
      <c r="N160" s="13">
        <v>2.0</v>
      </c>
      <c r="O160" s="13">
        <v>31.0</v>
      </c>
      <c r="P160" s="13">
        <v>75.0</v>
      </c>
      <c r="Q160" s="132"/>
      <c r="R160" s="132">
        <f t="shared" si="34"/>
        <v>0.2421875</v>
      </c>
      <c r="S160" s="132">
        <f t="shared" si="35"/>
        <v>0.828125</v>
      </c>
      <c r="T160" s="126">
        <f t="shared" si="36"/>
        <v>0.4133333333</v>
      </c>
    </row>
    <row r="161" ht="15.75" customHeight="1">
      <c r="A161" s="127"/>
      <c r="B161" s="122"/>
      <c r="C161" s="128"/>
      <c r="D161" s="13"/>
      <c r="E161" s="28"/>
      <c r="F161" s="28"/>
      <c r="G161" s="13"/>
      <c r="H161" s="10"/>
      <c r="I161" s="13"/>
      <c r="J161" s="13"/>
      <c r="K161" s="13"/>
      <c r="L161" s="13"/>
      <c r="M161" s="13"/>
      <c r="N161" s="13"/>
      <c r="O161" s="13"/>
      <c r="P161" s="13"/>
      <c r="Q161" s="132"/>
      <c r="R161" s="132"/>
      <c r="S161" s="132"/>
      <c r="T161" s="126"/>
    </row>
    <row r="162" ht="15.75" customHeight="1">
      <c r="A162" s="127">
        <v>45721.0</v>
      </c>
      <c r="B162" s="122" t="s">
        <v>2660</v>
      </c>
      <c r="C162" s="128">
        <v>42.0</v>
      </c>
      <c r="D162" s="13">
        <v>1.0</v>
      </c>
      <c r="E162" s="28">
        <v>0.3888888888888889</v>
      </c>
      <c r="F162" s="28">
        <v>0.44166666666666665</v>
      </c>
      <c r="G162" s="34" t="s">
        <v>2904</v>
      </c>
      <c r="H162" s="10" t="s">
        <v>2905</v>
      </c>
      <c r="I162" s="13">
        <v>76.0</v>
      </c>
      <c r="J162" s="13">
        <v>35.0</v>
      </c>
      <c r="K162" s="13">
        <v>34.0</v>
      </c>
      <c r="L162" s="13">
        <v>5.0</v>
      </c>
      <c r="M162" s="13">
        <v>17.0</v>
      </c>
      <c r="N162" s="13">
        <v>2.0</v>
      </c>
      <c r="O162" s="13">
        <v>7.0</v>
      </c>
      <c r="P162" s="13">
        <v>44.0</v>
      </c>
      <c r="Q162" s="132"/>
      <c r="R162" s="132">
        <f t="shared" ref="R162:R169" si="37">O162 / I162</f>
        <v>0.09210526316</v>
      </c>
      <c r="S162" s="132">
        <f t="shared" ref="S162:S169" si="38"> (P162 + O162)/I162</f>
        <v>0.6710526316</v>
      </c>
      <c r="T162" s="126">
        <f t="shared" ref="T162:T169" si="39"> O162 / P162</f>
        <v>0.1590909091</v>
      </c>
    </row>
    <row r="163" ht="15.75" customHeight="1">
      <c r="A163" s="127"/>
      <c r="B163" s="122" t="s">
        <v>2663</v>
      </c>
      <c r="C163" s="128">
        <v>41.0</v>
      </c>
      <c r="D163" s="13">
        <v>1.0</v>
      </c>
      <c r="E163" s="28">
        <v>0.44583333333333336</v>
      </c>
      <c r="F163" s="28">
        <v>0.4875</v>
      </c>
      <c r="G163" s="34" t="s">
        <v>2906</v>
      </c>
      <c r="H163" s="10" t="s">
        <v>2907</v>
      </c>
      <c r="I163" s="13">
        <v>63.0</v>
      </c>
      <c r="J163" s="13">
        <v>23.0</v>
      </c>
      <c r="K163" s="13">
        <v>39.0</v>
      </c>
      <c r="L163" s="13">
        <v>1.0</v>
      </c>
      <c r="M163" s="13">
        <v>6.0</v>
      </c>
      <c r="N163" s="13">
        <v>0.0</v>
      </c>
      <c r="O163" s="13">
        <v>19.0</v>
      </c>
      <c r="P163" s="13">
        <v>37.0</v>
      </c>
      <c r="Q163" s="132"/>
      <c r="R163" s="132">
        <f t="shared" si="37"/>
        <v>0.3015873016</v>
      </c>
      <c r="S163" s="132">
        <f t="shared" si="38"/>
        <v>0.8888888889</v>
      </c>
      <c r="T163" s="126">
        <f t="shared" si="39"/>
        <v>0.5135135135</v>
      </c>
    </row>
    <row r="164" ht="15.75" customHeight="1">
      <c r="A164" s="127"/>
      <c r="B164" s="122" t="s">
        <v>2665</v>
      </c>
      <c r="C164" s="128">
        <v>29.0</v>
      </c>
      <c r="D164" s="13">
        <v>1.0</v>
      </c>
      <c r="E164" s="28">
        <v>0.49236111111111114</v>
      </c>
      <c r="F164" s="28">
        <v>0.5402777777777777</v>
      </c>
      <c r="G164" s="34" t="s">
        <v>2908</v>
      </c>
      <c r="H164" s="10" t="s">
        <v>2909</v>
      </c>
      <c r="I164" s="13">
        <v>96.0</v>
      </c>
      <c r="J164" s="13">
        <v>52.0</v>
      </c>
      <c r="K164" s="13">
        <v>39.0</v>
      </c>
      <c r="L164" s="13">
        <v>1.0</v>
      </c>
      <c r="M164" s="13">
        <v>19.0</v>
      </c>
      <c r="N164" s="13">
        <v>3.0</v>
      </c>
      <c r="O164" s="13">
        <v>17.0</v>
      </c>
      <c r="P164" s="13">
        <v>55.0</v>
      </c>
      <c r="Q164" s="132"/>
      <c r="R164" s="132">
        <f t="shared" si="37"/>
        <v>0.1770833333</v>
      </c>
      <c r="S164" s="132">
        <f t="shared" si="38"/>
        <v>0.75</v>
      </c>
      <c r="T164" s="126">
        <f t="shared" si="39"/>
        <v>0.3090909091</v>
      </c>
    </row>
    <row r="165" ht="15.75" customHeight="1">
      <c r="A165" s="127"/>
      <c r="B165" s="122" t="s">
        <v>2666</v>
      </c>
      <c r="C165" s="128">
        <v>29.0</v>
      </c>
      <c r="D165" s="13">
        <v>1.0</v>
      </c>
      <c r="E165" s="28">
        <v>0.04375</v>
      </c>
      <c r="F165" s="28">
        <v>0.08541666666666667</v>
      </c>
      <c r="G165" s="34" t="s">
        <v>2910</v>
      </c>
      <c r="H165" s="10" t="s">
        <v>2911</v>
      </c>
      <c r="I165" s="13">
        <v>69.0</v>
      </c>
      <c r="J165" s="13">
        <v>30.0</v>
      </c>
      <c r="K165" s="13">
        <v>35.0</v>
      </c>
      <c r="L165" s="13">
        <v>2.0</v>
      </c>
      <c r="M165" s="13">
        <v>17.0</v>
      </c>
      <c r="N165" s="13">
        <v>2.0</v>
      </c>
      <c r="O165" s="13">
        <v>2.0</v>
      </c>
      <c r="P165" s="13">
        <v>46.0</v>
      </c>
      <c r="Q165" s="132"/>
      <c r="R165" s="132">
        <f t="shared" si="37"/>
        <v>0.02898550725</v>
      </c>
      <c r="S165" s="132">
        <f t="shared" si="38"/>
        <v>0.6956521739</v>
      </c>
      <c r="T165" s="126">
        <f t="shared" si="39"/>
        <v>0.04347826087</v>
      </c>
    </row>
    <row r="166" ht="15.75" customHeight="1">
      <c r="A166" s="127"/>
      <c r="B166" s="122" t="s">
        <v>2660</v>
      </c>
      <c r="C166" s="128">
        <v>43.0</v>
      </c>
      <c r="D166" s="13">
        <v>2.0</v>
      </c>
      <c r="E166" s="28">
        <v>0.09097222222222222</v>
      </c>
      <c r="F166" s="28">
        <v>0.125</v>
      </c>
      <c r="G166" s="34" t="s">
        <v>2912</v>
      </c>
      <c r="H166" s="10" t="s">
        <v>2913</v>
      </c>
      <c r="I166" s="13">
        <v>61.0</v>
      </c>
      <c r="J166" s="13">
        <v>27.0</v>
      </c>
      <c r="K166" s="13">
        <v>33.0</v>
      </c>
      <c r="L166" s="13">
        <v>0.0</v>
      </c>
      <c r="M166" s="13">
        <v>5.0</v>
      </c>
      <c r="N166" s="13">
        <v>1.0</v>
      </c>
      <c r="O166" s="13">
        <v>15.0</v>
      </c>
      <c r="P166" s="13">
        <v>39.0</v>
      </c>
      <c r="Q166" s="132"/>
      <c r="R166" s="132">
        <f t="shared" si="37"/>
        <v>0.2459016393</v>
      </c>
      <c r="S166" s="132">
        <f t="shared" si="38"/>
        <v>0.8852459016</v>
      </c>
      <c r="T166" s="126">
        <f t="shared" si="39"/>
        <v>0.3846153846</v>
      </c>
    </row>
    <row r="167" ht="15.75" customHeight="1">
      <c r="A167" s="127"/>
      <c r="B167" s="122" t="s">
        <v>2663</v>
      </c>
      <c r="C167" s="128">
        <v>42.0</v>
      </c>
      <c r="D167" s="13">
        <v>2.0</v>
      </c>
      <c r="E167" s="28">
        <v>0.12916666666666668</v>
      </c>
      <c r="F167" s="28">
        <v>0.16111111111111112</v>
      </c>
      <c r="G167" s="34" t="s">
        <v>2914</v>
      </c>
      <c r="H167" s="10" t="s">
        <v>2915</v>
      </c>
      <c r="I167" s="13">
        <v>52.0</v>
      </c>
      <c r="J167" s="13">
        <v>30.0</v>
      </c>
      <c r="K167" s="13">
        <v>20.0</v>
      </c>
      <c r="L167" s="13">
        <v>1.0</v>
      </c>
      <c r="M167" s="13">
        <v>5.0</v>
      </c>
      <c r="N167" s="13">
        <v>0.0</v>
      </c>
      <c r="O167" s="13">
        <v>2.0</v>
      </c>
      <c r="P167" s="13">
        <v>44.0</v>
      </c>
      <c r="Q167" s="132"/>
      <c r="R167" s="132">
        <f t="shared" si="37"/>
        <v>0.03846153846</v>
      </c>
      <c r="S167" s="132">
        <f t="shared" si="38"/>
        <v>0.8846153846</v>
      </c>
      <c r="T167" s="126">
        <f t="shared" si="39"/>
        <v>0.04545454545</v>
      </c>
    </row>
    <row r="168" ht="15.75" customHeight="1">
      <c r="A168" s="127"/>
      <c r="B168" s="122" t="s">
        <v>2665</v>
      </c>
      <c r="C168" s="128">
        <v>30.0</v>
      </c>
      <c r="D168" s="13">
        <v>2.0</v>
      </c>
      <c r="E168" s="28">
        <v>0.1638888888888889</v>
      </c>
      <c r="F168" s="28">
        <v>0.2</v>
      </c>
      <c r="G168" s="34" t="s">
        <v>2916</v>
      </c>
      <c r="H168" s="10" t="s">
        <v>2917</v>
      </c>
      <c r="I168" s="13">
        <v>48.0</v>
      </c>
      <c r="J168" s="13">
        <v>22.0</v>
      </c>
      <c r="K168" s="13">
        <v>22.0</v>
      </c>
      <c r="L168" s="13">
        <v>1.0</v>
      </c>
      <c r="M168" s="13">
        <v>9.0</v>
      </c>
      <c r="N168" s="13">
        <v>2.0</v>
      </c>
      <c r="O168" s="13">
        <v>15.0</v>
      </c>
      <c r="P168" s="13">
        <v>22.0</v>
      </c>
      <c r="Q168" s="132"/>
      <c r="R168" s="132">
        <f t="shared" si="37"/>
        <v>0.3125</v>
      </c>
      <c r="S168" s="132">
        <f t="shared" si="38"/>
        <v>0.7708333333</v>
      </c>
      <c r="T168" s="126">
        <f t="shared" si="39"/>
        <v>0.6818181818</v>
      </c>
    </row>
    <row r="169" ht="15.75" customHeight="1">
      <c r="A169" s="127"/>
      <c r="B169" s="122" t="s">
        <v>2666</v>
      </c>
      <c r="C169" s="128">
        <v>30.0</v>
      </c>
      <c r="D169" s="13">
        <v>2.0</v>
      </c>
      <c r="E169" s="28">
        <v>0.20277777777777778</v>
      </c>
      <c r="F169" s="28">
        <v>0.2326388888888889</v>
      </c>
      <c r="G169" s="34" t="s">
        <v>2918</v>
      </c>
      <c r="H169" s="10" t="s">
        <v>2919</v>
      </c>
      <c r="I169" s="13">
        <v>80.0</v>
      </c>
      <c r="J169" s="13">
        <v>39.0</v>
      </c>
      <c r="K169" s="13">
        <v>38.0</v>
      </c>
      <c r="L169" s="13">
        <v>3.0</v>
      </c>
      <c r="M169" s="13">
        <v>8.0</v>
      </c>
      <c r="N169" s="13">
        <v>0.0</v>
      </c>
      <c r="O169" s="13">
        <v>17.0</v>
      </c>
      <c r="P169" s="13">
        <v>54.0</v>
      </c>
      <c r="Q169" s="132"/>
      <c r="R169" s="132">
        <f t="shared" si="37"/>
        <v>0.2125</v>
      </c>
      <c r="S169" s="132">
        <f t="shared" si="38"/>
        <v>0.8875</v>
      </c>
      <c r="T169" s="126">
        <f t="shared" si="39"/>
        <v>0.3148148148</v>
      </c>
    </row>
    <row r="170" ht="15.75" customHeight="1">
      <c r="A170" s="127"/>
      <c r="B170" s="122"/>
      <c r="C170" s="128"/>
      <c r="D170" s="13"/>
      <c r="E170" s="28"/>
      <c r="F170" s="28"/>
      <c r="G170" s="13"/>
      <c r="H170" s="10"/>
      <c r="I170" s="13"/>
      <c r="J170" s="13"/>
      <c r="K170" s="13"/>
      <c r="L170" s="13"/>
      <c r="M170" s="13"/>
      <c r="N170" s="13"/>
      <c r="O170" s="13"/>
      <c r="P170" s="13"/>
      <c r="Q170" s="132"/>
      <c r="R170" s="132"/>
      <c r="S170" s="132"/>
      <c r="T170" s="126"/>
    </row>
    <row r="171" ht="15.75" customHeight="1">
      <c r="A171" s="127">
        <v>45722.0</v>
      </c>
      <c r="B171" s="122" t="s">
        <v>2660</v>
      </c>
      <c r="C171" s="128">
        <v>43.0</v>
      </c>
      <c r="D171" s="13">
        <v>1.0</v>
      </c>
      <c r="E171" s="28">
        <v>0.39166666666666666</v>
      </c>
      <c r="F171" s="28">
        <v>0.4409722222222222</v>
      </c>
      <c r="G171" s="34" t="s">
        <v>2920</v>
      </c>
      <c r="H171" s="10" t="s">
        <v>2921</v>
      </c>
      <c r="I171" s="13">
        <v>50.0</v>
      </c>
      <c r="J171" s="13">
        <v>21.0</v>
      </c>
      <c r="K171" s="13">
        <v>28.0</v>
      </c>
      <c r="L171" s="13">
        <v>1.0</v>
      </c>
      <c r="M171" s="13">
        <v>6.0</v>
      </c>
      <c r="N171" s="13">
        <v>0.0</v>
      </c>
      <c r="O171" s="13">
        <v>16.0</v>
      </c>
      <c r="P171" s="13">
        <v>27.0</v>
      </c>
      <c r="Q171" s="132"/>
      <c r="R171" s="132">
        <f t="shared" ref="R171:R176" si="40">O171 / I171</f>
        <v>0.32</v>
      </c>
      <c r="S171" s="132">
        <f t="shared" ref="S171:S176" si="41"> (P171 + O171)/I171</f>
        <v>0.86</v>
      </c>
      <c r="T171" s="126">
        <f t="shared" ref="T171:T176" si="42"> O171 / P171</f>
        <v>0.5925925926</v>
      </c>
    </row>
    <row r="172" ht="15.75" customHeight="1">
      <c r="A172" s="127"/>
      <c r="B172" s="122" t="s">
        <v>2663</v>
      </c>
      <c r="C172" s="128">
        <v>42.0</v>
      </c>
      <c r="D172" s="13">
        <v>1.0</v>
      </c>
      <c r="E172" s="28">
        <v>0.44305555555555554</v>
      </c>
      <c r="F172" s="28">
        <v>0.4875</v>
      </c>
      <c r="G172" s="34" t="s">
        <v>2922</v>
      </c>
      <c r="H172" s="10" t="s">
        <v>2923</v>
      </c>
      <c r="I172" s="13">
        <v>58.0</v>
      </c>
      <c r="J172" s="13">
        <v>30.0</v>
      </c>
      <c r="K172" s="13">
        <v>23.0</v>
      </c>
      <c r="L172" s="13">
        <v>4.0</v>
      </c>
      <c r="M172" s="13">
        <v>2.0</v>
      </c>
      <c r="N172" s="13">
        <v>0.0</v>
      </c>
      <c r="O172" s="13">
        <v>16.0</v>
      </c>
      <c r="P172" s="13">
        <v>35.0</v>
      </c>
      <c r="Q172" s="132"/>
      <c r="R172" s="132">
        <f t="shared" si="40"/>
        <v>0.275862069</v>
      </c>
      <c r="S172" s="132">
        <f t="shared" si="41"/>
        <v>0.8793103448</v>
      </c>
      <c r="T172" s="126">
        <f t="shared" si="42"/>
        <v>0.4571428571</v>
      </c>
    </row>
    <row r="173" ht="15.75" customHeight="1">
      <c r="A173" s="127"/>
      <c r="B173" s="122" t="s">
        <v>2665</v>
      </c>
      <c r="C173" s="128">
        <v>30.0</v>
      </c>
      <c r="D173" s="13">
        <v>1.0</v>
      </c>
      <c r="E173" s="28">
        <v>0.4909722222222222</v>
      </c>
      <c r="F173" s="28">
        <v>0.5340277777777778</v>
      </c>
      <c r="G173" s="34" t="s">
        <v>2924</v>
      </c>
      <c r="H173" s="10" t="s">
        <v>2925</v>
      </c>
      <c r="I173" s="13">
        <v>87.0</v>
      </c>
      <c r="J173" s="13">
        <v>43.0</v>
      </c>
      <c r="K173" s="13">
        <v>38.0</v>
      </c>
      <c r="L173" s="13">
        <v>0.0</v>
      </c>
      <c r="M173" s="13">
        <v>9.0</v>
      </c>
      <c r="N173" s="13">
        <v>6.0</v>
      </c>
      <c r="O173" s="13">
        <v>30.0</v>
      </c>
      <c r="P173" s="13">
        <v>41.0</v>
      </c>
      <c r="Q173" s="132"/>
      <c r="R173" s="132">
        <f t="shared" si="40"/>
        <v>0.3448275862</v>
      </c>
      <c r="S173" s="132">
        <f t="shared" si="41"/>
        <v>0.816091954</v>
      </c>
      <c r="T173" s="126">
        <f t="shared" si="42"/>
        <v>0.7317073171</v>
      </c>
    </row>
    <row r="174" ht="15.75" customHeight="1">
      <c r="A174" s="127"/>
      <c r="B174" s="122" t="s">
        <v>2666</v>
      </c>
      <c r="C174" s="128">
        <v>30.0</v>
      </c>
      <c r="D174" s="13">
        <v>1.0</v>
      </c>
      <c r="E174" s="28">
        <v>0.5368055555555555</v>
      </c>
      <c r="F174" s="28">
        <v>0.08055555555555556</v>
      </c>
      <c r="G174" s="34" t="s">
        <v>2926</v>
      </c>
      <c r="H174" s="10" t="s">
        <v>2927</v>
      </c>
      <c r="I174" s="13">
        <v>86.0</v>
      </c>
      <c r="J174" s="13">
        <v>41.0</v>
      </c>
      <c r="K174" s="13">
        <v>41.0</v>
      </c>
      <c r="L174" s="13">
        <v>1.0</v>
      </c>
      <c r="M174" s="13">
        <v>14.0</v>
      </c>
      <c r="N174" s="13">
        <v>2.0</v>
      </c>
      <c r="O174" s="13">
        <v>22.0</v>
      </c>
      <c r="P174" s="13">
        <v>47.0</v>
      </c>
      <c r="Q174" s="132"/>
      <c r="R174" s="132">
        <f t="shared" si="40"/>
        <v>0.2558139535</v>
      </c>
      <c r="S174" s="132">
        <f t="shared" si="41"/>
        <v>0.8023255814</v>
      </c>
      <c r="T174" s="126">
        <f t="shared" si="42"/>
        <v>0.4680851064</v>
      </c>
    </row>
    <row r="175" ht="15.75" customHeight="1">
      <c r="A175" s="127"/>
      <c r="B175" s="122" t="s">
        <v>2660</v>
      </c>
      <c r="C175" s="128">
        <v>44.0</v>
      </c>
      <c r="D175" s="13">
        <v>2.0</v>
      </c>
      <c r="E175" s="28">
        <v>0.08263888888888889</v>
      </c>
      <c r="F175" s="28">
        <v>0.12916666666666668</v>
      </c>
      <c r="G175" s="34" t="s">
        <v>2928</v>
      </c>
      <c r="H175" s="10" t="s">
        <v>2929</v>
      </c>
      <c r="I175" s="13">
        <v>77.0</v>
      </c>
      <c r="J175" s="13">
        <v>40.0</v>
      </c>
      <c r="K175" s="13">
        <v>31.0</v>
      </c>
      <c r="L175" s="13">
        <v>3.0</v>
      </c>
      <c r="M175" s="13">
        <v>7.0</v>
      </c>
      <c r="N175" s="13">
        <v>3.0</v>
      </c>
      <c r="O175" s="13">
        <v>17.0</v>
      </c>
      <c r="P175" s="13">
        <v>47.0</v>
      </c>
      <c r="Q175" s="132"/>
      <c r="R175" s="132">
        <f t="shared" si="40"/>
        <v>0.2207792208</v>
      </c>
      <c r="S175" s="132">
        <f t="shared" si="41"/>
        <v>0.8311688312</v>
      </c>
      <c r="T175" s="126">
        <f t="shared" si="42"/>
        <v>0.3617021277</v>
      </c>
    </row>
    <row r="176" ht="15.75" customHeight="1">
      <c r="A176" s="127"/>
      <c r="B176" s="122" t="s">
        <v>2663</v>
      </c>
      <c r="C176" s="128">
        <v>43.0</v>
      </c>
      <c r="D176" s="13">
        <v>2.0</v>
      </c>
      <c r="E176" s="28">
        <v>0.13194444444444445</v>
      </c>
      <c r="F176" s="28">
        <v>0.17083333333333334</v>
      </c>
      <c r="G176" s="34" t="s">
        <v>2930</v>
      </c>
      <c r="H176" s="10" t="s">
        <v>2931</v>
      </c>
      <c r="I176" s="13">
        <v>63.0</v>
      </c>
      <c r="J176" s="13">
        <v>34.0</v>
      </c>
      <c r="K176" s="13">
        <v>27.0</v>
      </c>
      <c r="L176" s="13">
        <v>2.0</v>
      </c>
      <c r="M176" s="13">
        <v>3.0</v>
      </c>
      <c r="N176" s="13">
        <v>0.0</v>
      </c>
      <c r="O176" s="13">
        <v>15.0</v>
      </c>
      <c r="P176" s="13">
        <v>43.0</v>
      </c>
      <c r="Q176" s="132"/>
      <c r="R176" s="132">
        <f t="shared" si="40"/>
        <v>0.2380952381</v>
      </c>
      <c r="S176" s="132">
        <f t="shared" si="41"/>
        <v>0.9206349206</v>
      </c>
      <c r="T176" s="126">
        <f t="shared" si="42"/>
        <v>0.3488372093</v>
      </c>
    </row>
    <row r="177" ht="15.75" customHeight="1">
      <c r="A177" s="127"/>
      <c r="B177" s="122"/>
      <c r="C177" s="128"/>
      <c r="D177" s="13"/>
      <c r="E177" s="28"/>
      <c r="F177" s="28"/>
      <c r="G177" s="13"/>
      <c r="H177" s="10"/>
      <c r="I177" s="13"/>
      <c r="J177" s="13"/>
      <c r="K177" s="13"/>
      <c r="L177" s="13"/>
      <c r="M177" s="13"/>
      <c r="N177" s="13"/>
      <c r="O177" s="13"/>
      <c r="P177" s="13"/>
      <c r="Q177" s="132"/>
      <c r="R177" s="132"/>
      <c r="S177" s="132"/>
      <c r="T177" s="126"/>
    </row>
    <row r="178" ht="15.75" customHeight="1">
      <c r="A178" s="127">
        <v>45726.0</v>
      </c>
      <c r="B178" s="122" t="s">
        <v>2660</v>
      </c>
      <c r="C178" s="128">
        <v>45.0</v>
      </c>
      <c r="D178" s="13">
        <v>1.0</v>
      </c>
      <c r="E178" s="28">
        <v>0.44166666666666665</v>
      </c>
      <c r="F178" s="28">
        <v>0.4861111111111111</v>
      </c>
      <c r="G178" s="34" t="s">
        <v>2932</v>
      </c>
      <c r="H178" s="10" t="s">
        <v>2933</v>
      </c>
      <c r="I178" s="13">
        <v>45.0</v>
      </c>
      <c r="J178" s="13">
        <v>17.0</v>
      </c>
      <c r="K178" s="13">
        <v>26.0</v>
      </c>
      <c r="L178" s="13">
        <v>0.0</v>
      </c>
      <c r="M178" s="13">
        <v>10.0</v>
      </c>
      <c r="N178" s="13">
        <v>2.0</v>
      </c>
      <c r="O178" s="13">
        <v>2.0</v>
      </c>
      <c r="P178" s="13">
        <v>31.0</v>
      </c>
      <c r="Q178" s="132"/>
      <c r="R178" s="132">
        <f t="shared" ref="R178:R183" si="43">O178 / I178</f>
        <v>0.04444444444</v>
      </c>
      <c r="S178" s="132">
        <f t="shared" ref="S178:S183" si="44"> (P178 + O178)/I178</f>
        <v>0.7333333333</v>
      </c>
      <c r="T178" s="126">
        <f t="shared" ref="T178:T183" si="45"> O178 / P178</f>
        <v>0.06451612903</v>
      </c>
    </row>
    <row r="179" ht="15.75" customHeight="1">
      <c r="A179" s="127"/>
      <c r="B179" s="122" t="s">
        <v>2663</v>
      </c>
      <c r="C179" s="128">
        <v>44.0</v>
      </c>
      <c r="D179" s="13">
        <v>1.0</v>
      </c>
      <c r="E179" s="28">
        <v>0.4895833333333333</v>
      </c>
      <c r="F179" s="28">
        <v>0.5326388888888889</v>
      </c>
      <c r="G179" s="34" t="s">
        <v>2934</v>
      </c>
      <c r="H179" s="10" t="s">
        <v>2935</v>
      </c>
      <c r="I179" s="13">
        <v>61.0</v>
      </c>
      <c r="J179" s="13">
        <v>32.0</v>
      </c>
      <c r="K179" s="13">
        <v>28.0</v>
      </c>
      <c r="L179" s="13">
        <v>1.0</v>
      </c>
      <c r="M179" s="13">
        <v>9.0</v>
      </c>
      <c r="N179" s="13">
        <v>0.0</v>
      </c>
      <c r="O179" s="13">
        <v>25.0</v>
      </c>
      <c r="P179" s="13">
        <v>25.0</v>
      </c>
      <c r="Q179" s="132"/>
      <c r="R179" s="132">
        <f t="shared" si="43"/>
        <v>0.4098360656</v>
      </c>
      <c r="S179" s="132">
        <f t="shared" si="44"/>
        <v>0.8196721311</v>
      </c>
      <c r="T179" s="126">
        <f t="shared" si="45"/>
        <v>1</v>
      </c>
    </row>
    <row r="180" ht="15.75" customHeight="1">
      <c r="A180" s="127"/>
      <c r="B180" s="122" t="s">
        <v>2665</v>
      </c>
      <c r="C180" s="128">
        <v>31.0</v>
      </c>
      <c r="D180" s="13">
        <v>1.0</v>
      </c>
      <c r="E180" s="28">
        <v>0.5361111111111111</v>
      </c>
      <c r="F180" s="28">
        <v>0.07847222222222222</v>
      </c>
      <c r="G180" s="34" t="s">
        <v>2936</v>
      </c>
      <c r="H180" s="10" t="s">
        <v>2937</v>
      </c>
      <c r="I180" s="13">
        <v>92.0</v>
      </c>
      <c r="J180" s="13">
        <v>45.0</v>
      </c>
      <c r="K180" s="13">
        <v>37.0</v>
      </c>
      <c r="L180" s="13">
        <v>0.0</v>
      </c>
      <c r="M180" s="13">
        <v>12.0</v>
      </c>
      <c r="N180" s="13">
        <v>9.0</v>
      </c>
      <c r="O180" s="13">
        <v>17.0</v>
      </c>
      <c r="P180" s="13">
        <v>55.0</v>
      </c>
      <c r="Q180" s="132"/>
      <c r="R180" s="132">
        <f t="shared" si="43"/>
        <v>0.1847826087</v>
      </c>
      <c r="S180" s="132">
        <f t="shared" si="44"/>
        <v>0.7826086957</v>
      </c>
      <c r="T180" s="126">
        <f t="shared" si="45"/>
        <v>0.3090909091</v>
      </c>
    </row>
    <row r="181" ht="15.75" customHeight="1">
      <c r="A181" s="127"/>
      <c r="B181" s="122" t="s">
        <v>2666</v>
      </c>
      <c r="C181" s="128">
        <v>31.0</v>
      </c>
      <c r="D181" s="13">
        <v>1.0</v>
      </c>
      <c r="E181" s="28">
        <v>0.08819444444444445</v>
      </c>
      <c r="F181" s="28">
        <v>0.1326388888888889</v>
      </c>
      <c r="G181" s="34" t="s">
        <v>2938</v>
      </c>
      <c r="H181" s="10" t="s">
        <v>2939</v>
      </c>
      <c r="I181" s="13">
        <v>86.0</v>
      </c>
      <c r="J181" s="13">
        <v>38.0</v>
      </c>
      <c r="K181" s="13">
        <v>39.0</v>
      </c>
      <c r="L181" s="13">
        <v>2.0</v>
      </c>
      <c r="M181" s="13">
        <v>12.0</v>
      </c>
      <c r="N181" s="13">
        <v>6.0</v>
      </c>
      <c r="O181" s="13">
        <v>30.0</v>
      </c>
      <c r="P181" s="13">
        <v>35.0</v>
      </c>
      <c r="Q181" s="132"/>
      <c r="R181" s="132">
        <f t="shared" si="43"/>
        <v>0.3488372093</v>
      </c>
      <c r="S181" s="132">
        <f t="shared" si="44"/>
        <v>0.7558139535</v>
      </c>
      <c r="T181" s="126">
        <f t="shared" si="45"/>
        <v>0.8571428571</v>
      </c>
    </row>
    <row r="182" ht="15.75" customHeight="1">
      <c r="A182" s="127"/>
      <c r="B182" s="122" t="s">
        <v>2660</v>
      </c>
      <c r="C182" s="128">
        <v>46.0</v>
      </c>
      <c r="D182" s="13">
        <v>2.0</v>
      </c>
      <c r="E182" s="28">
        <v>0.13541666666666666</v>
      </c>
      <c r="F182" s="28">
        <v>0.175</v>
      </c>
      <c r="G182" s="34" t="s">
        <v>2940</v>
      </c>
      <c r="H182" s="10" t="s">
        <v>2941</v>
      </c>
      <c r="I182" s="13">
        <v>70.0</v>
      </c>
      <c r="J182" s="13">
        <v>32.0</v>
      </c>
      <c r="K182" s="13">
        <v>37.0</v>
      </c>
      <c r="L182" s="13">
        <v>0.0</v>
      </c>
      <c r="M182" s="13">
        <v>7.0</v>
      </c>
      <c r="N182" s="13">
        <v>1.0</v>
      </c>
      <c r="O182" s="13">
        <v>21.0</v>
      </c>
      <c r="P182" s="13">
        <v>40.0</v>
      </c>
      <c r="Q182" s="132"/>
      <c r="R182" s="132">
        <f t="shared" si="43"/>
        <v>0.3</v>
      </c>
      <c r="S182" s="132">
        <f t="shared" si="44"/>
        <v>0.8714285714</v>
      </c>
      <c r="T182" s="126">
        <f t="shared" si="45"/>
        <v>0.525</v>
      </c>
    </row>
    <row r="183" ht="15.75" customHeight="1">
      <c r="A183" s="127"/>
      <c r="B183" s="122" t="s">
        <v>2663</v>
      </c>
      <c r="C183" s="128">
        <v>45.0</v>
      </c>
      <c r="D183" s="13">
        <v>2.0</v>
      </c>
      <c r="E183" s="28">
        <v>0.18055555555555555</v>
      </c>
      <c r="F183" s="28">
        <v>0.21319444444444444</v>
      </c>
      <c r="G183" s="34" t="s">
        <v>2942</v>
      </c>
      <c r="H183" s="10" t="s">
        <v>2943</v>
      </c>
      <c r="I183" s="13">
        <v>55.0</v>
      </c>
      <c r="J183" s="13">
        <v>26.0</v>
      </c>
      <c r="K183" s="13">
        <v>22.0</v>
      </c>
      <c r="L183" s="13">
        <v>6.0</v>
      </c>
      <c r="M183" s="13">
        <v>3.0</v>
      </c>
      <c r="N183" s="13">
        <v>0.0</v>
      </c>
      <c r="O183" s="13">
        <v>17.0</v>
      </c>
      <c r="P183" s="13">
        <v>29.0</v>
      </c>
      <c r="Q183" s="132"/>
      <c r="R183" s="132">
        <f t="shared" si="43"/>
        <v>0.3090909091</v>
      </c>
      <c r="S183" s="132">
        <f t="shared" si="44"/>
        <v>0.8363636364</v>
      </c>
      <c r="T183" s="126">
        <f t="shared" si="45"/>
        <v>0.5862068966</v>
      </c>
    </row>
    <row r="184" ht="15.75" customHeight="1">
      <c r="A184" s="127"/>
      <c r="B184" s="122"/>
      <c r="C184" s="128"/>
      <c r="E184" s="28"/>
      <c r="F184" s="28"/>
      <c r="G184" s="13"/>
      <c r="H184" s="10"/>
      <c r="I184" s="13"/>
      <c r="J184" s="13"/>
      <c r="K184" s="13"/>
      <c r="L184" s="13"/>
      <c r="M184" s="13"/>
      <c r="O184" s="13"/>
      <c r="Q184" s="132"/>
      <c r="R184" s="132"/>
      <c r="S184" s="132"/>
      <c r="T184" s="126"/>
    </row>
    <row r="185" ht="15.75" customHeight="1">
      <c r="A185" s="127">
        <v>45727.0</v>
      </c>
      <c r="B185" s="122" t="s">
        <v>2660</v>
      </c>
      <c r="C185" s="128">
        <v>47.0</v>
      </c>
      <c r="D185" s="13">
        <v>1.0</v>
      </c>
      <c r="E185" s="28">
        <v>0.4097222222222222</v>
      </c>
      <c r="F185" s="28">
        <v>0.45625</v>
      </c>
      <c r="G185" s="34" t="s">
        <v>2944</v>
      </c>
      <c r="H185" s="10" t="s">
        <v>2945</v>
      </c>
      <c r="I185" s="13">
        <v>63.0</v>
      </c>
      <c r="J185" s="13">
        <v>29.0</v>
      </c>
      <c r="K185" s="13">
        <v>32.0</v>
      </c>
      <c r="L185" s="13">
        <v>1.0</v>
      </c>
      <c r="M185" s="13">
        <v>12.0</v>
      </c>
      <c r="N185" s="13">
        <v>1.0</v>
      </c>
      <c r="O185" s="13">
        <v>16.0</v>
      </c>
      <c r="P185" s="13">
        <v>32.0</v>
      </c>
      <c r="Q185" s="132"/>
      <c r="R185" s="132">
        <f t="shared" ref="R185:R190" si="46">O185 / I185</f>
        <v>0.253968254</v>
      </c>
      <c r="S185" s="132">
        <f t="shared" ref="S185:S190" si="47"> (P185 + O185)/I185</f>
        <v>0.7619047619</v>
      </c>
      <c r="T185" s="126">
        <f t="shared" ref="T185:T190" si="48"> O185 / P185</f>
        <v>0.5</v>
      </c>
    </row>
    <row r="186" ht="15.75" customHeight="1">
      <c r="A186" s="127"/>
      <c r="B186" s="122" t="s">
        <v>2663</v>
      </c>
      <c r="C186" s="128">
        <v>46.0</v>
      </c>
      <c r="D186" s="13">
        <v>1.0</v>
      </c>
      <c r="E186" s="28">
        <v>0.4597222222222222</v>
      </c>
      <c r="F186" s="28">
        <v>0.5</v>
      </c>
      <c r="G186" s="34" t="s">
        <v>2946</v>
      </c>
      <c r="H186" s="10" t="s">
        <v>2947</v>
      </c>
      <c r="I186" s="13">
        <v>58.0</v>
      </c>
      <c r="J186" s="13">
        <v>24.0</v>
      </c>
      <c r="K186" s="13">
        <v>32.0</v>
      </c>
      <c r="L186" s="13">
        <v>1.0</v>
      </c>
      <c r="M186" s="13">
        <v>13.0</v>
      </c>
      <c r="N186" s="13">
        <v>0.0</v>
      </c>
      <c r="O186" s="13">
        <v>16.0</v>
      </c>
      <c r="P186" s="13">
        <v>27.0</v>
      </c>
      <c r="Q186" s="132"/>
      <c r="R186" s="132">
        <f t="shared" si="46"/>
        <v>0.275862069</v>
      </c>
      <c r="S186" s="132">
        <f t="shared" si="47"/>
        <v>0.7413793103</v>
      </c>
      <c r="T186" s="126">
        <f t="shared" si="48"/>
        <v>0.5925925926</v>
      </c>
    </row>
    <row r="187" ht="15.75" customHeight="1">
      <c r="A187" s="127"/>
      <c r="B187" s="122" t="s">
        <v>2665</v>
      </c>
      <c r="C187" s="128">
        <v>32.0</v>
      </c>
      <c r="D187" s="13">
        <v>1.0</v>
      </c>
      <c r="E187" s="28">
        <v>0.5034722222222222</v>
      </c>
      <c r="F187" s="28">
        <v>0.04722222222222222</v>
      </c>
      <c r="G187" s="34" t="s">
        <v>2948</v>
      </c>
      <c r="H187" s="10" t="s">
        <v>2949</v>
      </c>
      <c r="I187" s="13">
        <v>90.0</v>
      </c>
      <c r="J187" s="13">
        <v>43.0</v>
      </c>
      <c r="K187" s="13">
        <v>43.0</v>
      </c>
      <c r="L187" s="13">
        <v>1.0</v>
      </c>
      <c r="M187" s="13">
        <v>10.0</v>
      </c>
      <c r="N187" s="13">
        <v>3.0</v>
      </c>
      <c r="O187" s="13">
        <v>23.0</v>
      </c>
      <c r="P187" s="13">
        <v>53.0</v>
      </c>
      <c r="Q187" s="132"/>
      <c r="R187" s="132">
        <f t="shared" si="46"/>
        <v>0.2555555556</v>
      </c>
      <c r="S187" s="132">
        <f t="shared" si="47"/>
        <v>0.8444444444</v>
      </c>
      <c r="T187" s="126">
        <f t="shared" si="48"/>
        <v>0.4339622642</v>
      </c>
    </row>
    <row r="188" ht="15.75" customHeight="1">
      <c r="A188" s="127"/>
      <c r="B188" s="122" t="s">
        <v>2666</v>
      </c>
      <c r="C188" s="128">
        <v>32.0</v>
      </c>
      <c r="D188" s="13">
        <v>1.0</v>
      </c>
      <c r="E188" s="28">
        <v>0.050694444444444445</v>
      </c>
      <c r="F188" s="28">
        <v>0.09027777777777778</v>
      </c>
      <c r="G188" s="34" t="s">
        <v>2950</v>
      </c>
      <c r="H188" s="10" t="s">
        <v>2951</v>
      </c>
      <c r="I188" s="13">
        <v>68.0</v>
      </c>
      <c r="J188" s="13">
        <v>32.0</v>
      </c>
      <c r="K188" s="13">
        <v>36.0</v>
      </c>
      <c r="L188" s="13">
        <v>0.0</v>
      </c>
      <c r="M188" s="13">
        <v>27.0</v>
      </c>
      <c r="N188" s="13">
        <v>0.0</v>
      </c>
      <c r="O188" s="13">
        <v>16.0</v>
      </c>
      <c r="P188" s="13">
        <v>25.0</v>
      </c>
      <c r="Q188" s="132"/>
      <c r="R188" s="132">
        <f t="shared" si="46"/>
        <v>0.2352941176</v>
      </c>
      <c r="S188" s="132">
        <f t="shared" si="47"/>
        <v>0.6029411765</v>
      </c>
      <c r="T188" s="126">
        <f t="shared" si="48"/>
        <v>0.64</v>
      </c>
    </row>
    <row r="189" ht="15.75" customHeight="1">
      <c r="A189" s="127"/>
      <c r="B189" s="122" t="s">
        <v>2660</v>
      </c>
      <c r="C189" s="128">
        <v>48.0</v>
      </c>
      <c r="D189" s="13">
        <v>2.0</v>
      </c>
      <c r="E189" s="28">
        <v>0.09375</v>
      </c>
      <c r="F189" s="28">
        <v>0.13472222222222222</v>
      </c>
      <c r="G189" s="34" t="s">
        <v>2952</v>
      </c>
      <c r="H189" s="10" t="s">
        <v>2953</v>
      </c>
      <c r="I189" s="13">
        <v>76.0</v>
      </c>
      <c r="J189" s="13">
        <v>47.0</v>
      </c>
      <c r="K189" s="13">
        <v>29.0</v>
      </c>
      <c r="L189" s="13">
        <v>0.0</v>
      </c>
      <c r="M189" s="13">
        <v>7.0</v>
      </c>
      <c r="N189" s="13">
        <v>0.0</v>
      </c>
      <c r="O189" s="13">
        <v>33.0</v>
      </c>
      <c r="P189" s="13">
        <v>36.0</v>
      </c>
      <c r="Q189" s="132"/>
      <c r="R189" s="132">
        <f t="shared" si="46"/>
        <v>0.4342105263</v>
      </c>
      <c r="S189" s="132">
        <f t="shared" si="47"/>
        <v>0.9078947368</v>
      </c>
      <c r="T189" s="126">
        <f t="shared" si="48"/>
        <v>0.9166666667</v>
      </c>
    </row>
    <row r="190" ht="15.75" customHeight="1">
      <c r="A190" s="127"/>
      <c r="B190" s="122" t="s">
        <v>2663</v>
      </c>
      <c r="C190" s="128">
        <v>47.0</v>
      </c>
      <c r="D190" s="13">
        <v>2.0</v>
      </c>
      <c r="E190" s="28">
        <v>0.1388888888888889</v>
      </c>
      <c r="F190" s="28">
        <v>0.19444444444444445</v>
      </c>
      <c r="G190" s="34" t="s">
        <v>2954</v>
      </c>
      <c r="H190" s="10" t="s">
        <v>2955</v>
      </c>
      <c r="I190" s="13">
        <v>77.0</v>
      </c>
      <c r="J190" s="13">
        <v>40.0</v>
      </c>
      <c r="K190" s="13">
        <v>33.0</v>
      </c>
      <c r="L190" s="13">
        <v>2.0</v>
      </c>
      <c r="M190" s="13">
        <v>10.0</v>
      </c>
      <c r="N190" s="13">
        <v>1.0</v>
      </c>
      <c r="O190" s="13">
        <v>17.0</v>
      </c>
      <c r="P190" s="13">
        <v>48.0</v>
      </c>
      <c r="Q190" s="132"/>
      <c r="R190" s="132">
        <f t="shared" si="46"/>
        <v>0.2207792208</v>
      </c>
      <c r="S190" s="132">
        <f t="shared" si="47"/>
        <v>0.8441558442</v>
      </c>
      <c r="T190" s="126">
        <f t="shared" si="48"/>
        <v>0.3541666667</v>
      </c>
    </row>
    <row r="191" ht="15.75" customHeight="1">
      <c r="A191" s="127"/>
      <c r="B191" s="122"/>
      <c r="C191" s="128"/>
      <c r="D191" s="13"/>
      <c r="E191" s="28"/>
      <c r="F191" s="28"/>
      <c r="G191" s="13"/>
      <c r="H191" s="10"/>
      <c r="I191" s="13"/>
      <c r="J191" s="13"/>
      <c r="K191" s="13"/>
      <c r="L191" s="13"/>
      <c r="M191" s="13"/>
      <c r="N191" s="13"/>
      <c r="O191" s="13"/>
      <c r="P191" s="13"/>
      <c r="Q191" s="132"/>
      <c r="R191" s="132"/>
      <c r="S191" s="132"/>
      <c r="T191" s="126"/>
    </row>
    <row r="192" ht="15.75" customHeight="1">
      <c r="A192" s="127">
        <v>45728.0</v>
      </c>
      <c r="B192" s="122" t="s">
        <v>2660</v>
      </c>
      <c r="C192" s="128">
        <v>49.0</v>
      </c>
      <c r="D192" s="13">
        <v>1.0</v>
      </c>
      <c r="E192" s="28">
        <v>0.37430555555555556</v>
      </c>
      <c r="F192" s="28">
        <v>0.41805555555555557</v>
      </c>
      <c r="G192" s="34" t="s">
        <v>2956</v>
      </c>
      <c r="H192" s="10" t="s">
        <v>2957</v>
      </c>
      <c r="I192" s="13">
        <v>58.0</v>
      </c>
      <c r="J192" s="13">
        <v>27.0</v>
      </c>
      <c r="K192" s="13">
        <v>27.0</v>
      </c>
      <c r="L192" s="13">
        <v>1.0</v>
      </c>
      <c r="M192" s="13">
        <v>5.0</v>
      </c>
      <c r="N192" s="13">
        <v>2.0</v>
      </c>
      <c r="O192" s="13">
        <v>17.0</v>
      </c>
      <c r="P192" s="13">
        <v>32.0</v>
      </c>
      <c r="Q192" s="132"/>
      <c r="R192" s="132">
        <f t="shared" ref="R192:R199" si="49">O192 / I192</f>
        <v>0.2931034483</v>
      </c>
      <c r="S192" s="132">
        <f t="shared" ref="S192:S199" si="50"> (P192 + O192)/I192</f>
        <v>0.8448275862</v>
      </c>
      <c r="T192" s="126">
        <f t="shared" ref="T192:T199" si="51"> O192 / P192</f>
        <v>0.53125</v>
      </c>
    </row>
    <row r="193" ht="15.75" customHeight="1">
      <c r="A193" s="127"/>
      <c r="B193" s="122" t="s">
        <v>2663</v>
      </c>
      <c r="C193" s="128">
        <v>48.0</v>
      </c>
      <c r="D193" s="13">
        <v>1.0</v>
      </c>
      <c r="E193" s="28">
        <v>0.42291666666666666</v>
      </c>
      <c r="F193" s="28">
        <v>0.4701388888888889</v>
      </c>
      <c r="G193" s="34" t="s">
        <v>2958</v>
      </c>
      <c r="H193" s="10" t="s">
        <v>2959</v>
      </c>
      <c r="I193" s="13">
        <v>52.0</v>
      </c>
      <c r="J193" s="13">
        <v>23.0</v>
      </c>
      <c r="K193" s="13">
        <v>24.0</v>
      </c>
      <c r="L193" s="13">
        <v>3.0</v>
      </c>
      <c r="M193" s="13">
        <v>4.0</v>
      </c>
      <c r="N193" s="13">
        <v>2.0</v>
      </c>
      <c r="O193" s="13">
        <v>15.0</v>
      </c>
      <c r="P193" s="13">
        <v>28.0</v>
      </c>
      <c r="Q193" s="132"/>
      <c r="R193" s="132">
        <f t="shared" si="49"/>
        <v>0.2884615385</v>
      </c>
      <c r="S193" s="132">
        <f t="shared" si="50"/>
        <v>0.8269230769</v>
      </c>
      <c r="T193" s="126">
        <f t="shared" si="51"/>
        <v>0.5357142857</v>
      </c>
    </row>
    <row r="194" ht="15.75" customHeight="1">
      <c r="A194" s="127"/>
      <c r="B194" s="122" t="s">
        <v>2665</v>
      </c>
      <c r="C194" s="128">
        <v>33.0</v>
      </c>
      <c r="D194" s="13">
        <v>1.0</v>
      </c>
      <c r="E194" s="28">
        <v>0.475</v>
      </c>
      <c r="F194" s="28">
        <v>0.5173611111111112</v>
      </c>
      <c r="G194" s="34" t="s">
        <v>2960</v>
      </c>
      <c r="H194" s="10" t="s">
        <v>2961</v>
      </c>
      <c r="I194" s="13">
        <v>54.0</v>
      </c>
      <c r="J194" s="13">
        <v>24.0</v>
      </c>
      <c r="K194" s="13">
        <v>28.0</v>
      </c>
      <c r="L194" s="13">
        <v>0.0</v>
      </c>
      <c r="M194" s="13">
        <v>9.0</v>
      </c>
      <c r="N194" s="13">
        <v>2.0</v>
      </c>
      <c r="O194" s="13">
        <v>16.0</v>
      </c>
      <c r="P194" s="13">
        <v>27.0</v>
      </c>
      <c r="Q194" s="132"/>
      <c r="R194" s="132">
        <f t="shared" si="49"/>
        <v>0.2962962963</v>
      </c>
      <c r="S194" s="132">
        <f t="shared" si="50"/>
        <v>0.7962962963</v>
      </c>
      <c r="T194" s="126">
        <f t="shared" si="51"/>
        <v>0.5925925926</v>
      </c>
    </row>
    <row r="195" ht="15.75" customHeight="1">
      <c r="A195" s="127"/>
      <c r="B195" s="122" t="s">
        <v>2666</v>
      </c>
      <c r="C195" s="128">
        <v>33.0</v>
      </c>
      <c r="D195" s="13">
        <v>1.0</v>
      </c>
      <c r="E195" s="28">
        <v>0.5222222222222223</v>
      </c>
      <c r="F195" s="28">
        <v>0.06458333333333334</v>
      </c>
      <c r="G195" s="34" t="s">
        <v>2962</v>
      </c>
      <c r="H195" s="10" t="s">
        <v>2963</v>
      </c>
      <c r="I195" s="13">
        <v>57.0</v>
      </c>
      <c r="J195" s="13">
        <v>28.0</v>
      </c>
      <c r="K195" s="13">
        <v>26.0</v>
      </c>
      <c r="L195" s="13">
        <v>2.0</v>
      </c>
      <c r="M195" s="13">
        <v>15.0</v>
      </c>
      <c r="N195" s="13">
        <v>1.0</v>
      </c>
      <c r="O195" s="13">
        <v>11.0</v>
      </c>
      <c r="P195" s="13">
        <v>28.0</v>
      </c>
      <c r="Q195" s="132"/>
      <c r="R195" s="132">
        <f t="shared" si="49"/>
        <v>0.1929824561</v>
      </c>
      <c r="S195" s="132">
        <f t="shared" si="50"/>
        <v>0.6842105263</v>
      </c>
      <c r="T195" s="126">
        <f t="shared" si="51"/>
        <v>0.3928571429</v>
      </c>
    </row>
    <row r="196" ht="15.75" customHeight="1">
      <c r="A196" s="127"/>
      <c r="B196" s="122" t="s">
        <v>2660</v>
      </c>
      <c r="C196" s="128">
        <v>50.0</v>
      </c>
      <c r="D196" s="13">
        <v>2.0</v>
      </c>
      <c r="E196" s="28">
        <v>0.06875</v>
      </c>
      <c r="F196" s="28">
        <v>0.1125</v>
      </c>
      <c r="G196" s="34" t="s">
        <v>2964</v>
      </c>
      <c r="H196" s="10" t="s">
        <v>2965</v>
      </c>
      <c r="I196" s="13">
        <v>65.0</v>
      </c>
      <c r="J196" s="13">
        <v>31.0</v>
      </c>
      <c r="K196" s="13">
        <v>27.0</v>
      </c>
      <c r="L196" s="13">
        <v>6.0</v>
      </c>
      <c r="M196" s="13">
        <v>11.0</v>
      </c>
      <c r="N196" s="13">
        <v>0.0</v>
      </c>
      <c r="O196" s="13">
        <v>19.0</v>
      </c>
      <c r="P196" s="13">
        <v>32.0</v>
      </c>
      <c r="Q196" s="132"/>
      <c r="R196" s="132">
        <f t="shared" si="49"/>
        <v>0.2923076923</v>
      </c>
      <c r="S196" s="132">
        <f t="shared" si="50"/>
        <v>0.7846153846</v>
      </c>
      <c r="T196" s="126">
        <f t="shared" si="51"/>
        <v>0.59375</v>
      </c>
    </row>
    <row r="197" ht="15.75" customHeight="1">
      <c r="A197" s="127"/>
      <c r="B197" s="122" t="s">
        <v>2663</v>
      </c>
      <c r="C197" s="128">
        <v>49.0</v>
      </c>
      <c r="D197" s="13">
        <v>2.0</v>
      </c>
      <c r="E197" s="28">
        <v>0.11597222222222223</v>
      </c>
      <c r="F197" s="28">
        <v>0.15902777777777777</v>
      </c>
      <c r="G197" s="34" t="s">
        <v>2966</v>
      </c>
      <c r="H197" s="10" t="s">
        <v>2967</v>
      </c>
      <c r="I197" s="13">
        <v>54.0</v>
      </c>
      <c r="J197" s="13">
        <v>22.0</v>
      </c>
      <c r="K197" s="13">
        <v>30.0</v>
      </c>
      <c r="L197" s="13">
        <v>2.0</v>
      </c>
      <c r="M197" s="13">
        <v>8.0</v>
      </c>
      <c r="N197" s="13">
        <v>0.0</v>
      </c>
      <c r="O197" s="13">
        <v>4.0</v>
      </c>
      <c r="P197" s="13">
        <v>40.0</v>
      </c>
      <c r="Q197" s="132"/>
      <c r="R197" s="132">
        <f t="shared" si="49"/>
        <v>0.07407407407</v>
      </c>
      <c r="S197" s="132">
        <f t="shared" si="50"/>
        <v>0.8148148148</v>
      </c>
      <c r="T197" s="126">
        <f t="shared" si="51"/>
        <v>0.1</v>
      </c>
    </row>
    <row r="198" ht="15.75" customHeight="1">
      <c r="A198" s="127"/>
      <c r="B198" s="122" t="s">
        <v>2665</v>
      </c>
      <c r="C198" s="128">
        <v>34.0</v>
      </c>
      <c r="D198" s="13">
        <v>2.0</v>
      </c>
      <c r="E198" s="28">
        <v>0.16319444444444445</v>
      </c>
      <c r="F198" s="28">
        <v>0.2</v>
      </c>
      <c r="G198" s="34" t="s">
        <v>2968</v>
      </c>
      <c r="H198" s="10" t="s">
        <v>2969</v>
      </c>
      <c r="I198" s="13">
        <v>63.0</v>
      </c>
      <c r="J198" s="13">
        <v>29.0</v>
      </c>
      <c r="K198" s="13">
        <v>33.0</v>
      </c>
      <c r="L198" s="13">
        <v>0.0</v>
      </c>
      <c r="M198" s="13">
        <v>8.0</v>
      </c>
      <c r="N198" s="13">
        <v>0.0</v>
      </c>
      <c r="O198" s="13">
        <v>23.0</v>
      </c>
      <c r="P198" s="13">
        <v>32.0</v>
      </c>
      <c r="Q198" s="132"/>
      <c r="R198" s="132">
        <f t="shared" si="49"/>
        <v>0.3650793651</v>
      </c>
      <c r="S198" s="132">
        <f t="shared" si="50"/>
        <v>0.873015873</v>
      </c>
      <c r="T198" s="126">
        <f t="shared" si="51"/>
        <v>0.71875</v>
      </c>
    </row>
    <row r="199" ht="15.75" customHeight="1">
      <c r="A199" s="127"/>
      <c r="B199" s="122" t="s">
        <v>2666</v>
      </c>
      <c r="C199" s="128">
        <v>34.0</v>
      </c>
      <c r="D199" s="13">
        <v>2.0</v>
      </c>
      <c r="E199" s="28">
        <v>0.2048611111111111</v>
      </c>
      <c r="F199" s="28">
        <v>0.23472222222222222</v>
      </c>
      <c r="G199" s="34" t="s">
        <v>2970</v>
      </c>
      <c r="H199" s="10" t="s">
        <v>2971</v>
      </c>
      <c r="I199" s="13">
        <v>43.0</v>
      </c>
      <c r="J199" s="13">
        <v>24.0</v>
      </c>
      <c r="K199" s="13">
        <v>12.0</v>
      </c>
      <c r="L199" s="13">
        <v>2.0</v>
      </c>
      <c r="M199" s="13">
        <v>10.0</v>
      </c>
      <c r="N199" s="13">
        <v>3.0</v>
      </c>
      <c r="O199" s="13">
        <v>10.0</v>
      </c>
      <c r="P199" s="13">
        <v>17.0</v>
      </c>
      <c r="Q199" s="132"/>
      <c r="R199" s="132">
        <f t="shared" si="49"/>
        <v>0.2325581395</v>
      </c>
      <c r="S199" s="132">
        <f t="shared" si="50"/>
        <v>0.6279069767</v>
      </c>
      <c r="T199" s="126">
        <f t="shared" si="51"/>
        <v>0.5882352941</v>
      </c>
    </row>
    <row r="200" ht="15.75" customHeight="1">
      <c r="A200" s="127"/>
      <c r="B200" s="122"/>
      <c r="C200" s="128"/>
      <c r="E200" s="28"/>
      <c r="F200" s="28"/>
      <c r="G200" s="13"/>
      <c r="H200" s="10"/>
      <c r="I200" s="13"/>
      <c r="J200" s="13"/>
      <c r="K200" s="13"/>
      <c r="L200" s="13"/>
      <c r="M200" s="13"/>
      <c r="O200" s="13"/>
      <c r="Q200" s="132"/>
      <c r="R200" s="132"/>
      <c r="S200" s="132"/>
      <c r="T200" s="126"/>
    </row>
    <row r="201" ht="15.75" customHeight="1">
      <c r="A201" s="127">
        <v>45729.0</v>
      </c>
      <c r="B201" s="122" t="s">
        <v>2660</v>
      </c>
      <c r="C201" s="128">
        <v>50.0</v>
      </c>
      <c r="D201" s="13">
        <v>1.0</v>
      </c>
      <c r="E201" s="28">
        <v>0.39375</v>
      </c>
      <c r="F201" s="28">
        <v>0.4444444444444444</v>
      </c>
      <c r="G201" s="34" t="s">
        <v>2972</v>
      </c>
      <c r="H201" s="10" t="s">
        <v>2973</v>
      </c>
      <c r="I201" s="13">
        <v>56.0</v>
      </c>
      <c r="J201" s="13">
        <v>30.0</v>
      </c>
      <c r="K201" s="13">
        <v>25.0</v>
      </c>
      <c r="L201" s="13">
        <v>0.0</v>
      </c>
      <c r="M201" s="13">
        <v>11.0</v>
      </c>
      <c r="N201" s="13">
        <v>1.0</v>
      </c>
      <c r="O201" s="13">
        <v>15.0</v>
      </c>
      <c r="P201" s="13">
        <v>29.0</v>
      </c>
      <c r="Q201" s="132"/>
      <c r="R201" s="132">
        <f t="shared" ref="R201:R206" si="52">O201 / I201</f>
        <v>0.2678571429</v>
      </c>
      <c r="S201" s="132">
        <f t="shared" ref="S201:S206" si="53"> (P201 + O201)/I201</f>
        <v>0.7857142857</v>
      </c>
      <c r="T201" s="126">
        <f t="shared" ref="T201:T206" si="54"> O201 / P201</f>
        <v>0.5172413793</v>
      </c>
    </row>
    <row r="202" ht="15.75" customHeight="1">
      <c r="A202" s="127"/>
      <c r="B202" s="122" t="s">
        <v>2663</v>
      </c>
      <c r="C202" s="128">
        <v>49.0</v>
      </c>
      <c r="D202" s="13">
        <v>1.0</v>
      </c>
      <c r="E202" s="28">
        <v>0.4479166666666667</v>
      </c>
      <c r="F202" s="28">
        <v>0.4909722222222222</v>
      </c>
      <c r="G202" s="34" t="s">
        <v>2974</v>
      </c>
      <c r="H202" s="10" t="s">
        <v>2975</v>
      </c>
      <c r="I202" s="13">
        <v>52.0</v>
      </c>
      <c r="J202" s="13">
        <v>24.0</v>
      </c>
      <c r="K202" s="13">
        <v>27.0</v>
      </c>
      <c r="L202" s="13">
        <v>1.0</v>
      </c>
      <c r="M202" s="13">
        <v>8.0</v>
      </c>
      <c r="N202" s="13">
        <v>0.0</v>
      </c>
      <c r="O202" s="13">
        <v>15.0</v>
      </c>
      <c r="P202" s="13">
        <v>28.0</v>
      </c>
      <c r="Q202" s="132"/>
      <c r="R202" s="132">
        <f t="shared" si="52"/>
        <v>0.2884615385</v>
      </c>
      <c r="S202" s="132">
        <f t="shared" si="53"/>
        <v>0.8269230769</v>
      </c>
      <c r="T202" s="126">
        <f t="shared" si="54"/>
        <v>0.5357142857</v>
      </c>
    </row>
    <row r="203" ht="15.75" customHeight="1">
      <c r="A203" s="127"/>
      <c r="B203" s="122" t="s">
        <v>2665</v>
      </c>
      <c r="C203" s="128">
        <v>34.0</v>
      </c>
      <c r="D203" s="13">
        <v>1.0</v>
      </c>
      <c r="E203" s="28">
        <v>0.49444444444444446</v>
      </c>
      <c r="F203" s="28">
        <v>0.5375</v>
      </c>
      <c r="G203" s="34" t="s">
        <v>2976</v>
      </c>
      <c r="H203" s="10"/>
      <c r="I203" s="13">
        <v>62.0</v>
      </c>
      <c r="J203" s="13">
        <v>31.0</v>
      </c>
      <c r="K203" s="13">
        <v>25.0</v>
      </c>
      <c r="L203" s="13">
        <v>1.0</v>
      </c>
      <c r="M203" s="13">
        <v>10.0</v>
      </c>
      <c r="N203" s="13">
        <v>5.0</v>
      </c>
      <c r="O203" s="13">
        <v>16.0</v>
      </c>
      <c r="P203" s="13">
        <v>30.0</v>
      </c>
      <c r="Q203" s="132"/>
      <c r="R203" s="132">
        <f t="shared" si="52"/>
        <v>0.2580645161</v>
      </c>
      <c r="S203" s="132">
        <f t="shared" si="53"/>
        <v>0.7419354839</v>
      </c>
      <c r="T203" s="126">
        <f t="shared" si="54"/>
        <v>0.5333333333</v>
      </c>
    </row>
    <row r="204" ht="15.75" customHeight="1">
      <c r="A204" s="127"/>
      <c r="B204" s="122" t="s">
        <v>2666</v>
      </c>
      <c r="C204" s="128">
        <v>34.0</v>
      </c>
      <c r="D204" s="13">
        <v>1.0</v>
      </c>
      <c r="E204" s="28">
        <v>0.5395833333333333</v>
      </c>
      <c r="F204" s="28">
        <v>0.08611111111111111</v>
      </c>
      <c r="G204" s="34" t="s">
        <v>2977</v>
      </c>
      <c r="H204" s="10" t="s">
        <v>2978</v>
      </c>
      <c r="I204" s="13">
        <v>52.0</v>
      </c>
      <c r="J204" s="13">
        <v>22.0</v>
      </c>
      <c r="K204" s="13">
        <v>21.0</v>
      </c>
      <c r="L204" s="13">
        <v>2.0</v>
      </c>
      <c r="M204" s="13">
        <v>17.0</v>
      </c>
      <c r="N204" s="13">
        <v>6.0</v>
      </c>
      <c r="O204" s="13">
        <v>4.0</v>
      </c>
      <c r="P204" s="13">
        <v>22.0</v>
      </c>
      <c r="Q204" s="132"/>
      <c r="R204" s="132">
        <f t="shared" si="52"/>
        <v>0.07692307692</v>
      </c>
      <c r="S204" s="132">
        <f t="shared" si="53"/>
        <v>0.5</v>
      </c>
      <c r="T204" s="126">
        <f t="shared" si="54"/>
        <v>0.1818181818</v>
      </c>
    </row>
    <row r="205" ht="15.75" customHeight="1">
      <c r="A205" s="127"/>
      <c r="B205" s="122" t="s">
        <v>2660</v>
      </c>
      <c r="C205" s="128">
        <v>51.0</v>
      </c>
      <c r="D205" s="13">
        <v>2.0</v>
      </c>
      <c r="E205" s="28">
        <v>0.08819444444444445</v>
      </c>
      <c r="F205" s="28">
        <v>0.13680555555555557</v>
      </c>
      <c r="G205" s="34" t="s">
        <v>2979</v>
      </c>
      <c r="H205" s="10" t="s">
        <v>2980</v>
      </c>
      <c r="I205" s="13">
        <v>87.0</v>
      </c>
      <c r="J205" s="13">
        <v>38.0</v>
      </c>
      <c r="K205" s="13">
        <v>47.0</v>
      </c>
      <c r="L205" s="13">
        <v>2.0</v>
      </c>
      <c r="M205" s="13">
        <v>3.0</v>
      </c>
      <c r="N205" s="13">
        <v>0.0</v>
      </c>
      <c r="O205" s="13">
        <v>3.0</v>
      </c>
      <c r="P205" s="13">
        <v>78.0</v>
      </c>
      <c r="Q205" s="132"/>
      <c r="R205" s="132">
        <f t="shared" si="52"/>
        <v>0.03448275862</v>
      </c>
      <c r="S205" s="132">
        <f t="shared" si="53"/>
        <v>0.9310344828</v>
      </c>
      <c r="T205" s="126">
        <f t="shared" si="54"/>
        <v>0.03846153846</v>
      </c>
    </row>
    <row r="206" ht="15.75" customHeight="1">
      <c r="A206" s="127"/>
      <c r="B206" s="122" t="s">
        <v>2663</v>
      </c>
      <c r="C206" s="128">
        <v>50.0</v>
      </c>
      <c r="D206" s="13">
        <v>2.0</v>
      </c>
      <c r="E206" s="28">
        <v>0.14027777777777778</v>
      </c>
      <c r="F206" s="28">
        <v>0.18888888888888888</v>
      </c>
      <c r="G206" s="34" t="s">
        <v>2981</v>
      </c>
      <c r="H206" s="10" t="s">
        <v>2982</v>
      </c>
      <c r="I206" s="13">
        <v>69.0</v>
      </c>
      <c r="J206" s="13">
        <v>38.0</v>
      </c>
      <c r="K206" s="13">
        <v>29.0</v>
      </c>
      <c r="L206" s="13">
        <v>1.0</v>
      </c>
      <c r="M206" s="13">
        <v>3.0</v>
      </c>
      <c r="N206" s="13">
        <v>1.0</v>
      </c>
      <c r="O206" s="13">
        <v>19.0</v>
      </c>
      <c r="P206" s="13">
        <v>46.0</v>
      </c>
      <c r="Q206" s="132"/>
      <c r="R206" s="132">
        <f t="shared" si="52"/>
        <v>0.2753623188</v>
      </c>
      <c r="S206" s="132">
        <f t="shared" si="53"/>
        <v>0.9420289855</v>
      </c>
      <c r="T206" s="126">
        <f t="shared" si="54"/>
        <v>0.4130434783</v>
      </c>
    </row>
    <row r="207" ht="15.75" customHeight="1">
      <c r="A207" s="127"/>
      <c r="B207" s="122" t="s">
        <v>2660</v>
      </c>
      <c r="C207" s="128">
        <v>52.0</v>
      </c>
      <c r="D207" s="13">
        <v>3.0</v>
      </c>
      <c r="E207" s="28">
        <v>0.19166666666666668</v>
      </c>
      <c r="F207" s="28">
        <v>0.22430555555555556</v>
      </c>
      <c r="G207" s="34" t="s">
        <v>2983</v>
      </c>
      <c r="H207" s="10" t="s">
        <v>2984</v>
      </c>
      <c r="I207" s="13">
        <v>54.0</v>
      </c>
      <c r="J207" s="13">
        <v>24.0</v>
      </c>
      <c r="K207" s="13">
        <v>23.0</v>
      </c>
      <c r="L207" s="13">
        <v>5.0</v>
      </c>
      <c r="M207" s="13">
        <v>2.0</v>
      </c>
      <c r="N207" s="13">
        <v>1.0</v>
      </c>
      <c r="O207" s="13">
        <v>10.0</v>
      </c>
      <c r="P207" s="13">
        <v>35.0</v>
      </c>
      <c r="Q207" s="132"/>
      <c r="R207" s="132"/>
      <c r="S207" s="132"/>
      <c r="T207" s="126"/>
    </row>
    <row r="208" ht="15.75" customHeight="1">
      <c r="A208" s="127"/>
      <c r="B208" s="122" t="s">
        <v>2663</v>
      </c>
      <c r="C208" s="128">
        <v>51.0</v>
      </c>
      <c r="D208" s="13">
        <v>3.0</v>
      </c>
      <c r="E208" s="28">
        <v>0.22708333333333333</v>
      </c>
      <c r="F208" s="28">
        <v>0.2604166666666667</v>
      </c>
      <c r="G208" s="34" t="s">
        <v>2985</v>
      </c>
      <c r="H208" s="10" t="s">
        <v>2986</v>
      </c>
      <c r="I208" s="13">
        <v>16.0</v>
      </c>
      <c r="J208" s="13">
        <v>5.0</v>
      </c>
      <c r="K208" s="13">
        <v>9.0</v>
      </c>
      <c r="L208" s="13">
        <v>2.0</v>
      </c>
      <c r="M208" s="13">
        <v>3.0</v>
      </c>
      <c r="N208" s="13">
        <v>0.0</v>
      </c>
      <c r="O208" s="13">
        <v>2.0</v>
      </c>
      <c r="P208" s="13">
        <v>9.0</v>
      </c>
      <c r="Q208" s="132"/>
      <c r="R208" s="132"/>
      <c r="S208" s="132"/>
      <c r="T208" s="126"/>
    </row>
    <row r="209" ht="15.75" customHeight="1">
      <c r="A209" s="127"/>
      <c r="B209" s="122"/>
      <c r="C209" s="128"/>
      <c r="D209" s="13"/>
      <c r="E209" s="28"/>
      <c r="F209" s="28"/>
      <c r="G209" s="13"/>
      <c r="H209" s="10"/>
      <c r="I209" s="13"/>
      <c r="J209" s="13"/>
      <c r="K209" s="13"/>
      <c r="L209" s="13"/>
      <c r="M209" s="13"/>
      <c r="N209" s="13"/>
      <c r="O209" s="13"/>
      <c r="P209" s="13"/>
      <c r="Q209" s="132"/>
      <c r="R209" s="132"/>
      <c r="S209" s="132"/>
      <c r="T209" s="126"/>
    </row>
    <row r="210" ht="15.75" customHeight="1">
      <c r="A210" s="127">
        <v>45744.0</v>
      </c>
      <c r="B210" s="122" t="s">
        <v>2660</v>
      </c>
      <c r="C210" s="128"/>
      <c r="D210" s="13">
        <v>1.0</v>
      </c>
      <c r="E210" s="28">
        <v>0.4513888888888889</v>
      </c>
      <c r="F210" s="28">
        <v>0.4708333333333333</v>
      </c>
      <c r="G210" s="13" t="s">
        <v>2507</v>
      </c>
      <c r="H210" s="10"/>
      <c r="I210" s="13"/>
      <c r="J210" s="13"/>
      <c r="K210" s="13"/>
      <c r="L210" s="13"/>
      <c r="M210" s="13"/>
      <c r="N210" s="13"/>
      <c r="O210" s="13"/>
      <c r="P210" s="13"/>
      <c r="Q210" s="132"/>
      <c r="R210" s="132"/>
      <c r="S210" s="132"/>
      <c r="T210" s="126"/>
    </row>
    <row r="211" ht="15.75" customHeight="1">
      <c r="A211" s="127"/>
      <c r="B211" s="122"/>
      <c r="C211" s="128">
        <v>53.0</v>
      </c>
      <c r="D211" s="13">
        <v>2.0</v>
      </c>
      <c r="E211" s="28">
        <v>0.475</v>
      </c>
      <c r="F211" s="28">
        <v>0.48819444444444443</v>
      </c>
      <c r="G211" s="34" t="s">
        <v>2987</v>
      </c>
      <c r="H211" s="10" t="s">
        <v>2988</v>
      </c>
      <c r="I211" s="13">
        <v>9.0</v>
      </c>
      <c r="J211" s="13">
        <v>4.0</v>
      </c>
      <c r="K211" s="13">
        <v>1.0</v>
      </c>
      <c r="L211" s="13">
        <v>3.0</v>
      </c>
      <c r="M211" s="13">
        <v>5.0</v>
      </c>
      <c r="N211" s="13">
        <v>0.0</v>
      </c>
      <c r="O211" s="13">
        <v>0.0</v>
      </c>
      <c r="P211" s="13">
        <v>1.0</v>
      </c>
      <c r="Q211" s="132"/>
      <c r="R211" s="132"/>
      <c r="S211" s="132"/>
      <c r="T211" s="126"/>
    </row>
    <row r="212" ht="15.75" customHeight="1">
      <c r="A212" s="127"/>
      <c r="B212" s="122"/>
      <c r="C212" s="128"/>
      <c r="D212" s="13">
        <v>3.0</v>
      </c>
      <c r="E212" s="28">
        <v>0.4895833333333333</v>
      </c>
      <c r="F212" s="28">
        <v>0.04791666666666667</v>
      </c>
      <c r="G212" s="13" t="s">
        <v>2507</v>
      </c>
      <c r="H212" s="10"/>
      <c r="I212" s="13"/>
      <c r="J212" s="13"/>
      <c r="K212" s="13"/>
      <c r="L212" s="13"/>
      <c r="M212" s="13"/>
      <c r="N212" s="13"/>
      <c r="O212" s="13"/>
      <c r="P212" s="13"/>
      <c r="Q212" s="132"/>
      <c r="R212" s="132"/>
      <c r="S212" s="132"/>
      <c r="T212" s="126"/>
    </row>
    <row r="213" ht="15.75" customHeight="1">
      <c r="A213" s="127"/>
      <c r="B213" s="122"/>
      <c r="C213" s="128">
        <v>54.0</v>
      </c>
      <c r="D213" s="13">
        <v>4.0</v>
      </c>
      <c r="E213" s="28">
        <v>0.04861111111111111</v>
      </c>
      <c r="F213" s="28">
        <v>0.06805555555555555</v>
      </c>
      <c r="G213" s="34" t="s">
        <v>2989</v>
      </c>
      <c r="H213" s="10" t="s">
        <v>2511</v>
      </c>
      <c r="I213" s="13">
        <v>20.0</v>
      </c>
      <c r="J213" s="13">
        <v>8.0</v>
      </c>
      <c r="K213" s="13">
        <v>4.0</v>
      </c>
      <c r="L213" s="13">
        <v>8.0</v>
      </c>
      <c r="M213" s="13">
        <v>6.0</v>
      </c>
      <c r="N213" s="13">
        <v>0.0</v>
      </c>
      <c r="O213" s="13">
        <v>0.0</v>
      </c>
      <c r="P213" s="13">
        <v>6.0</v>
      </c>
      <c r="Q213" s="132"/>
      <c r="R213" s="132"/>
      <c r="S213" s="132"/>
      <c r="T213" s="126"/>
    </row>
    <row r="214" ht="15.75" customHeight="1">
      <c r="A214" s="127"/>
      <c r="B214" s="122"/>
      <c r="C214" s="128"/>
      <c r="D214" s="13"/>
      <c r="E214" s="28"/>
      <c r="F214" s="28"/>
      <c r="G214" s="13"/>
      <c r="H214" s="10"/>
      <c r="I214" s="13"/>
      <c r="J214" s="13"/>
      <c r="K214" s="13"/>
      <c r="L214" s="13"/>
      <c r="M214" s="13"/>
      <c r="N214" s="13"/>
      <c r="O214" s="13"/>
      <c r="P214" s="13"/>
      <c r="Q214" s="132"/>
      <c r="R214" s="132"/>
      <c r="S214" s="132"/>
      <c r="T214" s="126"/>
    </row>
    <row r="215" ht="15.75" customHeight="1">
      <c r="A215" s="127">
        <v>45756.0</v>
      </c>
      <c r="B215" s="122" t="s">
        <v>2665</v>
      </c>
      <c r="C215" s="128">
        <v>35.0</v>
      </c>
      <c r="D215" s="13">
        <v>1.0</v>
      </c>
      <c r="E215" s="28">
        <v>0.14583333333333334</v>
      </c>
      <c r="F215" s="28">
        <v>0.19444444444444445</v>
      </c>
      <c r="G215" s="34" t="s">
        <v>2990</v>
      </c>
      <c r="H215" s="10" t="s">
        <v>2991</v>
      </c>
      <c r="I215" s="13">
        <v>102.0</v>
      </c>
      <c r="J215" s="13">
        <v>47.0</v>
      </c>
      <c r="K215" s="13">
        <v>45.0</v>
      </c>
      <c r="L215" s="13">
        <v>0.0</v>
      </c>
      <c r="M215" s="13">
        <v>16.0</v>
      </c>
      <c r="N215" s="13">
        <v>10.0</v>
      </c>
      <c r="O215" s="13">
        <v>32.0</v>
      </c>
      <c r="P215" s="13">
        <v>45.0</v>
      </c>
      <c r="Q215" s="132"/>
      <c r="R215" s="132"/>
      <c r="S215" s="132"/>
      <c r="T215" s="126"/>
    </row>
    <row r="216" ht="15.75" customHeight="1">
      <c r="A216" s="127"/>
      <c r="B216" s="122"/>
      <c r="C216" s="128"/>
      <c r="E216" s="28"/>
      <c r="F216" s="28"/>
      <c r="G216" s="13"/>
      <c r="H216" s="10"/>
      <c r="I216" s="13"/>
      <c r="J216" s="13"/>
      <c r="K216" s="13"/>
      <c r="L216" s="13"/>
      <c r="M216" s="13"/>
      <c r="O216" s="13"/>
      <c r="Q216" s="132"/>
      <c r="R216" s="132"/>
      <c r="S216" s="132"/>
      <c r="T216" s="126"/>
    </row>
    <row r="217" ht="15.75" customHeight="1">
      <c r="A217" s="127">
        <v>45770.0</v>
      </c>
      <c r="B217" s="122" t="s">
        <v>2665</v>
      </c>
      <c r="C217" s="128">
        <v>36.0</v>
      </c>
      <c r="D217" s="13">
        <v>1.0</v>
      </c>
      <c r="E217" s="28">
        <v>0.14097222222222222</v>
      </c>
      <c r="F217" s="28">
        <v>0.18125</v>
      </c>
      <c r="G217" s="34" t="s">
        <v>2992</v>
      </c>
      <c r="H217" s="10" t="s">
        <v>2993</v>
      </c>
      <c r="I217" s="13">
        <v>92.0</v>
      </c>
      <c r="J217" s="13">
        <v>39.0</v>
      </c>
      <c r="K217" s="13">
        <v>41.0</v>
      </c>
      <c r="L217" s="13">
        <v>1.0</v>
      </c>
      <c r="M217" s="13">
        <v>18.0</v>
      </c>
      <c r="N217" s="13">
        <v>11.0</v>
      </c>
      <c r="O217" s="13">
        <v>17.0</v>
      </c>
      <c r="P217" s="13">
        <v>44.0</v>
      </c>
      <c r="Q217" s="132"/>
      <c r="R217" s="132"/>
      <c r="S217" s="132"/>
      <c r="T217" s="126"/>
    </row>
    <row r="218" ht="15.75" customHeight="1">
      <c r="A218" s="127"/>
      <c r="B218" s="122"/>
      <c r="C218" s="128"/>
      <c r="E218" s="28"/>
      <c r="F218" s="28"/>
      <c r="H218" s="10"/>
      <c r="I218" s="13"/>
      <c r="J218" s="13"/>
      <c r="K218" s="13"/>
      <c r="L218" s="13"/>
      <c r="M218" s="13"/>
      <c r="N218" s="13"/>
      <c r="O218" s="13"/>
      <c r="P218" s="13"/>
      <c r="Q218" s="132"/>
      <c r="R218" s="132"/>
      <c r="S218" s="132"/>
      <c r="T218" s="126"/>
    </row>
    <row r="219" ht="15.75" customHeight="1">
      <c r="A219" s="127">
        <v>45771.0</v>
      </c>
      <c r="B219" s="122" t="s">
        <v>2665</v>
      </c>
      <c r="C219" s="128">
        <v>37.0</v>
      </c>
      <c r="D219" s="13">
        <v>1.0</v>
      </c>
      <c r="E219" s="28">
        <v>0.18472222222222223</v>
      </c>
      <c r="F219" s="28">
        <v>0.22916666666666666</v>
      </c>
      <c r="G219" s="34" t="s">
        <v>2994</v>
      </c>
      <c r="H219" s="10" t="s">
        <v>2995</v>
      </c>
      <c r="I219" s="13">
        <v>126.0</v>
      </c>
      <c r="J219" s="13">
        <v>47.0</v>
      </c>
      <c r="K219" s="13">
        <v>64.0</v>
      </c>
      <c r="L219" s="13">
        <v>0.0</v>
      </c>
      <c r="M219" s="13">
        <v>8.0</v>
      </c>
      <c r="N219" s="13">
        <v>14.0</v>
      </c>
      <c r="O219" s="13">
        <v>26.0</v>
      </c>
      <c r="P219" s="13">
        <v>77.0</v>
      </c>
      <c r="Q219" s="132"/>
      <c r="R219" s="132"/>
      <c r="S219" s="132"/>
      <c r="T219" s="126"/>
    </row>
    <row r="220" ht="15.75" customHeight="1">
      <c r="A220" s="127"/>
      <c r="B220" s="122"/>
      <c r="C220" s="128"/>
      <c r="E220" s="28"/>
      <c r="F220" s="28"/>
      <c r="H220" s="10"/>
      <c r="I220" s="13"/>
      <c r="J220" s="13"/>
      <c r="K220" s="13"/>
      <c r="L220" s="13"/>
      <c r="M220" s="13"/>
      <c r="O220" s="13"/>
      <c r="Q220" s="132"/>
      <c r="R220" s="132"/>
      <c r="S220" s="132"/>
      <c r="T220" s="126"/>
    </row>
    <row r="221" ht="15.75" customHeight="1">
      <c r="A221" s="127">
        <v>45772.0</v>
      </c>
      <c r="B221" s="122" t="s">
        <v>2665</v>
      </c>
      <c r="C221" s="128">
        <v>38.0</v>
      </c>
      <c r="D221" s="13">
        <v>1.0</v>
      </c>
      <c r="E221" s="28">
        <v>0.22013888888888888</v>
      </c>
      <c r="F221" s="28">
        <v>0.24930555555555556</v>
      </c>
      <c r="G221" s="34" t="s">
        <v>2996</v>
      </c>
      <c r="H221" s="10" t="s">
        <v>2997</v>
      </c>
      <c r="I221" s="13">
        <v>72.0</v>
      </c>
      <c r="J221" s="13">
        <v>30.0</v>
      </c>
      <c r="K221" s="13">
        <v>25.0</v>
      </c>
      <c r="L221" s="13">
        <v>0.0</v>
      </c>
      <c r="M221" s="13">
        <v>6.0</v>
      </c>
      <c r="N221" s="13">
        <v>16.0</v>
      </c>
      <c r="O221" s="13">
        <v>7.0</v>
      </c>
      <c r="P221" s="13">
        <v>44.0</v>
      </c>
      <c r="Q221" s="132"/>
      <c r="R221" s="132"/>
      <c r="S221" s="132"/>
      <c r="T221" s="126"/>
    </row>
    <row r="222" ht="15.75" customHeight="1">
      <c r="B222" s="122"/>
      <c r="C222" s="128"/>
      <c r="E222" s="28"/>
      <c r="F222" s="28"/>
      <c r="G222" s="13"/>
      <c r="H222" s="10"/>
      <c r="I222" s="13"/>
      <c r="J222" s="13"/>
      <c r="K222" s="13"/>
      <c r="L222" s="13"/>
      <c r="M222" s="13"/>
      <c r="O222" s="13"/>
      <c r="Q222" s="132"/>
      <c r="R222" s="132"/>
      <c r="S222" s="132"/>
      <c r="T222" s="126"/>
    </row>
    <row r="223" ht="15.75" customHeight="1">
      <c r="A223" s="127">
        <v>45775.0</v>
      </c>
      <c r="B223" s="122" t="s">
        <v>2665</v>
      </c>
      <c r="C223" s="128">
        <v>39.0</v>
      </c>
      <c r="D223" s="13">
        <v>1.0</v>
      </c>
      <c r="E223" s="28">
        <v>0.15486111111111112</v>
      </c>
      <c r="F223" s="28">
        <v>0.21319444444444444</v>
      </c>
      <c r="G223" s="34" t="s">
        <v>2998</v>
      </c>
      <c r="H223" s="10" t="s">
        <v>2999</v>
      </c>
      <c r="I223" s="13">
        <v>141.0</v>
      </c>
      <c r="J223" s="13">
        <v>69.0</v>
      </c>
      <c r="K223" s="13">
        <v>71.0</v>
      </c>
      <c r="L223" s="13">
        <v>0.0</v>
      </c>
      <c r="M223" s="13">
        <v>18.0</v>
      </c>
      <c r="N223" s="13">
        <v>1.0</v>
      </c>
      <c r="O223" s="13">
        <v>48.0</v>
      </c>
      <c r="P223" s="13">
        <v>76.0</v>
      </c>
      <c r="Q223" s="132"/>
      <c r="R223" s="132"/>
      <c r="S223" s="132"/>
      <c r="T223" s="126"/>
    </row>
    <row r="224" ht="15.75" customHeight="1">
      <c r="A224" s="27"/>
      <c r="B224" s="122"/>
      <c r="E224" s="28"/>
      <c r="F224" s="28"/>
      <c r="G224" s="13"/>
      <c r="H224" s="10"/>
      <c r="N224" s="13"/>
      <c r="P224" s="13"/>
      <c r="Q224" s="132"/>
      <c r="R224" s="132"/>
      <c r="T224" s="126"/>
    </row>
    <row r="225" ht="15.75" customHeight="1">
      <c r="A225" s="27">
        <v>45777.0</v>
      </c>
      <c r="B225" s="135" t="s">
        <v>2665</v>
      </c>
      <c r="C225" s="13">
        <v>40.0</v>
      </c>
      <c r="D225" s="13">
        <v>1.0</v>
      </c>
      <c r="E225" s="28">
        <v>0.12430555555555556</v>
      </c>
      <c r="F225" s="28">
        <v>0.16666666666666666</v>
      </c>
      <c r="G225" s="121" t="s">
        <v>3000</v>
      </c>
      <c r="H225" s="10" t="s">
        <v>3001</v>
      </c>
      <c r="I225" s="13">
        <v>111.0</v>
      </c>
      <c r="J225" s="13">
        <v>62.0</v>
      </c>
      <c r="K225" s="13">
        <v>49.0</v>
      </c>
      <c r="L225" s="13">
        <v>0.0</v>
      </c>
      <c r="M225" s="13">
        <v>11.0</v>
      </c>
      <c r="N225" s="13">
        <v>0.0</v>
      </c>
      <c r="O225" s="13">
        <v>31.0</v>
      </c>
      <c r="P225" s="13">
        <v>69.0</v>
      </c>
      <c r="Q225" s="132"/>
      <c r="R225" s="132"/>
      <c r="T225" s="126"/>
    </row>
    <row r="226" ht="15.75" customHeight="1">
      <c r="A226" s="27"/>
      <c r="B226" s="135"/>
      <c r="E226" s="28"/>
      <c r="F226" s="28"/>
      <c r="G226" s="13"/>
      <c r="H226" s="10"/>
      <c r="N226" s="13"/>
      <c r="P226" s="13"/>
      <c r="Q226" s="132"/>
      <c r="R226" s="132"/>
      <c r="T226" s="126"/>
    </row>
    <row r="227" ht="15.75" customHeight="1">
      <c r="A227" s="27">
        <v>45778.0</v>
      </c>
      <c r="B227" s="135" t="s">
        <v>2665</v>
      </c>
      <c r="C227" s="13">
        <v>41.0</v>
      </c>
      <c r="D227" s="13">
        <v>1.0</v>
      </c>
      <c r="E227" s="28">
        <v>0.18194444444444444</v>
      </c>
      <c r="F227" s="28">
        <v>0.2222222222222222</v>
      </c>
      <c r="G227" s="34" t="s">
        <v>3002</v>
      </c>
      <c r="H227" s="10"/>
      <c r="I227" s="13">
        <v>119.0</v>
      </c>
      <c r="J227" s="13">
        <v>57.0</v>
      </c>
      <c r="K227" s="13">
        <v>54.0</v>
      </c>
      <c r="L227" s="13">
        <v>0.0</v>
      </c>
      <c r="M227" s="13">
        <v>11.0</v>
      </c>
      <c r="N227" s="13">
        <v>7.0</v>
      </c>
      <c r="O227" s="13">
        <v>40.0</v>
      </c>
      <c r="P227" s="13">
        <v>65.0</v>
      </c>
      <c r="Q227" s="132"/>
      <c r="R227" s="132"/>
      <c r="T227" s="126"/>
    </row>
    <row r="228" ht="15.75" customHeight="1">
      <c r="A228" s="27"/>
      <c r="B228" s="135"/>
      <c r="E228" s="28"/>
      <c r="F228" s="28"/>
      <c r="G228" s="13"/>
      <c r="H228" s="10"/>
      <c r="N228" s="13"/>
      <c r="P228" s="13"/>
      <c r="Q228" s="132"/>
      <c r="R228" s="132"/>
      <c r="T228" s="126"/>
    </row>
    <row r="229" ht="15.75" customHeight="1">
      <c r="A229" s="27">
        <v>45779.0</v>
      </c>
      <c r="B229" s="135" t="s">
        <v>2665</v>
      </c>
      <c r="C229" s="13">
        <v>42.0</v>
      </c>
      <c r="D229" s="13">
        <v>1.0</v>
      </c>
      <c r="E229" s="28">
        <v>0.12986111111111112</v>
      </c>
      <c r="F229" s="28">
        <v>0.17916666666666667</v>
      </c>
      <c r="G229" s="34" t="s">
        <v>3003</v>
      </c>
      <c r="H229" s="10" t="s">
        <v>3004</v>
      </c>
      <c r="I229" s="13">
        <v>117.0</v>
      </c>
      <c r="J229" s="13">
        <v>42.0</v>
      </c>
      <c r="K229" s="13">
        <v>64.0</v>
      </c>
      <c r="L229" s="13">
        <v>0.0</v>
      </c>
      <c r="M229" s="13">
        <v>8.0</v>
      </c>
      <c r="N229" s="13">
        <v>10.0</v>
      </c>
      <c r="O229" s="13">
        <v>45.0</v>
      </c>
      <c r="P229" s="13">
        <v>56.0</v>
      </c>
      <c r="Q229" s="132"/>
      <c r="R229" s="132"/>
      <c r="T229" s="126"/>
    </row>
    <row r="230" ht="15.75" customHeight="1">
      <c r="A230" s="24"/>
      <c r="B230" s="135"/>
      <c r="E230" s="28"/>
      <c r="F230" s="28"/>
      <c r="G230" s="13"/>
      <c r="H230" s="10"/>
      <c r="N230" s="13"/>
      <c r="P230" s="13"/>
      <c r="Q230" s="132"/>
      <c r="R230" s="132"/>
      <c r="T230" s="126"/>
    </row>
    <row r="231" ht="15.75" customHeight="1">
      <c r="A231" s="10"/>
      <c r="B231" s="135"/>
      <c r="H231" s="10"/>
      <c r="Q231" s="132"/>
      <c r="R231" s="132"/>
      <c r="T231" s="126"/>
    </row>
    <row r="232" ht="64.5" customHeight="1">
      <c r="A232" s="27"/>
      <c r="B232" s="135"/>
      <c r="E232" s="28"/>
      <c r="F232" s="28"/>
      <c r="G232" s="13"/>
      <c r="H232" s="10"/>
      <c r="N232" s="13"/>
      <c r="P232" s="13"/>
      <c r="Q232" s="132"/>
      <c r="R232" s="132"/>
      <c r="T232" s="126"/>
    </row>
    <row r="233" ht="15.75" customHeight="1">
      <c r="A233" s="10"/>
      <c r="B233" s="135"/>
      <c r="E233" s="28"/>
      <c r="F233" s="28"/>
      <c r="G233" s="13"/>
      <c r="H233" s="10"/>
      <c r="P233" s="13"/>
      <c r="Q233" s="132"/>
      <c r="R233" s="132"/>
      <c r="T233" s="126"/>
    </row>
    <row r="234" ht="15.75" customHeight="1">
      <c r="A234" s="10"/>
      <c r="B234" s="135"/>
      <c r="E234" s="28"/>
      <c r="G234" s="13"/>
      <c r="H234" s="10"/>
      <c r="Q234" s="132"/>
      <c r="R234" s="132"/>
      <c r="T234" s="126"/>
    </row>
    <row r="235" ht="42.75" customHeight="1">
      <c r="A235" s="10"/>
      <c r="B235" s="135"/>
      <c r="E235" s="28"/>
      <c r="F235" s="28"/>
      <c r="G235" s="13"/>
      <c r="H235" s="10"/>
      <c r="Q235" s="132"/>
      <c r="R235" s="132"/>
      <c r="T235" s="126"/>
    </row>
    <row r="236" ht="30.0" customHeight="1">
      <c r="A236" s="10"/>
      <c r="B236" s="135"/>
      <c r="E236" s="28"/>
      <c r="F236" s="28"/>
      <c r="G236" s="10"/>
      <c r="H236" s="10"/>
      <c r="N236" s="123"/>
      <c r="P236" s="123"/>
      <c r="Q236" s="132"/>
      <c r="R236" s="132"/>
      <c r="T236" s="126"/>
    </row>
    <row r="237" ht="15.75" customHeight="1">
      <c r="A237" s="10"/>
      <c r="B237" s="135"/>
      <c r="G237" s="10"/>
      <c r="H237" s="10"/>
      <c r="N237" s="123"/>
      <c r="P237" s="123"/>
      <c r="Q237" s="132"/>
      <c r="R237" s="132"/>
      <c r="T237" s="126"/>
    </row>
    <row r="238" ht="15.75" customHeight="1">
      <c r="A238" s="27"/>
      <c r="B238" s="135"/>
      <c r="E238" s="28"/>
      <c r="F238" s="28"/>
      <c r="G238" s="10"/>
      <c r="H238" s="10"/>
      <c r="N238" s="123"/>
      <c r="P238" s="123"/>
      <c r="Q238" s="132"/>
      <c r="R238" s="132"/>
      <c r="T238" s="126"/>
    </row>
    <row r="239" ht="15.75" customHeight="1">
      <c r="A239" s="10"/>
      <c r="B239" s="135"/>
      <c r="E239" s="28"/>
      <c r="F239" s="28"/>
      <c r="G239" s="10"/>
      <c r="H239" s="10"/>
      <c r="N239" s="123"/>
      <c r="P239" s="123"/>
      <c r="Q239" s="132"/>
      <c r="R239" s="132"/>
      <c r="T239" s="126"/>
    </row>
    <row r="240" ht="15.75" customHeight="1">
      <c r="A240" s="10"/>
      <c r="B240" s="135"/>
      <c r="E240" s="28"/>
      <c r="F240" s="28"/>
      <c r="G240" s="10"/>
      <c r="H240" s="10"/>
      <c r="N240" s="123"/>
      <c r="P240" s="123"/>
      <c r="Q240" s="132"/>
      <c r="R240" s="132"/>
      <c r="T240" s="126"/>
    </row>
    <row r="241" ht="15.75" customHeight="1">
      <c r="A241" s="10"/>
      <c r="B241" s="135"/>
      <c r="E241" s="28"/>
      <c r="F241" s="28"/>
      <c r="G241" s="10"/>
      <c r="H241" s="10"/>
      <c r="N241" s="123"/>
      <c r="P241" s="123"/>
      <c r="Q241" s="132"/>
      <c r="R241" s="132"/>
      <c r="T241" s="126"/>
    </row>
    <row r="242" ht="15.75" customHeight="1">
      <c r="A242" s="10"/>
      <c r="B242" s="135"/>
      <c r="E242" s="28"/>
      <c r="F242" s="28"/>
      <c r="G242" s="10"/>
      <c r="H242" s="10"/>
      <c r="N242" s="123"/>
      <c r="P242" s="123"/>
      <c r="Q242" s="132"/>
      <c r="R242" s="132"/>
      <c r="T242" s="126"/>
    </row>
    <row r="243" ht="15.75" customHeight="1">
      <c r="A243" s="10"/>
      <c r="B243" s="135"/>
      <c r="E243" s="28"/>
      <c r="F243" s="28"/>
      <c r="G243" s="10"/>
      <c r="H243" s="10"/>
      <c r="N243" s="123"/>
      <c r="P243" s="123"/>
      <c r="Q243" s="132"/>
      <c r="R243" s="132"/>
      <c r="T243" s="126"/>
    </row>
    <row r="244" ht="15.75" customHeight="1">
      <c r="A244" s="10"/>
      <c r="B244" s="135"/>
      <c r="G244" s="10"/>
      <c r="H244" s="10"/>
      <c r="N244" s="123"/>
      <c r="P244" s="123"/>
      <c r="Q244" s="132"/>
      <c r="R244" s="132"/>
      <c r="T244" s="126"/>
    </row>
    <row r="245" ht="15.75" customHeight="1">
      <c r="A245" s="27"/>
      <c r="B245" s="135"/>
      <c r="E245" s="28"/>
      <c r="F245" s="28"/>
      <c r="G245" s="10"/>
      <c r="H245" s="10"/>
      <c r="N245" s="123"/>
      <c r="P245" s="123"/>
      <c r="Q245" s="132"/>
      <c r="R245" s="132"/>
      <c r="T245" s="126"/>
    </row>
    <row r="246" ht="15.75" customHeight="1">
      <c r="A246" s="10"/>
      <c r="B246" s="135"/>
      <c r="E246" s="28"/>
      <c r="F246" s="28"/>
      <c r="G246" s="10"/>
      <c r="H246" s="10"/>
      <c r="N246" s="123"/>
      <c r="P246" s="123"/>
      <c r="Q246" s="132"/>
      <c r="R246" s="132"/>
      <c r="T246" s="126"/>
    </row>
    <row r="247" ht="15.75" customHeight="1">
      <c r="A247" s="10"/>
      <c r="B247" s="135"/>
      <c r="E247" s="28"/>
      <c r="F247" s="28"/>
      <c r="G247" s="10"/>
      <c r="H247" s="10"/>
      <c r="N247" s="123"/>
      <c r="P247" s="123"/>
      <c r="Q247" s="132"/>
      <c r="R247" s="132"/>
      <c r="T247" s="126"/>
    </row>
    <row r="248" ht="15.75" customHeight="1">
      <c r="A248" s="10"/>
      <c r="B248" s="135"/>
      <c r="E248" s="28"/>
      <c r="F248" s="28"/>
      <c r="G248" s="10"/>
      <c r="H248" s="10"/>
      <c r="N248" s="123"/>
      <c r="P248" s="123"/>
      <c r="Q248" s="132"/>
      <c r="R248" s="132"/>
      <c r="T248" s="126"/>
    </row>
    <row r="249" ht="15.75" customHeight="1">
      <c r="A249" s="10"/>
      <c r="B249" s="135"/>
      <c r="E249" s="28"/>
      <c r="F249" s="28"/>
      <c r="G249" s="10"/>
      <c r="H249" s="10"/>
      <c r="N249" s="123"/>
      <c r="P249" s="123"/>
      <c r="Q249" s="132"/>
      <c r="R249" s="132"/>
      <c r="T249" s="126"/>
    </row>
    <row r="250" ht="15.75" customHeight="1">
      <c r="A250" s="10"/>
      <c r="B250" s="135"/>
      <c r="E250" s="28"/>
      <c r="F250" s="28"/>
      <c r="G250" s="10"/>
      <c r="H250" s="10"/>
      <c r="N250" s="123"/>
      <c r="P250" s="123"/>
      <c r="Q250" s="132"/>
      <c r="R250" s="132"/>
      <c r="T250" s="126"/>
    </row>
    <row r="251" ht="15.75" customHeight="1">
      <c r="A251" s="10"/>
      <c r="B251" s="135"/>
      <c r="G251" s="10"/>
      <c r="H251" s="10"/>
      <c r="N251" s="123"/>
      <c r="P251" s="123"/>
      <c r="Q251" s="132"/>
      <c r="R251" s="132"/>
      <c r="T251" s="126"/>
    </row>
    <row r="252" ht="15.75" customHeight="1">
      <c r="A252" s="27"/>
      <c r="B252" s="135"/>
      <c r="E252" s="28"/>
      <c r="F252" s="28"/>
      <c r="G252" s="10"/>
      <c r="H252" s="10"/>
      <c r="N252" s="123"/>
      <c r="P252" s="123"/>
      <c r="Q252" s="132"/>
      <c r="R252" s="132"/>
      <c r="T252" s="126"/>
    </row>
    <row r="253" ht="15.75" customHeight="1">
      <c r="A253" s="10"/>
      <c r="B253" s="135"/>
      <c r="E253" s="28"/>
      <c r="F253" s="28"/>
      <c r="G253" s="10"/>
      <c r="H253" s="10"/>
      <c r="N253" s="123"/>
      <c r="P253" s="123"/>
      <c r="Q253" s="132"/>
      <c r="R253" s="132"/>
      <c r="T253" s="126"/>
    </row>
    <row r="254" ht="15.75" customHeight="1">
      <c r="A254" s="10"/>
      <c r="B254" s="135"/>
      <c r="E254" s="28"/>
      <c r="F254" s="28"/>
      <c r="G254" s="10"/>
      <c r="H254" s="10"/>
      <c r="N254" s="123"/>
      <c r="P254" s="123"/>
      <c r="Q254" s="132"/>
      <c r="R254" s="132"/>
      <c r="T254" s="126"/>
    </row>
    <row r="255" ht="15.75" customHeight="1">
      <c r="A255" s="10"/>
      <c r="B255" s="135"/>
      <c r="E255" s="28"/>
      <c r="F255" s="28"/>
      <c r="G255" s="10"/>
      <c r="H255" s="10"/>
      <c r="N255" s="123"/>
      <c r="P255" s="123"/>
      <c r="Q255" s="132"/>
      <c r="R255" s="132"/>
      <c r="T255" s="126"/>
    </row>
    <row r="256" ht="15.75" customHeight="1">
      <c r="A256" s="10"/>
      <c r="B256" s="135"/>
      <c r="E256" s="28"/>
      <c r="F256" s="28"/>
      <c r="G256" s="10"/>
      <c r="H256" s="10"/>
      <c r="N256" s="123"/>
      <c r="P256" s="123"/>
      <c r="Q256" s="132"/>
      <c r="R256" s="132"/>
      <c r="T256" s="126"/>
    </row>
    <row r="257" ht="15.75" customHeight="1">
      <c r="A257" s="10"/>
      <c r="B257" s="135"/>
      <c r="E257" s="28"/>
      <c r="F257" s="28"/>
      <c r="G257" s="10"/>
      <c r="H257" s="10"/>
      <c r="N257" s="123"/>
      <c r="P257" s="123"/>
      <c r="Q257" s="132"/>
      <c r="R257" s="132"/>
      <c r="T257" s="126"/>
    </row>
    <row r="258" ht="15.75" customHeight="1">
      <c r="A258" s="10"/>
      <c r="B258" s="135"/>
      <c r="G258" s="10"/>
      <c r="H258" s="10"/>
      <c r="N258" s="123"/>
      <c r="P258" s="123"/>
      <c r="Q258" s="132"/>
      <c r="R258" s="132"/>
      <c r="T258" s="126"/>
    </row>
    <row r="259" ht="15.75" customHeight="1">
      <c r="A259" s="27"/>
      <c r="B259" s="135"/>
      <c r="E259" s="28"/>
      <c r="F259" s="28"/>
      <c r="G259" s="10"/>
      <c r="H259" s="10"/>
      <c r="N259" s="123"/>
      <c r="P259" s="123"/>
      <c r="Q259" s="132"/>
      <c r="R259" s="132"/>
      <c r="T259" s="126"/>
    </row>
    <row r="260" ht="15.75" customHeight="1">
      <c r="A260" s="10"/>
      <c r="B260" s="135"/>
      <c r="E260" s="28"/>
      <c r="F260" s="28"/>
      <c r="G260" s="10"/>
      <c r="H260" s="10"/>
      <c r="N260" s="123"/>
      <c r="P260" s="123"/>
      <c r="Q260" s="132"/>
      <c r="R260" s="132"/>
      <c r="T260" s="126"/>
    </row>
    <row r="261" ht="15.75" customHeight="1">
      <c r="A261" s="10"/>
      <c r="B261" s="135"/>
      <c r="E261" s="28"/>
      <c r="F261" s="28"/>
      <c r="G261" s="10"/>
      <c r="H261" s="10"/>
      <c r="N261" s="123"/>
      <c r="P261" s="123"/>
      <c r="Q261" s="132"/>
      <c r="R261" s="132"/>
      <c r="T261" s="126"/>
    </row>
    <row r="262" ht="15.75" customHeight="1">
      <c r="A262" s="10"/>
      <c r="B262" s="135"/>
      <c r="E262" s="28"/>
      <c r="F262" s="28"/>
      <c r="G262" s="10"/>
      <c r="H262" s="10"/>
      <c r="N262" s="123"/>
      <c r="P262" s="123"/>
      <c r="Q262" s="132"/>
      <c r="R262" s="132"/>
      <c r="T262" s="126"/>
    </row>
    <row r="263" ht="15.75" customHeight="1">
      <c r="A263" s="10"/>
      <c r="B263" s="135"/>
      <c r="E263" s="28"/>
      <c r="F263" s="28"/>
      <c r="G263" s="10"/>
      <c r="H263" s="10"/>
      <c r="N263" s="123"/>
      <c r="P263" s="123"/>
      <c r="Q263" s="132"/>
      <c r="R263" s="132"/>
      <c r="T263" s="126"/>
    </row>
    <row r="264" ht="15.75" customHeight="1">
      <c r="A264" s="10"/>
      <c r="B264" s="135"/>
      <c r="E264" s="28"/>
      <c r="F264" s="28"/>
      <c r="G264" s="10"/>
      <c r="H264" s="10"/>
      <c r="N264" s="123"/>
      <c r="P264" s="123"/>
      <c r="Q264" s="132"/>
      <c r="R264" s="132"/>
      <c r="T264" s="126"/>
    </row>
    <row r="265" ht="15.75" customHeight="1">
      <c r="A265" s="10"/>
      <c r="B265" s="135"/>
      <c r="G265" s="10"/>
      <c r="H265" s="10"/>
      <c r="N265" s="123"/>
      <c r="P265" s="123"/>
      <c r="Q265" s="132"/>
      <c r="R265" s="132"/>
      <c r="T265" s="126"/>
    </row>
    <row r="266" ht="15.75" customHeight="1">
      <c r="A266" s="27"/>
      <c r="B266" s="135"/>
      <c r="E266" s="28"/>
      <c r="F266" s="28"/>
      <c r="G266" s="10"/>
      <c r="H266" s="10"/>
      <c r="N266" s="123"/>
      <c r="P266" s="123"/>
      <c r="Q266" s="132"/>
      <c r="R266" s="132"/>
      <c r="T266" s="126"/>
    </row>
    <row r="267" ht="15.75" customHeight="1">
      <c r="A267" s="10"/>
      <c r="B267" s="135"/>
      <c r="E267" s="28"/>
      <c r="F267" s="28"/>
      <c r="G267" s="10"/>
      <c r="H267" s="10"/>
      <c r="N267" s="123"/>
      <c r="P267" s="123"/>
      <c r="Q267" s="132"/>
      <c r="R267" s="132"/>
      <c r="T267" s="126"/>
    </row>
    <row r="268" ht="15.75" customHeight="1">
      <c r="A268" s="10"/>
      <c r="B268" s="135"/>
      <c r="E268" s="28"/>
      <c r="F268" s="28"/>
      <c r="G268" s="10"/>
      <c r="H268" s="10"/>
      <c r="N268" s="123"/>
      <c r="P268" s="123"/>
      <c r="Q268" s="132"/>
      <c r="R268" s="132"/>
      <c r="T268" s="126"/>
    </row>
    <row r="269" ht="27.0" customHeight="1">
      <c r="A269" s="10"/>
      <c r="B269" s="135"/>
      <c r="E269" s="28"/>
      <c r="F269" s="28"/>
      <c r="G269" s="10"/>
      <c r="H269" s="10"/>
      <c r="N269" s="123"/>
      <c r="P269" s="123"/>
      <c r="Q269" s="132"/>
      <c r="R269" s="132"/>
      <c r="T269" s="126"/>
    </row>
    <row r="270" ht="15.75" customHeight="1">
      <c r="A270" s="10"/>
      <c r="B270" s="135"/>
      <c r="E270" s="28"/>
      <c r="F270" s="28"/>
      <c r="G270" s="10"/>
      <c r="H270" s="10"/>
      <c r="N270" s="123"/>
      <c r="P270" s="123"/>
      <c r="Q270" s="132"/>
      <c r="R270" s="132"/>
      <c r="T270" s="126"/>
    </row>
    <row r="271" ht="15.75" customHeight="1">
      <c r="A271" s="10"/>
      <c r="B271" s="135"/>
      <c r="E271" s="28"/>
      <c r="F271" s="28"/>
      <c r="G271" s="10"/>
      <c r="H271" s="10"/>
      <c r="N271" s="123"/>
      <c r="P271" s="123"/>
      <c r="Q271" s="132"/>
      <c r="R271" s="132"/>
      <c r="T271" s="126"/>
    </row>
    <row r="272" ht="15.75" customHeight="1">
      <c r="A272" s="10"/>
      <c r="B272" s="135"/>
      <c r="G272" s="10"/>
      <c r="H272" s="10"/>
      <c r="N272" s="123"/>
      <c r="P272" s="123"/>
      <c r="Q272" s="132"/>
      <c r="R272" s="132"/>
      <c r="T272" s="126"/>
    </row>
    <row r="273" ht="15.75" customHeight="1">
      <c r="A273" s="27"/>
      <c r="B273" s="135"/>
      <c r="E273" s="28"/>
      <c r="F273" s="28"/>
      <c r="G273" s="10"/>
      <c r="H273" s="10"/>
      <c r="N273" s="123"/>
      <c r="P273" s="123"/>
      <c r="Q273" s="132"/>
      <c r="R273" s="132"/>
      <c r="T273" s="126"/>
    </row>
    <row r="274" ht="15.75" customHeight="1">
      <c r="A274" s="10"/>
      <c r="B274" s="135"/>
      <c r="E274" s="28"/>
      <c r="F274" s="28"/>
      <c r="G274" s="10"/>
      <c r="H274" s="10"/>
      <c r="N274" s="123"/>
      <c r="P274" s="123"/>
      <c r="Q274" s="132"/>
      <c r="R274" s="132"/>
      <c r="T274" s="126"/>
    </row>
    <row r="275" ht="15.75" customHeight="1">
      <c r="A275" s="10"/>
      <c r="B275" s="135"/>
      <c r="E275" s="28"/>
      <c r="F275" s="28"/>
      <c r="G275" s="10"/>
      <c r="H275" s="10"/>
      <c r="N275" s="123"/>
      <c r="P275" s="123"/>
      <c r="Q275" s="132"/>
      <c r="R275" s="132"/>
      <c r="T275" s="126"/>
    </row>
    <row r="276" ht="15.75" customHeight="1">
      <c r="A276" s="10"/>
      <c r="B276" s="135"/>
      <c r="E276" s="28"/>
      <c r="F276" s="28"/>
      <c r="G276" s="10"/>
      <c r="H276" s="10"/>
      <c r="N276" s="123"/>
      <c r="P276" s="123"/>
      <c r="Q276" s="132"/>
      <c r="R276" s="132"/>
      <c r="T276" s="126"/>
    </row>
    <row r="277" ht="15.75" customHeight="1">
      <c r="A277" s="10"/>
      <c r="B277" s="135"/>
      <c r="E277" s="28"/>
      <c r="F277" s="28"/>
      <c r="G277" s="10"/>
      <c r="H277" s="10"/>
      <c r="N277" s="123"/>
      <c r="P277" s="123"/>
      <c r="Q277" s="132"/>
      <c r="R277" s="132"/>
      <c r="T277" s="126"/>
    </row>
    <row r="278" ht="15.75" customHeight="1">
      <c r="A278" s="10"/>
      <c r="B278" s="135"/>
      <c r="E278" s="28"/>
      <c r="F278" s="28"/>
      <c r="G278" s="10"/>
      <c r="H278" s="10"/>
      <c r="N278" s="123"/>
      <c r="P278" s="123"/>
      <c r="Q278" s="132"/>
      <c r="R278" s="132"/>
      <c r="T278" s="126"/>
    </row>
    <row r="279" ht="15.75" customHeight="1">
      <c r="A279" s="10"/>
      <c r="B279" s="135"/>
      <c r="G279" s="10"/>
      <c r="H279" s="10"/>
      <c r="N279" s="123"/>
      <c r="P279" s="123"/>
      <c r="Q279" s="132"/>
      <c r="R279" s="132"/>
      <c r="T279" s="126"/>
    </row>
    <row r="280" ht="15.75" customHeight="1">
      <c r="A280" s="27"/>
      <c r="B280" s="135"/>
      <c r="E280" s="28"/>
      <c r="F280" s="28"/>
      <c r="G280" s="10"/>
      <c r="H280" s="10"/>
      <c r="N280" s="123"/>
      <c r="P280" s="123"/>
      <c r="Q280" s="132"/>
      <c r="R280" s="132"/>
      <c r="T280" s="126"/>
    </row>
    <row r="281" ht="15.75" customHeight="1">
      <c r="A281" s="10"/>
      <c r="B281" s="135"/>
      <c r="E281" s="28"/>
      <c r="F281" s="28"/>
      <c r="G281" s="10"/>
      <c r="H281" s="10"/>
      <c r="N281" s="123"/>
      <c r="P281" s="123"/>
      <c r="Q281" s="132"/>
      <c r="R281" s="132"/>
      <c r="T281" s="126"/>
    </row>
    <row r="282" ht="15.75" customHeight="1">
      <c r="A282" s="10"/>
      <c r="B282" s="135"/>
      <c r="E282" s="28"/>
      <c r="F282" s="28"/>
      <c r="G282" s="10"/>
      <c r="H282" s="10"/>
      <c r="N282" s="123"/>
      <c r="P282" s="123"/>
      <c r="Q282" s="132"/>
      <c r="R282" s="132"/>
      <c r="T282" s="126"/>
    </row>
    <row r="283" ht="15.75" customHeight="1">
      <c r="A283" s="10"/>
      <c r="B283" s="135"/>
      <c r="E283" s="28"/>
      <c r="F283" s="28"/>
      <c r="G283" s="10"/>
      <c r="H283" s="10"/>
      <c r="N283" s="123"/>
      <c r="P283" s="123"/>
      <c r="Q283" s="132"/>
      <c r="R283" s="132"/>
      <c r="T283" s="126"/>
    </row>
    <row r="284" ht="15.75" customHeight="1">
      <c r="A284" s="10"/>
      <c r="B284" s="135"/>
      <c r="G284" s="10"/>
      <c r="H284" s="10"/>
      <c r="N284" s="123"/>
      <c r="P284" s="123"/>
      <c r="Q284" s="132"/>
      <c r="R284" s="132"/>
      <c r="T284" s="126"/>
    </row>
    <row r="285" ht="15.75" customHeight="1">
      <c r="A285" s="27"/>
      <c r="B285" s="135"/>
      <c r="E285" s="28"/>
      <c r="F285" s="28"/>
      <c r="G285" s="10"/>
      <c r="H285" s="10"/>
      <c r="N285" s="123"/>
      <c r="P285" s="123"/>
      <c r="Q285" s="132"/>
      <c r="R285" s="132"/>
      <c r="T285" s="126"/>
    </row>
    <row r="286" ht="15.75" customHeight="1">
      <c r="A286" s="10"/>
      <c r="B286" s="135"/>
      <c r="E286" s="28"/>
      <c r="F286" s="28"/>
      <c r="G286" s="10"/>
      <c r="H286" s="10"/>
      <c r="N286" s="123"/>
      <c r="P286" s="123"/>
      <c r="Q286" s="132"/>
      <c r="R286" s="132"/>
      <c r="T286" s="126"/>
    </row>
    <row r="287" ht="15.75" customHeight="1">
      <c r="A287" s="10"/>
      <c r="B287" s="135"/>
      <c r="E287" s="28"/>
      <c r="F287" s="28"/>
      <c r="G287" s="10"/>
      <c r="H287" s="10"/>
      <c r="N287" s="123"/>
      <c r="P287" s="123"/>
      <c r="Q287" s="132"/>
      <c r="R287" s="132"/>
      <c r="T287" s="126"/>
    </row>
    <row r="288" ht="15.75" customHeight="1">
      <c r="A288" s="10"/>
      <c r="B288" s="135"/>
      <c r="E288" s="28"/>
      <c r="F288" s="28"/>
      <c r="G288" s="10"/>
      <c r="H288" s="10"/>
      <c r="N288" s="123"/>
      <c r="P288" s="123"/>
      <c r="Q288" s="132"/>
      <c r="R288" s="132"/>
      <c r="T288" s="126"/>
    </row>
    <row r="289" ht="15.75" customHeight="1">
      <c r="A289" s="10"/>
      <c r="B289" s="135"/>
      <c r="E289" s="28"/>
      <c r="F289" s="28"/>
      <c r="G289" s="10"/>
      <c r="H289" s="10"/>
      <c r="N289" s="123"/>
      <c r="P289" s="123"/>
      <c r="Q289" s="132"/>
      <c r="R289" s="132"/>
      <c r="T289" s="126"/>
    </row>
    <row r="290" ht="15.75" customHeight="1">
      <c r="A290" s="10"/>
      <c r="B290" s="135"/>
      <c r="E290" s="28"/>
      <c r="F290" s="28"/>
      <c r="G290" s="10"/>
      <c r="H290" s="10"/>
      <c r="N290" s="123"/>
      <c r="P290" s="123"/>
      <c r="Q290" s="132"/>
      <c r="R290" s="132"/>
      <c r="T290" s="126"/>
    </row>
    <row r="291" ht="15.75" customHeight="1">
      <c r="A291" s="10"/>
      <c r="B291" s="135"/>
      <c r="G291" s="10"/>
      <c r="H291" s="10"/>
      <c r="N291" s="123"/>
      <c r="P291" s="123"/>
      <c r="Q291" s="132"/>
      <c r="R291" s="132"/>
      <c r="T291" s="126"/>
    </row>
    <row r="292" ht="15.75" customHeight="1">
      <c r="A292" s="27"/>
      <c r="B292" s="135"/>
      <c r="E292" s="28"/>
      <c r="F292" s="28"/>
      <c r="G292" s="10"/>
      <c r="H292" s="10"/>
      <c r="N292" s="123"/>
      <c r="P292" s="123"/>
      <c r="Q292" s="132"/>
      <c r="R292" s="132"/>
      <c r="T292" s="126"/>
    </row>
    <row r="293" ht="15.75" customHeight="1">
      <c r="A293" s="10"/>
      <c r="B293" s="135"/>
      <c r="E293" s="28"/>
      <c r="F293" s="28"/>
      <c r="G293" s="10"/>
      <c r="H293" s="10"/>
      <c r="N293" s="123"/>
      <c r="P293" s="123"/>
      <c r="Q293" s="132"/>
      <c r="R293" s="132"/>
      <c r="T293" s="126"/>
    </row>
    <row r="294" ht="15.75" customHeight="1">
      <c r="A294" s="10"/>
      <c r="B294" s="135"/>
      <c r="E294" s="28"/>
      <c r="F294" s="28"/>
      <c r="G294" s="10"/>
      <c r="H294" s="10"/>
      <c r="N294" s="123"/>
      <c r="P294" s="123"/>
      <c r="Q294" s="132"/>
      <c r="R294" s="132"/>
      <c r="T294" s="126"/>
    </row>
    <row r="295" ht="15.75" customHeight="1">
      <c r="A295" s="10"/>
      <c r="B295" s="135"/>
      <c r="E295" s="28"/>
      <c r="F295" s="28"/>
      <c r="G295" s="10"/>
      <c r="H295" s="10"/>
      <c r="N295" s="123"/>
      <c r="P295" s="123"/>
      <c r="Q295" s="132"/>
      <c r="R295" s="132"/>
      <c r="T295" s="126"/>
    </row>
    <row r="296" ht="15.75" customHeight="1">
      <c r="A296" s="10"/>
      <c r="B296" s="135"/>
      <c r="E296" s="28"/>
      <c r="F296" s="28"/>
      <c r="G296" s="10"/>
      <c r="H296" s="10"/>
      <c r="N296" s="123"/>
      <c r="P296" s="123"/>
      <c r="Q296" s="132"/>
      <c r="R296" s="132"/>
      <c r="T296" s="126"/>
    </row>
    <row r="297" ht="15.75" customHeight="1">
      <c r="A297" s="10"/>
      <c r="B297" s="135"/>
      <c r="E297" s="28"/>
      <c r="F297" s="28"/>
      <c r="G297" s="10"/>
      <c r="H297" s="10"/>
      <c r="N297" s="123"/>
      <c r="P297" s="123"/>
      <c r="Q297" s="132"/>
      <c r="R297" s="132"/>
      <c r="T297" s="126"/>
    </row>
    <row r="298" ht="15.75" customHeight="1">
      <c r="A298" s="10"/>
      <c r="B298" s="135"/>
      <c r="E298" s="28"/>
      <c r="F298" s="28"/>
      <c r="G298" s="20"/>
      <c r="H298" s="10"/>
      <c r="N298" s="123"/>
      <c r="P298" s="123"/>
      <c r="Q298" s="132"/>
      <c r="R298" s="132"/>
      <c r="T298" s="126"/>
    </row>
    <row r="299" ht="15.75" customHeight="1">
      <c r="A299" s="27"/>
      <c r="B299" s="135"/>
      <c r="E299" s="28"/>
      <c r="F299" s="28"/>
      <c r="G299" s="10"/>
      <c r="H299" s="10"/>
      <c r="N299" s="123"/>
      <c r="P299" s="123"/>
      <c r="Q299" s="132"/>
      <c r="R299" s="132"/>
      <c r="T299" s="126"/>
    </row>
    <row r="300" ht="15.75" customHeight="1">
      <c r="A300" s="10"/>
      <c r="B300" s="135"/>
      <c r="E300" s="28"/>
      <c r="F300" s="28"/>
      <c r="G300" s="10"/>
      <c r="H300" s="10"/>
      <c r="N300" s="123"/>
      <c r="P300" s="123"/>
      <c r="Q300" s="132"/>
      <c r="R300" s="132"/>
      <c r="T300" s="126"/>
    </row>
    <row r="301" ht="15.75" customHeight="1">
      <c r="A301" s="10"/>
      <c r="B301" s="135"/>
      <c r="E301" s="28"/>
      <c r="F301" s="28"/>
      <c r="G301" s="10"/>
      <c r="H301" s="10"/>
      <c r="N301" s="123"/>
      <c r="P301" s="123"/>
      <c r="Q301" s="132"/>
      <c r="R301" s="132"/>
      <c r="T301" s="126"/>
    </row>
    <row r="302" ht="15.75" customHeight="1">
      <c r="A302" s="10"/>
      <c r="B302" s="135"/>
      <c r="E302" s="28"/>
      <c r="F302" s="28"/>
      <c r="G302" s="10"/>
      <c r="H302" s="10"/>
      <c r="N302" s="123"/>
      <c r="P302" s="123"/>
      <c r="Q302" s="132"/>
      <c r="R302" s="132"/>
      <c r="T302" s="126"/>
    </row>
    <row r="303" ht="15.75" customHeight="1">
      <c r="A303" s="10"/>
      <c r="B303" s="135"/>
      <c r="E303" s="28"/>
      <c r="F303" s="28"/>
      <c r="G303" s="10"/>
      <c r="H303" s="10"/>
      <c r="N303" s="123"/>
      <c r="P303" s="123"/>
      <c r="Q303" s="132"/>
      <c r="R303" s="132"/>
      <c r="T303" s="126"/>
    </row>
    <row r="304" ht="15.75" customHeight="1">
      <c r="A304" s="10"/>
      <c r="B304" s="135"/>
      <c r="E304" s="28"/>
      <c r="F304" s="28"/>
      <c r="G304" s="10"/>
      <c r="H304" s="10"/>
      <c r="N304" s="123"/>
      <c r="P304" s="123"/>
      <c r="Q304" s="132"/>
      <c r="R304" s="132"/>
      <c r="T304" s="126"/>
    </row>
    <row r="305" ht="15.75" customHeight="1">
      <c r="A305" s="10"/>
      <c r="B305" s="135"/>
      <c r="E305" s="28"/>
      <c r="F305" s="28"/>
      <c r="G305" s="20"/>
      <c r="H305" s="10"/>
      <c r="N305" s="123"/>
      <c r="P305" s="123"/>
      <c r="Q305" s="132"/>
      <c r="R305" s="132"/>
      <c r="T305" s="126"/>
    </row>
    <row r="306" ht="15.75" customHeight="1">
      <c r="A306" s="27"/>
      <c r="B306" s="135"/>
      <c r="E306" s="28"/>
      <c r="F306" s="28"/>
      <c r="G306" s="10"/>
      <c r="H306" s="10"/>
      <c r="N306" s="123"/>
      <c r="P306" s="123"/>
      <c r="Q306" s="132"/>
      <c r="R306" s="132"/>
      <c r="T306" s="126"/>
    </row>
    <row r="307" ht="15.75" customHeight="1">
      <c r="A307" s="10"/>
      <c r="B307" s="135"/>
      <c r="E307" s="28"/>
      <c r="F307" s="28"/>
      <c r="G307" s="10"/>
      <c r="H307" s="10"/>
      <c r="N307" s="123"/>
      <c r="P307" s="123"/>
      <c r="Q307" s="132"/>
      <c r="R307" s="132"/>
      <c r="T307" s="126"/>
    </row>
    <row r="308" ht="15.75" customHeight="1">
      <c r="A308" s="10"/>
      <c r="B308" s="135"/>
      <c r="E308" s="28"/>
      <c r="F308" s="28"/>
      <c r="G308" s="10"/>
      <c r="H308" s="10"/>
      <c r="N308" s="123"/>
      <c r="P308" s="123"/>
      <c r="Q308" s="132"/>
      <c r="R308" s="132"/>
      <c r="T308" s="126"/>
    </row>
    <row r="309" ht="15.75" customHeight="1">
      <c r="A309" s="10"/>
      <c r="B309" s="135"/>
      <c r="E309" s="28"/>
      <c r="F309" s="28"/>
      <c r="G309" s="10"/>
      <c r="H309" s="10"/>
      <c r="N309" s="123"/>
      <c r="P309" s="123"/>
      <c r="Q309" s="132"/>
      <c r="R309" s="132"/>
      <c r="T309" s="126"/>
    </row>
    <row r="310" ht="15.75" customHeight="1">
      <c r="A310" s="10"/>
      <c r="B310" s="135"/>
      <c r="E310" s="28"/>
      <c r="F310" s="28"/>
      <c r="G310" s="10"/>
      <c r="H310" s="10"/>
      <c r="N310" s="123"/>
      <c r="P310" s="123"/>
      <c r="Q310" s="132"/>
      <c r="R310" s="132"/>
      <c r="T310" s="126"/>
    </row>
    <row r="311" ht="15.75" customHeight="1">
      <c r="A311" s="10"/>
      <c r="B311" s="135"/>
      <c r="E311" s="28"/>
      <c r="F311" s="28"/>
      <c r="G311" s="10"/>
      <c r="H311" s="10"/>
      <c r="N311" s="123"/>
      <c r="P311" s="123"/>
      <c r="Q311" s="132"/>
      <c r="R311" s="132"/>
      <c r="T311" s="126"/>
    </row>
    <row r="312" ht="15.75" customHeight="1">
      <c r="A312" s="10"/>
      <c r="B312" s="135"/>
      <c r="E312" s="28"/>
      <c r="F312" s="28"/>
      <c r="G312" s="20"/>
      <c r="H312" s="10"/>
      <c r="N312" s="123"/>
      <c r="P312" s="123"/>
      <c r="Q312" s="132"/>
      <c r="R312" s="132"/>
      <c r="T312" s="126"/>
    </row>
    <row r="313" ht="15.75" customHeight="1">
      <c r="A313" s="27"/>
      <c r="B313" s="135"/>
      <c r="E313" s="28"/>
      <c r="F313" s="28"/>
      <c r="G313" s="10"/>
      <c r="H313" s="10"/>
      <c r="N313" s="123"/>
      <c r="P313" s="123"/>
      <c r="Q313" s="132"/>
      <c r="R313" s="132"/>
      <c r="T313" s="126"/>
    </row>
    <row r="314" ht="15.75" customHeight="1">
      <c r="A314" s="10"/>
      <c r="B314" s="135"/>
      <c r="E314" s="28"/>
      <c r="F314" s="28"/>
      <c r="G314" s="10"/>
      <c r="H314" s="10"/>
      <c r="N314" s="123"/>
      <c r="P314" s="123"/>
      <c r="Q314" s="132"/>
      <c r="R314" s="132"/>
      <c r="T314" s="126"/>
    </row>
    <row r="315" ht="15.75" customHeight="1">
      <c r="A315" s="10"/>
      <c r="B315" s="135"/>
      <c r="E315" s="28"/>
      <c r="F315" s="28"/>
      <c r="G315" s="10"/>
      <c r="H315" s="10"/>
      <c r="N315" s="123"/>
      <c r="P315" s="123"/>
      <c r="Q315" s="132"/>
      <c r="R315" s="132"/>
      <c r="T315" s="126"/>
    </row>
    <row r="316" ht="15.75" customHeight="1">
      <c r="A316" s="10"/>
      <c r="B316" s="135"/>
      <c r="E316" s="28"/>
      <c r="F316" s="28"/>
      <c r="G316" s="10"/>
      <c r="H316" s="10"/>
      <c r="N316" s="123"/>
      <c r="P316" s="123"/>
      <c r="Q316" s="132"/>
      <c r="R316" s="132"/>
      <c r="T316" s="126"/>
    </row>
    <row r="317" ht="15.75" customHeight="1">
      <c r="A317" s="10"/>
      <c r="B317" s="135"/>
      <c r="E317" s="28"/>
      <c r="F317" s="28"/>
      <c r="G317" s="10"/>
      <c r="H317" s="10"/>
      <c r="N317" s="123"/>
      <c r="P317" s="123"/>
      <c r="Q317" s="132"/>
      <c r="R317" s="132"/>
      <c r="T317" s="126"/>
    </row>
    <row r="318" ht="15.75" customHeight="1">
      <c r="A318" s="10"/>
      <c r="B318" s="135"/>
      <c r="E318" s="28"/>
      <c r="F318" s="28"/>
      <c r="G318" s="10"/>
      <c r="H318" s="10"/>
      <c r="N318" s="123"/>
      <c r="P318" s="123"/>
      <c r="Q318" s="132"/>
      <c r="R318" s="132"/>
      <c r="T318" s="126"/>
    </row>
    <row r="319" ht="15.75" customHeight="1">
      <c r="A319" s="10"/>
      <c r="B319" s="135"/>
      <c r="E319" s="28"/>
      <c r="F319" s="28"/>
      <c r="G319" s="20"/>
      <c r="H319" s="10"/>
      <c r="N319" s="123"/>
      <c r="P319" s="123"/>
      <c r="Q319" s="132"/>
      <c r="R319" s="132"/>
      <c r="T319" s="126"/>
    </row>
    <row r="320" ht="15.75" customHeight="1">
      <c r="A320" s="27"/>
      <c r="B320" s="135"/>
      <c r="E320" s="28"/>
      <c r="F320" s="28"/>
      <c r="G320" s="10"/>
      <c r="H320" s="10"/>
      <c r="N320" s="123"/>
      <c r="P320" s="123"/>
      <c r="Q320" s="132"/>
      <c r="R320" s="132"/>
      <c r="T320" s="126"/>
    </row>
    <row r="321" ht="15.75" customHeight="1">
      <c r="A321" s="10"/>
      <c r="B321" s="135"/>
      <c r="E321" s="28"/>
      <c r="F321" s="28"/>
      <c r="G321" s="10"/>
      <c r="H321" s="10"/>
      <c r="N321" s="123"/>
      <c r="P321" s="123"/>
      <c r="Q321" s="132"/>
      <c r="R321" s="132"/>
      <c r="T321" s="126"/>
    </row>
    <row r="322" ht="15.75" customHeight="1">
      <c r="A322" s="10"/>
      <c r="B322" s="135"/>
      <c r="E322" s="28"/>
      <c r="F322" s="28"/>
      <c r="G322" s="10"/>
      <c r="H322" s="10"/>
      <c r="N322" s="123"/>
      <c r="P322" s="123"/>
      <c r="Q322" s="132"/>
      <c r="R322" s="132"/>
      <c r="T322" s="126"/>
    </row>
    <row r="323" ht="15.75" customHeight="1">
      <c r="A323" s="10"/>
      <c r="B323" s="135"/>
      <c r="E323" s="28"/>
      <c r="F323" s="28"/>
      <c r="G323" s="10"/>
      <c r="H323" s="10"/>
      <c r="N323" s="123"/>
      <c r="P323" s="123"/>
      <c r="Q323" s="132"/>
      <c r="R323" s="132"/>
      <c r="T323" s="126"/>
    </row>
    <row r="324" ht="15.75" customHeight="1">
      <c r="A324" s="10"/>
      <c r="B324" s="135"/>
      <c r="E324" s="28"/>
      <c r="F324" s="28"/>
      <c r="G324" s="10"/>
      <c r="H324" s="10"/>
      <c r="N324" s="123"/>
      <c r="P324" s="123"/>
      <c r="Q324" s="132"/>
      <c r="R324" s="132"/>
      <c r="T324" s="126"/>
    </row>
    <row r="325" ht="15.75" customHeight="1">
      <c r="A325" s="10"/>
      <c r="B325" s="135"/>
      <c r="E325" s="28"/>
      <c r="F325" s="28"/>
      <c r="G325" s="10"/>
      <c r="H325" s="10"/>
      <c r="N325" s="123"/>
      <c r="P325" s="123"/>
      <c r="Q325" s="132"/>
      <c r="R325" s="132"/>
      <c r="T325" s="126"/>
    </row>
    <row r="326" ht="15.75" customHeight="1">
      <c r="A326" s="10"/>
      <c r="B326" s="135"/>
      <c r="E326" s="28"/>
      <c r="F326" s="28"/>
      <c r="G326" s="20"/>
      <c r="H326" s="10"/>
      <c r="N326" s="123"/>
      <c r="P326" s="123"/>
      <c r="Q326" s="132"/>
      <c r="R326" s="132"/>
      <c r="T326" s="126"/>
    </row>
    <row r="327" ht="15.75" customHeight="1">
      <c r="A327" s="27"/>
      <c r="B327" s="135"/>
      <c r="E327" s="28"/>
      <c r="F327" s="28"/>
      <c r="G327" s="10"/>
      <c r="H327" s="10"/>
      <c r="N327" s="123"/>
      <c r="P327" s="123"/>
      <c r="Q327" s="132"/>
      <c r="R327" s="132"/>
      <c r="T327" s="126"/>
    </row>
    <row r="328" ht="15.75" customHeight="1">
      <c r="A328" s="10"/>
      <c r="B328" s="135"/>
      <c r="E328" s="28"/>
      <c r="F328" s="28"/>
      <c r="G328" s="10"/>
      <c r="H328" s="10"/>
      <c r="N328" s="123"/>
      <c r="P328" s="123"/>
      <c r="Q328" s="132"/>
      <c r="R328" s="132"/>
      <c r="T328" s="126"/>
    </row>
    <row r="329" ht="15.75" customHeight="1">
      <c r="A329" s="10"/>
      <c r="B329" s="135"/>
      <c r="E329" s="28"/>
      <c r="F329" s="28"/>
      <c r="G329" s="10"/>
      <c r="H329" s="10"/>
      <c r="N329" s="123"/>
      <c r="P329" s="123"/>
      <c r="Q329" s="132"/>
      <c r="R329" s="132"/>
      <c r="T329" s="126"/>
    </row>
    <row r="330" ht="15.75" customHeight="1">
      <c r="A330" s="10"/>
      <c r="B330" s="135"/>
      <c r="E330" s="28"/>
      <c r="F330" s="28"/>
      <c r="G330" s="10"/>
      <c r="H330" s="10"/>
      <c r="N330" s="123"/>
      <c r="P330" s="123"/>
      <c r="Q330" s="132"/>
      <c r="R330" s="132"/>
      <c r="T330" s="126"/>
    </row>
    <row r="331" ht="15.75" customHeight="1">
      <c r="A331" s="10"/>
      <c r="B331" s="135"/>
      <c r="E331" s="28"/>
      <c r="F331" s="28"/>
      <c r="G331" s="10"/>
      <c r="H331" s="10"/>
      <c r="N331" s="123"/>
      <c r="P331" s="123"/>
      <c r="Q331" s="132"/>
      <c r="R331" s="132"/>
      <c r="T331" s="126"/>
    </row>
    <row r="332" ht="15.75" customHeight="1">
      <c r="A332" s="10"/>
      <c r="B332" s="135"/>
      <c r="E332" s="28"/>
      <c r="F332" s="28"/>
      <c r="G332" s="10"/>
      <c r="H332" s="10"/>
      <c r="N332" s="123"/>
      <c r="P332" s="123"/>
      <c r="Q332" s="132"/>
      <c r="R332" s="132"/>
      <c r="T332" s="126"/>
    </row>
    <row r="333" ht="15.75" customHeight="1">
      <c r="A333" s="10"/>
      <c r="B333" s="135"/>
      <c r="E333" s="28"/>
      <c r="F333" s="28"/>
      <c r="G333" s="20"/>
      <c r="H333" s="10"/>
      <c r="N333" s="123"/>
      <c r="P333" s="123"/>
      <c r="Q333" s="132"/>
      <c r="R333" s="132"/>
      <c r="T333" s="126"/>
    </row>
    <row r="334" ht="15.75" customHeight="1">
      <c r="A334" s="27"/>
      <c r="B334" s="135"/>
      <c r="E334" s="28"/>
      <c r="F334" s="28"/>
      <c r="G334" s="10"/>
      <c r="H334" s="10"/>
      <c r="N334" s="123"/>
      <c r="P334" s="123"/>
      <c r="Q334" s="132"/>
      <c r="R334" s="132"/>
      <c r="T334" s="126"/>
    </row>
    <row r="335" ht="15.75" customHeight="1">
      <c r="A335" s="10"/>
      <c r="B335" s="135"/>
      <c r="E335" s="28"/>
      <c r="F335" s="28"/>
      <c r="G335" s="10"/>
      <c r="H335" s="10"/>
      <c r="N335" s="123"/>
      <c r="P335" s="123"/>
      <c r="Q335" s="132"/>
      <c r="R335" s="132"/>
      <c r="T335" s="126"/>
    </row>
    <row r="336" ht="15.75" customHeight="1">
      <c r="A336" s="10"/>
      <c r="B336" s="135"/>
      <c r="E336" s="28"/>
      <c r="F336" s="28"/>
      <c r="G336" s="10"/>
      <c r="H336" s="10"/>
      <c r="N336" s="123"/>
      <c r="P336" s="123"/>
      <c r="Q336" s="132"/>
      <c r="R336" s="132"/>
      <c r="T336" s="126"/>
    </row>
    <row r="337" ht="15.75" customHeight="1">
      <c r="A337" s="10"/>
      <c r="B337" s="135"/>
      <c r="E337" s="28"/>
      <c r="F337" s="28"/>
      <c r="G337" s="10"/>
      <c r="H337" s="10"/>
      <c r="N337" s="123"/>
      <c r="P337" s="123"/>
      <c r="Q337" s="132"/>
      <c r="R337" s="132"/>
      <c r="T337" s="126"/>
    </row>
    <row r="338" ht="15.75" customHeight="1">
      <c r="A338" s="10"/>
      <c r="B338" s="135"/>
      <c r="E338" s="28"/>
      <c r="F338" s="28"/>
      <c r="G338" s="10"/>
      <c r="H338" s="10"/>
      <c r="N338" s="123"/>
      <c r="P338" s="123"/>
      <c r="Q338" s="132"/>
      <c r="R338" s="132"/>
      <c r="T338" s="126"/>
    </row>
    <row r="339" ht="15.75" customHeight="1">
      <c r="A339" s="10"/>
      <c r="B339" s="135"/>
      <c r="E339" s="28"/>
      <c r="F339" s="28"/>
      <c r="G339" s="10"/>
      <c r="H339" s="10"/>
      <c r="N339" s="123"/>
      <c r="P339" s="123"/>
      <c r="Q339" s="132"/>
      <c r="R339" s="132"/>
      <c r="T339" s="126"/>
    </row>
    <row r="340" ht="15.75" customHeight="1">
      <c r="A340" s="10"/>
      <c r="B340" s="135"/>
      <c r="E340" s="28"/>
      <c r="F340" s="28"/>
      <c r="G340" s="20"/>
      <c r="H340" s="10"/>
      <c r="N340" s="123"/>
      <c r="P340" s="123"/>
      <c r="Q340" s="132"/>
      <c r="R340" s="132"/>
      <c r="T340" s="126"/>
    </row>
    <row r="341" ht="15.75" customHeight="1">
      <c r="A341" s="27"/>
      <c r="B341" s="135"/>
      <c r="E341" s="28"/>
      <c r="F341" s="28"/>
      <c r="G341" s="10"/>
      <c r="H341" s="10"/>
      <c r="N341" s="123"/>
      <c r="P341" s="123"/>
      <c r="Q341" s="132"/>
      <c r="R341" s="132"/>
      <c r="T341" s="126"/>
    </row>
    <row r="342" ht="15.75" customHeight="1">
      <c r="A342" s="10"/>
      <c r="B342" s="135"/>
      <c r="E342" s="28"/>
      <c r="F342" s="28"/>
      <c r="G342" s="10"/>
      <c r="H342" s="10"/>
      <c r="N342" s="123"/>
      <c r="P342" s="123"/>
      <c r="Q342" s="132"/>
      <c r="R342" s="132"/>
      <c r="T342" s="126"/>
    </row>
    <row r="343" ht="15.75" customHeight="1">
      <c r="A343" s="10"/>
      <c r="B343" s="135"/>
      <c r="E343" s="28"/>
      <c r="F343" s="28"/>
      <c r="G343" s="10"/>
      <c r="H343" s="10"/>
      <c r="N343" s="123"/>
      <c r="P343" s="123"/>
      <c r="Q343" s="132"/>
      <c r="R343" s="132"/>
      <c r="T343" s="126"/>
    </row>
    <row r="344" ht="15.75" customHeight="1">
      <c r="A344" s="10"/>
      <c r="B344" s="135"/>
      <c r="E344" s="28"/>
      <c r="F344" s="28"/>
      <c r="G344" s="10"/>
      <c r="H344" s="10"/>
      <c r="N344" s="123"/>
      <c r="P344" s="123"/>
      <c r="Q344" s="132"/>
      <c r="R344" s="132"/>
      <c r="T344" s="126"/>
    </row>
    <row r="345" ht="15.75" customHeight="1">
      <c r="A345" s="10"/>
      <c r="B345" s="135"/>
      <c r="E345" s="28"/>
      <c r="F345" s="28"/>
      <c r="G345" s="10"/>
      <c r="H345" s="10"/>
      <c r="N345" s="123"/>
      <c r="P345" s="123"/>
      <c r="Q345" s="132"/>
      <c r="R345" s="132"/>
      <c r="T345" s="126"/>
    </row>
    <row r="346" ht="15.75" customHeight="1">
      <c r="A346" s="10"/>
      <c r="B346" s="135"/>
      <c r="E346" s="28"/>
      <c r="F346" s="28"/>
      <c r="G346" s="10"/>
      <c r="H346" s="10"/>
      <c r="N346" s="123"/>
      <c r="P346" s="123"/>
      <c r="Q346" s="132"/>
      <c r="R346" s="132"/>
      <c r="T346" s="126"/>
    </row>
    <row r="347" ht="15.75" customHeight="1">
      <c r="A347" s="10"/>
      <c r="B347" s="135"/>
      <c r="E347" s="28"/>
      <c r="F347" s="28"/>
      <c r="H347" s="10"/>
      <c r="N347" s="123"/>
      <c r="P347" s="123"/>
      <c r="Q347" s="132"/>
      <c r="R347" s="132"/>
      <c r="T347" s="126"/>
    </row>
    <row r="348" ht="15.75" customHeight="1">
      <c r="A348" s="27"/>
      <c r="B348" s="135"/>
      <c r="E348" s="28"/>
      <c r="F348" s="28"/>
      <c r="G348" s="10"/>
      <c r="H348" s="10"/>
      <c r="N348" s="123"/>
      <c r="P348" s="123"/>
      <c r="Q348" s="132"/>
      <c r="R348" s="132"/>
      <c r="T348" s="126"/>
    </row>
    <row r="349" ht="15.75" customHeight="1">
      <c r="A349" s="10"/>
      <c r="B349" s="135"/>
      <c r="E349" s="28"/>
      <c r="F349" s="28"/>
      <c r="G349" s="10"/>
      <c r="H349" s="10"/>
      <c r="N349" s="123"/>
      <c r="P349" s="123"/>
      <c r="Q349" s="132"/>
      <c r="R349" s="132"/>
      <c r="T349" s="126"/>
    </row>
    <row r="350" ht="15.75" customHeight="1">
      <c r="A350" s="10"/>
      <c r="B350" s="135"/>
      <c r="E350" s="28"/>
      <c r="F350" s="28"/>
      <c r="G350" s="10"/>
      <c r="H350" s="10"/>
      <c r="N350" s="123"/>
      <c r="P350" s="123"/>
      <c r="Q350" s="132"/>
      <c r="R350" s="132"/>
      <c r="T350" s="126"/>
    </row>
    <row r="351" ht="15.75" customHeight="1">
      <c r="A351" s="10"/>
      <c r="B351" s="135"/>
      <c r="E351" s="28"/>
      <c r="F351" s="28"/>
      <c r="G351" s="10"/>
      <c r="H351" s="10"/>
      <c r="N351" s="123"/>
      <c r="P351" s="123"/>
      <c r="Q351" s="132"/>
      <c r="R351" s="132"/>
      <c r="T351" s="126"/>
    </row>
    <row r="352" ht="15.75" customHeight="1">
      <c r="A352" s="10"/>
      <c r="B352" s="135"/>
      <c r="E352" s="28"/>
      <c r="F352" s="28"/>
      <c r="G352" s="10"/>
      <c r="H352" s="10"/>
      <c r="N352" s="123"/>
      <c r="P352" s="123"/>
      <c r="Q352" s="132"/>
      <c r="R352" s="132"/>
      <c r="T352" s="126"/>
    </row>
    <row r="353" ht="15.75" customHeight="1">
      <c r="A353" s="10"/>
      <c r="B353" s="135"/>
      <c r="E353" s="28"/>
      <c r="F353" s="28"/>
      <c r="G353" s="10"/>
      <c r="H353" s="10"/>
      <c r="N353" s="123"/>
      <c r="P353" s="123"/>
      <c r="Q353" s="132"/>
      <c r="R353" s="132"/>
      <c r="T353" s="126"/>
    </row>
    <row r="354" ht="15.75" customHeight="1">
      <c r="A354" s="10"/>
      <c r="B354" s="135"/>
      <c r="E354" s="28"/>
      <c r="F354" s="28"/>
      <c r="G354" s="20"/>
      <c r="H354" s="10"/>
      <c r="N354" s="123"/>
      <c r="P354" s="123"/>
      <c r="Q354" s="132"/>
      <c r="R354" s="132"/>
      <c r="T354" s="126"/>
    </row>
    <row r="355" ht="15.75" customHeight="1">
      <c r="A355" s="27"/>
      <c r="B355" s="135"/>
      <c r="E355" s="28"/>
      <c r="F355" s="28"/>
      <c r="G355" s="10"/>
      <c r="H355" s="10"/>
      <c r="N355" s="123"/>
      <c r="P355" s="123"/>
      <c r="Q355" s="132"/>
      <c r="R355" s="132"/>
      <c r="T355" s="126"/>
    </row>
    <row r="356" ht="15.75" customHeight="1">
      <c r="A356" s="10"/>
      <c r="B356" s="135"/>
      <c r="E356" s="28"/>
      <c r="F356" s="28"/>
      <c r="G356" s="10"/>
      <c r="H356" s="10"/>
      <c r="N356" s="123"/>
      <c r="P356" s="123"/>
      <c r="Q356" s="132"/>
      <c r="R356" s="132"/>
      <c r="T356" s="126"/>
    </row>
    <row r="357" ht="15.75" customHeight="1">
      <c r="A357" s="10"/>
      <c r="B357" s="135"/>
      <c r="E357" s="28"/>
      <c r="F357" s="28"/>
      <c r="G357" s="10"/>
      <c r="H357" s="10"/>
      <c r="N357" s="123"/>
      <c r="P357" s="123"/>
      <c r="Q357" s="132"/>
      <c r="R357" s="132"/>
      <c r="T357" s="126"/>
    </row>
    <row r="358" ht="15.75" customHeight="1">
      <c r="A358" s="10"/>
      <c r="B358" s="135"/>
      <c r="E358" s="28"/>
      <c r="F358" s="28"/>
      <c r="G358" s="10"/>
      <c r="H358" s="10"/>
      <c r="N358" s="123"/>
      <c r="P358" s="123"/>
      <c r="Q358" s="132"/>
      <c r="R358" s="132"/>
      <c r="T358" s="126"/>
    </row>
    <row r="359" ht="15.75" customHeight="1">
      <c r="A359" s="10"/>
      <c r="B359" s="135"/>
      <c r="E359" s="28"/>
      <c r="F359" s="28"/>
      <c r="G359" s="10"/>
      <c r="H359" s="10"/>
      <c r="N359" s="123"/>
      <c r="P359" s="123"/>
      <c r="Q359" s="132"/>
      <c r="R359" s="132"/>
      <c r="T359" s="126"/>
    </row>
    <row r="360" ht="15.75" customHeight="1">
      <c r="A360" s="10"/>
      <c r="B360" s="135"/>
      <c r="E360" s="28"/>
      <c r="F360" s="28"/>
      <c r="G360" s="10"/>
      <c r="H360" s="10"/>
      <c r="N360" s="123"/>
      <c r="P360" s="123"/>
      <c r="Q360" s="132"/>
      <c r="R360" s="132"/>
      <c r="T360" s="126"/>
    </row>
    <row r="361" ht="15.75" customHeight="1">
      <c r="A361" s="10"/>
      <c r="B361" s="135"/>
      <c r="E361" s="28"/>
      <c r="F361" s="28"/>
      <c r="G361" s="20"/>
      <c r="H361" s="10"/>
      <c r="N361" s="123"/>
      <c r="P361" s="123"/>
      <c r="Q361" s="132"/>
      <c r="R361" s="132"/>
      <c r="T361" s="126"/>
    </row>
    <row r="362" ht="15.75" customHeight="1">
      <c r="A362" s="136"/>
      <c r="B362" s="135"/>
      <c r="C362" s="123"/>
      <c r="D362" s="123"/>
      <c r="E362" s="137"/>
      <c r="F362" s="137"/>
      <c r="G362" s="10"/>
      <c r="H362" s="10"/>
      <c r="I362" s="123"/>
      <c r="J362" s="123"/>
      <c r="K362" s="123"/>
      <c r="L362" s="123"/>
      <c r="M362" s="123"/>
      <c r="N362" s="123"/>
      <c r="O362" s="123"/>
      <c r="P362" s="123"/>
      <c r="Q362" s="125"/>
      <c r="R362" s="125"/>
      <c r="S362" s="123"/>
      <c r="T362" s="138"/>
      <c r="U362" s="123"/>
      <c r="V362" s="123"/>
      <c r="W362" s="123"/>
      <c r="X362" s="123"/>
      <c r="Y362" s="123"/>
      <c r="Z362" s="123"/>
      <c r="AA362" s="123"/>
      <c r="AB362" s="123"/>
    </row>
    <row r="363" ht="15.75" customHeight="1">
      <c r="A363" s="123"/>
      <c r="B363" s="135"/>
      <c r="C363" s="123"/>
      <c r="D363" s="123"/>
      <c r="E363" s="137"/>
      <c r="F363" s="137"/>
      <c r="G363" s="10"/>
      <c r="H363" s="10"/>
      <c r="I363" s="123"/>
      <c r="J363" s="123"/>
      <c r="K363" s="123"/>
      <c r="L363" s="123"/>
      <c r="M363" s="123"/>
      <c r="N363" s="123"/>
      <c r="O363" s="123"/>
      <c r="P363" s="123"/>
      <c r="Q363" s="125"/>
      <c r="R363" s="125"/>
      <c r="S363" s="123"/>
      <c r="T363" s="138"/>
      <c r="U363" s="123"/>
      <c r="V363" s="123"/>
      <c r="W363" s="123"/>
      <c r="X363" s="123"/>
      <c r="Y363" s="123"/>
      <c r="Z363" s="123"/>
      <c r="AA363" s="123"/>
      <c r="AB363" s="123"/>
    </row>
    <row r="364" ht="15.75" customHeight="1">
      <c r="A364" s="123"/>
      <c r="B364" s="135"/>
      <c r="C364" s="123"/>
      <c r="D364" s="123"/>
      <c r="E364" s="137"/>
      <c r="F364" s="137"/>
      <c r="G364" s="10"/>
      <c r="H364" s="10"/>
      <c r="I364" s="123"/>
      <c r="J364" s="123"/>
      <c r="K364" s="123"/>
      <c r="L364" s="123"/>
      <c r="M364" s="123"/>
      <c r="N364" s="123"/>
      <c r="O364" s="123"/>
      <c r="P364" s="123"/>
      <c r="Q364" s="125"/>
      <c r="R364" s="125"/>
      <c r="S364" s="123"/>
      <c r="T364" s="138"/>
      <c r="U364" s="123"/>
      <c r="V364" s="123"/>
      <c r="W364" s="123"/>
      <c r="X364" s="123"/>
      <c r="Y364" s="123"/>
      <c r="Z364" s="123"/>
      <c r="AA364" s="123"/>
      <c r="AB364" s="123"/>
    </row>
    <row r="365" ht="15.75" customHeight="1">
      <c r="A365" s="123"/>
      <c r="B365" s="135"/>
      <c r="C365" s="123"/>
      <c r="D365" s="123"/>
      <c r="E365" s="137"/>
      <c r="F365" s="137"/>
      <c r="G365" s="10"/>
      <c r="H365" s="10"/>
      <c r="I365" s="123"/>
      <c r="J365" s="123"/>
      <c r="K365" s="123"/>
      <c r="L365" s="123"/>
      <c r="M365" s="123"/>
      <c r="N365" s="123"/>
      <c r="O365" s="123"/>
      <c r="P365" s="123"/>
      <c r="Q365" s="125"/>
      <c r="R365" s="125"/>
      <c r="S365" s="123"/>
      <c r="T365" s="138"/>
      <c r="U365" s="123"/>
      <c r="V365" s="123"/>
      <c r="W365" s="123"/>
      <c r="X365" s="123"/>
      <c r="Y365" s="123"/>
      <c r="Z365" s="123"/>
      <c r="AA365" s="123"/>
      <c r="AB365" s="123"/>
    </row>
    <row r="366" ht="15.75" customHeight="1">
      <c r="A366" s="123"/>
      <c r="B366" s="135"/>
      <c r="C366" s="123"/>
      <c r="D366" s="123"/>
      <c r="E366" s="137"/>
      <c r="F366" s="137"/>
      <c r="G366" s="10"/>
      <c r="H366" s="20"/>
      <c r="I366" s="123"/>
      <c r="J366" s="123"/>
      <c r="K366" s="123"/>
      <c r="L366" s="123"/>
      <c r="M366" s="123"/>
      <c r="N366" s="123"/>
      <c r="O366" s="123"/>
      <c r="P366" s="123"/>
      <c r="Q366" s="125"/>
      <c r="R366" s="125"/>
      <c r="S366" s="123"/>
      <c r="T366" s="138"/>
      <c r="U366" s="123"/>
      <c r="V366" s="123"/>
      <c r="W366" s="123"/>
      <c r="X366" s="123"/>
      <c r="Y366" s="123"/>
      <c r="Z366" s="123"/>
      <c r="AA366" s="123"/>
      <c r="AB366" s="123"/>
    </row>
    <row r="367" ht="15.75" customHeight="1">
      <c r="A367" s="123"/>
      <c r="B367" s="135"/>
      <c r="C367" s="123"/>
      <c r="D367" s="123"/>
      <c r="E367" s="137"/>
      <c r="F367" s="137"/>
      <c r="G367" s="10"/>
      <c r="H367" s="20"/>
      <c r="I367" s="123"/>
      <c r="J367" s="123"/>
      <c r="K367" s="123"/>
      <c r="L367" s="123"/>
      <c r="M367" s="123"/>
      <c r="N367" s="123"/>
      <c r="O367" s="123"/>
      <c r="P367" s="123"/>
      <c r="Q367" s="125"/>
      <c r="R367" s="125"/>
      <c r="S367" s="123"/>
      <c r="T367" s="138"/>
      <c r="U367" s="123"/>
      <c r="V367" s="123"/>
      <c r="W367" s="123"/>
      <c r="X367" s="123"/>
      <c r="Y367" s="123"/>
      <c r="Z367" s="123"/>
      <c r="AA367" s="123"/>
      <c r="AB367" s="123"/>
    </row>
    <row r="368" ht="15.75" customHeight="1">
      <c r="A368" s="10"/>
      <c r="B368" s="135"/>
      <c r="E368" s="28"/>
      <c r="F368" s="28"/>
      <c r="G368" s="20"/>
      <c r="H368" s="10"/>
      <c r="N368" s="123"/>
      <c r="P368" s="123"/>
      <c r="Q368" s="132"/>
      <c r="R368" s="132"/>
      <c r="T368" s="126"/>
    </row>
    <row r="369" ht="15.75" customHeight="1">
      <c r="A369" s="27"/>
      <c r="B369" s="135"/>
      <c r="E369" s="28"/>
      <c r="F369" s="28"/>
      <c r="G369" s="10"/>
      <c r="H369" s="10"/>
      <c r="N369" s="123"/>
      <c r="P369" s="123"/>
      <c r="Q369" s="132"/>
      <c r="R369" s="132"/>
      <c r="T369" s="126"/>
    </row>
    <row r="370" ht="15.75" customHeight="1">
      <c r="A370" s="10"/>
      <c r="B370" s="135"/>
      <c r="E370" s="28"/>
      <c r="F370" s="28"/>
      <c r="G370" s="10"/>
      <c r="H370" s="10"/>
      <c r="N370" s="123"/>
      <c r="P370" s="123"/>
      <c r="Q370" s="132"/>
      <c r="R370" s="132"/>
      <c r="T370" s="126"/>
    </row>
    <row r="371" ht="15.75" customHeight="1">
      <c r="A371" s="10"/>
      <c r="B371" s="135"/>
      <c r="E371" s="28"/>
      <c r="F371" s="28"/>
      <c r="G371" s="10"/>
      <c r="H371" s="10"/>
      <c r="N371" s="123"/>
      <c r="P371" s="123"/>
      <c r="Q371" s="132"/>
      <c r="R371" s="132"/>
      <c r="T371" s="126"/>
    </row>
    <row r="372" ht="15.75" customHeight="1">
      <c r="A372" s="10"/>
      <c r="B372" s="135"/>
      <c r="E372" s="28"/>
      <c r="F372" s="28"/>
      <c r="G372" s="10"/>
      <c r="H372" s="10"/>
      <c r="N372" s="123"/>
      <c r="P372" s="123"/>
      <c r="Q372" s="132"/>
      <c r="R372" s="132"/>
      <c r="T372" s="126"/>
    </row>
    <row r="373" ht="15.75" customHeight="1">
      <c r="A373" s="10"/>
      <c r="B373" s="135"/>
      <c r="E373" s="28"/>
      <c r="F373" s="28"/>
      <c r="G373" s="10"/>
      <c r="H373" s="10"/>
      <c r="N373" s="123"/>
      <c r="P373" s="123"/>
      <c r="Q373" s="132"/>
      <c r="R373" s="132"/>
      <c r="T373" s="126"/>
    </row>
    <row r="374" ht="15.75" customHeight="1">
      <c r="A374" s="10"/>
      <c r="B374" s="135"/>
      <c r="E374" s="28"/>
      <c r="F374" s="28"/>
      <c r="G374" s="10"/>
      <c r="H374" s="10"/>
      <c r="N374" s="123"/>
      <c r="P374" s="123"/>
      <c r="Q374" s="132"/>
      <c r="R374" s="132"/>
      <c r="T374" s="126"/>
    </row>
    <row r="375" ht="15.75" customHeight="1">
      <c r="A375" s="10"/>
      <c r="B375" s="135"/>
      <c r="E375" s="28"/>
      <c r="F375" s="28"/>
      <c r="G375" s="20"/>
      <c r="H375" s="10"/>
      <c r="N375" s="123"/>
      <c r="P375" s="123"/>
      <c r="Q375" s="132"/>
      <c r="R375" s="132"/>
      <c r="T375" s="126"/>
    </row>
    <row r="376" ht="15.75" customHeight="1">
      <c r="A376" s="27"/>
      <c r="B376" s="135"/>
      <c r="E376" s="28"/>
      <c r="F376" s="28"/>
      <c r="G376" s="10"/>
      <c r="H376" s="10"/>
      <c r="N376" s="123"/>
      <c r="P376" s="123"/>
      <c r="Q376" s="132"/>
      <c r="R376" s="132"/>
      <c r="T376" s="126"/>
    </row>
    <row r="377" ht="15.75" customHeight="1">
      <c r="A377" s="10"/>
      <c r="B377" s="135"/>
      <c r="E377" s="28"/>
      <c r="F377" s="28"/>
      <c r="G377" s="10"/>
      <c r="H377" s="10"/>
      <c r="N377" s="123"/>
      <c r="P377" s="123"/>
      <c r="Q377" s="132"/>
      <c r="R377" s="132"/>
      <c r="T377" s="126"/>
    </row>
    <row r="378" ht="15.75" customHeight="1">
      <c r="A378" s="10"/>
      <c r="B378" s="135"/>
      <c r="E378" s="28"/>
      <c r="F378" s="28"/>
      <c r="G378" s="10"/>
      <c r="H378" s="10"/>
      <c r="N378" s="123"/>
      <c r="P378" s="123"/>
      <c r="Q378" s="132"/>
      <c r="R378" s="132"/>
      <c r="T378" s="126"/>
    </row>
    <row r="379" ht="15.75" customHeight="1">
      <c r="A379" s="10"/>
      <c r="B379" s="135"/>
      <c r="E379" s="28"/>
      <c r="F379" s="28"/>
      <c r="G379" s="10"/>
      <c r="H379" s="10"/>
      <c r="N379" s="123"/>
      <c r="P379" s="123"/>
      <c r="Q379" s="132"/>
      <c r="R379" s="132"/>
      <c r="T379" s="126"/>
    </row>
    <row r="380" ht="15.75" customHeight="1">
      <c r="A380" s="10"/>
      <c r="B380" s="135"/>
      <c r="E380" s="28"/>
      <c r="F380" s="28"/>
      <c r="G380" s="10"/>
      <c r="H380" s="10"/>
      <c r="N380" s="123"/>
      <c r="P380" s="123"/>
      <c r="Q380" s="132"/>
      <c r="R380" s="132"/>
      <c r="T380" s="126"/>
    </row>
    <row r="381" ht="15.75" customHeight="1">
      <c r="A381" s="10"/>
      <c r="B381" s="135"/>
      <c r="E381" s="28"/>
      <c r="F381" s="28"/>
      <c r="G381" s="10"/>
      <c r="H381" s="10"/>
      <c r="N381" s="123"/>
      <c r="P381" s="123"/>
      <c r="Q381" s="132"/>
      <c r="R381" s="132"/>
      <c r="T381" s="126"/>
    </row>
    <row r="382" ht="15.75" customHeight="1">
      <c r="A382" s="10"/>
      <c r="B382" s="135"/>
      <c r="E382" s="28"/>
      <c r="F382" s="28"/>
      <c r="G382" s="20"/>
      <c r="H382" s="10"/>
      <c r="N382" s="123"/>
      <c r="P382" s="123"/>
      <c r="Q382" s="132"/>
      <c r="R382" s="132"/>
      <c r="T382" s="126"/>
    </row>
    <row r="383" ht="15.75" customHeight="1">
      <c r="A383" s="27"/>
      <c r="B383" s="135"/>
      <c r="E383" s="28"/>
      <c r="F383" s="28"/>
      <c r="G383" s="10"/>
      <c r="H383" s="10"/>
      <c r="N383" s="123"/>
      <c r="P383" s="123"/>
      <c r="Q383" s="132"/>
      <c r="R383" s="132"/>
      <c r="T383" s="126"/>
    </row>
    <row r="384" ht="15.75" customHeight="1">
      <c r="A384" s="10"/>
      <c r="B384" s="135"/>
      <c r="E384" s="28"/>
      <c r="F384" s="28"/>
      <c r="G384" s="10"/>
      <c r="H384" s="10"/>
      <c r="N384" s="123"/>
      <c r="P384" s="123"/>
      <c r="Q384" s="132"/>
      <c r="R384" s="132"/>
      <c r="T384" s="126"/>
    </row>
    <row r="385" ht="15.75" customHeight="1">
      <c r="A385" s="10"/>
      <c r="B385" s="135"/>
      <c r="E385" s="28"/>
      <c r="F385" s="28"/>
      <c r="G385" s="10"/>
      <c r="H385" s="10"/>
      <c r="N385" s="123"/>
      <c r="P385" s="123"/>
      <c r="Q385" s="132"/>
      <c r="R385" s="132"/>
      <c r="T385" s="126"/>
    </row>
    <row r="386" ht="15.75" customHeight="1">
      <c r="A386" s="10"/>
      <c r="B386" s="135"/>
      <c r="E386" s="28"/>
      <c r="F386" s="28"/>
      <c r="G386" s="10"/>
      <c r="H386" s="10"/>
      <c r="N386" s="123"/>
      <c r="P386" s="123"/>
      <c r="Q386" s="132"/>
      <c r="R386" s="132"/>
      <c r="T386" s="126"/>
    </row>
    <row r="387" ht="15.75" customHeight="1">
      <c r="A387" s="10"/>
      <c r="B387" s="135"/>
      <c r="E387" s="28"/>
      <c r="F387" s="28"/>
      <c r="G387" s="10"/>
      <c r="H387" s="10"/>
      <c r="N387" s="123"/>
      <c r="P387" s="123"/>
      <c r="Q387" s="132"/>
      <c r="R387" s="132"/>
      <c r="T387" s="126"/>
    </row>
    <row r="388" ht="15.75" customHeight="1">
      <c r="A388" s="10"/>
      <c r="B388" s="135"/>
      <c r="E388" s="28"/>
      <c r="F388" s="28"/>
      <c r="G388" s="10"/>
      <c r="H388" s="10"/>
      <c r="N388" s="123"/>
      <c r="P388" s="123"/>
      <c r="Q388" s="132"/>
      <c r="R388" s="132"/>
      <c r="T388" s="126"/>
    </row>
    <row r="389" ht="15.75" customHeight="1">
      <c r="A389" s="10"/>
      <c r="B389" s="135"/>
      <c r="E389" s="28"/>
      <c r="F389" s="28"/>
      <c r="G389" s="20"/>
      <c r="H389" s="10"/>
      <c r="N389" s="123"/>
      <c r="P389" s="123"/>
      <c r="Q389" s="132"/>
      <c r="R389" s="132"/>
      <c r="T389" s="126"/>
    </row>
    <row r="390" ht="15.75" customHeight="1">
      <c r="A390" s="10"/>
      <c r="B390" s="135"/>
      <c r="E390" s="28"/>
      <c r="F390" s="28"/>
      <c r="G390" s="20"/>
      <c r="H390" s="10"/>
      <c r="N390" s="123"/>
      <c r="P390" s="123"/>
      <c r="Q390" s="132"/>
      <c r="R390" s="132"/>
      <c r="T390" s="126"/>
    </row>
    <row r="391" ht="15.75" customHeight="1">
      <c r="A391" s="10"/>
      <c r="B391" s="135"/>
      <c r="E391" s="28"/>
      <c r="F391" s="28"/>
      <c r="G391" s="20"/>
      <c r="H391" s="10"/>
      <c r="N391" s="123"/>
      <c r="P391" s="123"/>
      <c r="Q391" s="132"/>
      <c r="R391" s="132"/>
      <c r="T391" s="126"/>
    </row>
    <row r="392" ht="15.75" customHeight="1">
      <c r="A392" s="10"/>
      <c r="B392" s="135"/>
      <c r="E392" s="28"/>
      <c r="F392" s="28"/>
      <c r="G392" s="20"/>
      <c r="H392" s="10"/>
      <c r="N392" s="123"/>
      <c r="P392" s="123"/>
      <c r="Q392" s="132"/>
      <c r="R392" s="132"/>
      <c r="T392" s="126"/>
    </row>
    <row r="393" ht="15.75" customHeight="1">
      <c r="A393" s="10"/>
      <c r="B393" s="135"/>
      <c r="C393" s="13"/>
      <c r="E393" s="28"/>
      <c r="F393" s="28"/>
      <c r="G393" s="20"/>
      <c r="H393" s="10"/>
      <c r="N393" s="123"/>
      <c r="P393" s="123"/>
      <c r="Q393" s="132"/>
      <c r="R393" s="132"/>
      <c r="T393" s="126"/>
    </row>
    <row r="394" ht="15.75" customHeight="1">
      <c r="A394" s="10"/>
      <c r="B394" s="135"/>
      <c r="G394" s="20"/>
      <c r="H394" s="10"/>
      <c r="N394" s="123"/>
      <c r="P394" s="123"/>
      <c r="Q394" s="132"/>
      <c r="R394" s="132"/>
      <c r="T394" s="126"/>
    </row>
    <row r="395" ht="15.75" customHeight="1">
      <c r="A395" s="27"/>
      <c r="B395" s="135"/>
      <c r="C395" s="13"/>
      <c r="E395" s="28"/>
      <c r="F395" s="28"/>
      <c r="G395" s="20"/>
      <c r="H395" s="10"/>
      <c r="N395" s="123"/>
      <c r="P395" s="123"/>
      <c r="Q395" s="132"/>
      <c r="R395" s="132"/>
      <c r="T395" s="126"/>
    </row>
    <row r="396" ht="15.75" customHeight="1">
      <c r="A396" s="10"/>
      <c r="B396" s="135"/>
      <c r="C396" s="13"/>
      <c r="E396" s="28"/>
      <c r="F396" s="28"/>
      <c r="G396" s="20"/>
      <c r="H396" s="10"/>
      <c r="N396" s="123"/>
      <c r="P396" s="123"/>
      <c r="Q396" s="132"/>
      <c r="R396" s="132"/>
      <c r="T396" s="126"/>
    </row>
    <row r="397" ht="15.75" customHeight="1">
      <c r="A397" s="10"/>
      <c r="B397" s="135"/>
      <c r="C397" s="13"/>
      <c r="E397" s="28"/>
      <c r="F397" s="28"/>
      <c r="G397" s="20"/>
      <c r="H397" s="10"/>
      <c r="N397" s="123"/>
      <c r="P397" s="123"/>
      <c r="Q397" s="132"/>
      <c r="R397" s="132"/>
      <c r="T397" s="126"/>
    </row>
    <row r="398" ht="15.75" customHeight="1">
      <c r="A398" s="10"/>
      <c r="B398" s="135"/>
      <c r="C398" s="13"/>
      <c r="E398" s="28"/>
      <c r="F398" s="28"/>
      <c r="G398" s="20"/>
      <c r="H398" s="10"/>
      <c r="N398" s="123"/>
      <c r="P398" s="123"/>
      <c r="Q398" s="132"/>
      <c r="R398" s="132"/>
      <c r="T398" s="126"/>
    </row>
    <row r="399" ht="15.75" customHeight="1">
      <c r="A399" s="10"/>
      <c r="B399" s="135"/>
      <c r="C399" s="13"/>
      <c r="E399" s="28"/>
      <c r="F399" s="28"/>
      <c r="G399" s="20"/>
      <c r="H399" s="10"/>
      <c r="N399" s="123"/>
      <c r="P399" s="123"/>
      <c r="Q399" s="132"/>
      <c r="R399" s="132"/>
      <c r="T399" s="126"/>
    </row>
    <row r="400" ht="15.75" customHeight="1">
      <c r="A400" s="10"/>
      <c r="B400" s="135"/>
      <c r="C400" s="13"/>
      <c r="E400" s="28"/>
      <c r="F400" s="28"/>
      <c r="G400" s="20"/>
      <c r="H400" s="10"/>
      <c r="N400" s="123"/>
      <c r="P400" s="123"/>
      <c r="Q400" s="132"/>
      <c r="R400" s="132"/>
      <c r="T400" s="126"/>
    </row>
    <row r="401" ht="15.75" customHeight="1">
      <c r="A401" s="10"/>
      <c r="B401" s="135"/>
      <c r="G401" s="10"/>
      <c r="H401" s="10"/>
      <c r="N401" s="123"/>
      <c r="P401" s="123"/>
      <c r="Q401" s="132"/>
      <c r="R401" s="132"/>
      <c r="T401" s="126"/>
    </row>
    <row r="402" ht="15.75" customHeight="1">
      <c r="A402" s="139"/>
      <c r="B402" s="135"/>
      <c r="C402" s="13"/>
      <c r="E402" s="28"/>
      <c r="F402" s="28"/>
      <c r="G402" s="20"/>
      <c r="H402" s="10"/>
      <c r="N402" s="123"/>
      <c r="P402" s="123"/>
      <c r="Q402" s="132"/>
      <c r="R402" s="132"/>
      <c r="T402" s="126"/>
    </row>
    <row r="403" ht="15.75" customHeight="1">
      <c r="A403" s="10"/>
      <c r="B403" s="135"/>
      <c r="C403" s="13"/>
      <c r="E403" s="28"/>
      <c r="F403" s="28"/>
      <c r="G403" s="20"/>
      <c r="H403" s="10"/>
      <c r="N403" s="123"/>
      <c r="P403" s="123"/>
      <c r="Q403" s="132"/>
      <c r="R403" s="132"/>
      <c r="T403" s="126"/>
    </row>
    <row r="404" ht="15.75" customHeight="1">
      <c r="A404" s="10"/>
      <c r="B404" s="135"/>
      <c r="C404" s="13"/>
      <c r="E404" s="28"/>
      <c r="F404" s="28"/>
      <c r="G404" s="10"/>
      <c r="H404" s="10"/>
      <c r="P404" s="123"/>
      <c r="Q404" s="132"/>
      <c r="R404" s="132"/>
      <c r="T404" s="126"/>
    </row>
    <row r="405" ht="15.75" customHeight="1">
      <c r="A405" s="10"/>
      <c r="B405" s="135"/>
      <c r="C405" s="13"/>
      <c r="E405" s="28"/>
      <c r="F405" s="28"/>
      <c r="G405" s="20"/>
      <c r="H405" s="10"/>
      <c r="N405" s="123"/>
      <c r="P405" s="123"/>
      <c r="Q405" s="132"/>
      <c r="R405" s="132"/>
      <c r="T405" s="126"/>
    </row>
    <row r="406" ht="15.75" customHeight="1">
      <c r="A406" s="10"/>
      <c r="B406" s="135"/>
      <c r="C406" s="13"/>
      <c r="E406" s="28"/>
      <c r="F406" s="28"/>
      <c r="G406" s="20"/>
      <c r="H406" s="10"/>
      <c r="N406" s="123"/>
      <c r="P406" s="123"/>
      <c r="Q406" s="132"/>
      <c r="R406" s="132"/>
      <c r="T406" s="126"/>
    </row>
    <row r="407" ht="15.75" customHeight="1">
      <c r="A407" s="10"/>
      <c r="B407" s="135"/>
      <c r="C407" s="13"/>
      <c r="E407" s="28"/>
      <c r="F407" s="28"/>
      <c r="G407" s="10"/>
      <c r="H407" s="10"/>
      <c r="P407" s="123"/>
      <c r="Q407" s="132"/>
      <c r="R407" s="132"/>
      <c r="T407" s="126"/>
    </row>
    <row r="408" ht="15.75" customHeight="1">
      <c r="A408" s="10"/>
      <c r="B408" s="135"/>
      <c r="G408" s="10"/>
      <c r="H408" s="10"/>
      <c r="P408" s="123"/>
      <c r="Q408" s="132"/>
      <c r="R408" s="132"/>
      <c r="T408" s="126"/>
    </row>
    <row r="409" ht="15.75" customHeight="1">
      <c r="A409" s="139"/>
      <c r="B409" s="135"/>
      <c r="C409" s="13"/>
      <c r="E409" s="28"/>
      <c r="F409" s="28"/>
      <c r="G409" s="20"/>
      <c r="H409" s="10"/>
      <c r="N409" s="13"/>
      <c r="P409" s="123"/>
      <c r="Q409" s="132"/>
      <c r="R409" s="132"/>
      <c r="T409" s="126"/>
    </row>
    <row r="410" ht="15.75" customHeight="1">
      <c r="A410" s="10"/>
      <c r="B410" s="135"/>
      <c r="C410" s="13"/>
      <c r="E410" s="28"/>
      <c r="F410" s="28"/>
      <c r="G410" s="20"/>
      <c r="H410" s="10"/>
      <c r="N410" s="13"/>
      <c r="P410" s="123"/>
      <c r="Q410" s="132"/>
      <c r="R410" s="132"/>
      <c r="T410" s="126"/>
    </row>
    <row r="411" ht="15.75" customHeight="1">
      <c r="A411" s="10"/>
      <c r="B411" s="135"/>
      <c r="C411" s="13"/>
      <c r="E411" s="28"/>
      <c r="F411" s="28"/>
      <c r="G411" s="10"/>
      <c r="H411" s="10"/>
      <c r="P411" s="123"/>
      <c r="Q411" s="132"/>
      <c r="R411" s="132"/>
      <c r="T411" s="126"/>
    </row>
    <row r="412" ht="15.75" customHeight="1">
      <c r="A412" s="10"/>
      <c r="B412" s="135"/>
      <c r="C412" s="13"/>
      <c r="E412" s="28"/>
      <c r="F412" s="28"/>
      <c r="G412" s="20"/>
      <c r="H412" s="10"/>
      <c r="N412" s="13"/>
      <c r="P412" s="123"/>
      <c r="Q412" s="132"/>
      <c r="R412" s="132"/>
      <c r="T412" s="126"/>
    </row>
    <row r="413" ht="15.75" customHeight="1">
      <c r="A413" s="10"/>
      <c r="B413" s="135"/>
      <c r="C413" s="13"/>
      <c r="E413" s="28"/>
      <c r="F413" s="28"/>
      <c r="G413" s="20"/>
      <c r="H413" s="10"/>
      <c r="N413" s="13"/>
      <c r="P413" s="123"/>
      <c r="Q413" s="132"/>
      <c r="R413" s="132"/>
      <c r="T413" s="126"/>
    </row>
    <row r="414" ht="15.75" customHeight="1">
      <c r="A414" s="10"/>
      <c r="B414" s="135"/>
      <c r="C414" s="13"/>
      <c r="E414" s="28"/>
      <c r="F414" s="28"/>
      <c r="G414" s="10"/>
      <c r="H414" s="10"/>
      <c r="P414" s="123"/>
      <c r="Q414" s="132"/>
      <c r="R414" s="132"/>
      <c r="T414" s="126"/>
    </row>
    <row r="415" ht="15.75" customHeight="1">
      <c r="A415" s="10"/>
      <c r="B415" s="135"/>
      <c r="G415" s="10"/>
      <c r="H415" s="10"/>
      <c r="P415" s="123"/>
      <c r="Q415" s="132"/>
      <c r="R415" s="132"/>
      <c r="T415" s="126"/>
    </row>
    <row r="416" ht="15.75" customHeight="1">
      <c r="A416" s="139"/>
      <c r="B416" s="135"/>
      <c r="C416" s="13"/>
      <c r="E416" s="28"/>
      <c r="F416" s="28"/>
      <c r="G416" s="10"/>
      <c r="H416" s="10"/>
      <c r="P416" s="123"/>
      <c r="Q416" s="132"/>
      <c r="R416" s="132"/>
      <c r="T416" s="126"/>
    </row>
    <row r="417" ht="15.75" customHeight="1">
      <c r="A417" s="10"/>
      <c r="B417" s="135"/>
      <c r="C417" s="13"/>
      <c r="E417" s="28"/>
      <c r="F417" s="28"/>
      <c r="G417" s="10"/>
      <c r="H417" s="10"/>
      <c r="P417" s="123"/>
      <c r="Q417" s="132"/>
      <c r="R417" s="132"/>
      <c r="T417" s="126"/>
    </row>
    <row r="418" ht="15.75" customHeight="1">
      <c r="A418" s="10"/>
      <c r="B418" s="135"/>
      <c r="C418" s="13"/>
      <c r="E418" s="28"/>
      <c r="F418" s="28"/>
      <c r="G418" s="10"/>
      <c r="H418" s="10"/>
      <c r="P418" s="123"/>
      <c r="Q418" s="132"/>
      <c r="R418" s="132"/>
      <c r="T418" s="126"/>
    </row>
    <row r="419" ht="15.75" customHeight="1">
      <c r="A419" s="10"/>
      <c r="B419" s="135"/>
      <c r="C419" s="13"/>
      <c r="E419" s="28"/>
      <c r="F419" s="28"/>
      <c r="G419" s="10"/>
      <c r="H419" s="10"/>
      <c r="P419" s="123"/>
      <c r="Q419" s="132"/>
      <c r="R419" s="132"/>
      <c r="T419" s="126"/>
    </row>
    <row r="420" ht="15.75" customHeight="1">
      <c r="A420" s="10"/>
      <c r="B420" s="135"/>
      <c r="C420" s="13"/>
      <c r="E420" s="28"/>
      <c r="F420" s="28"/>
      <c r="G420" s="10"/>
      <c r="H420" s="10"/>
      <c r="P420" s="123"/>
      <c r="Q420" s="132"/>
      <c r="R420" s="132"/>
      <c r="T420" s="126"/>
    </row>
    <row r="421" ht="15.75" customHeight="1">
      <c r="A421" s="10"/>
      <c r="B421" s="135"/>
      <c r="C421" s="13"/>
      <c r="E421" s="28"/>
      <c r="F421" s="28"/>
      <c r="G421" s="10"/>
      <c r="H421" s="10"/>
      <c r="P421" s="123"/>
      <c r="Q421" s="132"/>
      <c r="R421" s="132"/>
      <c r="T421" s="126"/>
    </row>
    <row r="422" ht="15.75" customHeight="1">
      <c r="A422" s="10"/>
      <c r="B422" s="135"/>
      <c r="C422" s="13"/>
      <c r="E422" s="28"/>
      <c r="F422" s="28"/>
      <c r="G422" s="10"/>
      <c r="H422" s="10"/>
      <c r="P422" s="123"/>
      <c r="Q422" s="132"/>
      <c r="R422" s="132"/>
      <c r="T422" s="126"/>
    </row>
    <row r="423" ht="15.75" customHeight="1">
      <c r="A423" s="10"/>
      <c r="B423" s="135"/>
      <c r="G423" s="10"/>
      <c r="H423" s="10"/>
      <c r="P423" s="123"/>
      <c r="Q423" s="132"/>
      <c r="R423" s="132"/>
      <c r="T423" s="126"/>
    </row>
    <row r="424" ht="15.75" customHeight="1">
      <c r="A424" s="24"/>
      <c r="B424" s="135"/>
      <c r="C424" s="13"/>
      <c r="E424" s="28"/>
      <c r="F424" s="28"/>
      <c r="G424" s="10"/>
      <c r="H424" s="10"/>
      <c r="P424" s="123"/>
      <c r="Q424" s="132"/>
      <c r="R424" s="132"/>
      <c r="T424" s="126"/>
    </row>
    <row r="425" ht="15.75" customHeight="1">
      <c r="A425" s="10"/>
      <c r="B425" s="135"/>
      <c r="C425" s="13"/>
      <c r="E425" s="28"/>
      <c r="F425" s="28"/>
      <c r="G425" s="10"/>
      <c r="H425" s="10"/>
      <c r="P425" s="123"/>
      <c r="Q425" s="132"/>
      <c r="R425" s="132"/>
      <c r="T425" s="126"/>
    </row>
    <row r="426" ht="15.75" customHeight="1">
      <c r="A426" s="10"/>
      <c r="B426" s="135"/>
      <c r="C426" s="13"/>
      <c r="E426" s="28"/>
      <c r="F426" s="28"/>
      <c r="G426" s="10"/>
      <c r="H426" s="10"/>
      <c r="P426" s="123"/>
      <c r="Q426" s="132"/>
      <c r="R426" s="132"/>
      <c r="T426" s="126"/>
    </row>
    <row r="427" ht="15.75" customHeight="1">
      <c r="A427" s="10"/>
      <c r="B427" s="135"/>
      <c r="C427" s="13"/>
      <c r="E427" s="28"/>
      <c r="F427" s="28"/>
      <c r="G427" s="10"/>
      <c r="H427" s="10"/>
      <c r="P427" s="123"/>
      <c r="Q427" s="132"/>
      <c r="R427" s="132"/>
      <c r="T427" s="126"/>
    </row>
    <row r="428" ht="15.75" customHeight="1">
      <c r="A428" s="10"/>
      <c r="B428" s="135"/>
      <c r="C428" s="13"/>
      <c r="E428" s="28"/>
      <c r="F428" s="28"/>
      <c r="G428" s="10"/>
      <c r="H428" s="10"/>
      <c r="P428" s="123"/>
      <c r="Q428" s="132"/>
      <c r="R428" s="132"/>
      <c r="T428" s="126"/>
    </row>
    <row r="429" ht="15.75" customHeight="1">
      <c r="A429" s="10"/>
      <c r="B429" s="135"/>
      <c r="C429" s="13"/>
      <c r="E429" s="28"/>
      <c r="F429" s="28"/>
      <c r="G429" s="10"/>
      <c r="H429" s="10"/>
      <c r="P429" s="123"/>
      <c r="Q429" s="132"/>
      <c r="R429" s="132"/>
      <c r="T429" s="126"/>
    </row>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38"/>
    <col customWidth="1" min="2" max="2" width="4.88"/>
    <col customWidth="1" min="3" max="3" width="4.75"/>
    <col customWidth="1" min="4" max="4" width="5.38"/>
    <col customWidth="1" min="5" max="5" width="5.63"/>
    <col customWidth="1" min="6" max="6" width="6.38"/>
    <col customWidth="1" min="7" max="7" width="26.88"/>
    <col customWidth="1" min="8" max="8" width="50.25"/>
    <col customWidth="1" min="9" max="9" width="5.25"/>
    <col customWidth="1" min="10" max="10" width="4.0"/>
    <col customWidth="1" min="11" max="11" width="2.88"/>
    <col customWidth="1" min="12" max="12" width="4.88"/>
    <col customWidth="1" min="13" max="13" width="5.38"/>
    <col customWidth="1" min="14" max="14" width="4.63"/>
    <col customWidth="1" min="15" max="15" width="4.13"/>
    <col customWidth="1" min="16" max="16" width="5.75"/>
    <col customWidth="1" min="17" max="17" width="9.25"/>
    <col customWidth="1" min="19" max="19" width="24.5"/>
  </cols>
  <sheetData>
    <row r="1" ht="15.75" customHeight="1">
      <c r="A1" s="20" t="s">
        <v>3005</v>
      </c>
      <c r="B1" s="122" t="s">
        <v>2656</v>
      </c>
      <c r="C1" s="123" t="s">
        <v>2657</v>
      </c>
      <c r="D1" s="123" t="s">
        <v>2658</v>
      </c>
      <c r="E1" s="123" t="s">
        <v>35</v>
      </c>
      <c r="F1" s="123" t="s">
        <v>36</v>
      </c>
      <c r="G1" s="20" t="s">
        <v>37</v>
      </c>
      <c r="H1" s="20" t="s">
        <v>38</v>
      </c>
      <c r="I1" s="20" t="s">
        <v>39</v>
      </c>
      <c r="J1" s="123" t="s">
        <v>40</v>
      </c>
      <c r="K1" s="20" t="s">
        <v>41</v>
      </c>
      <c r="L1" s="123" t="s">
        <v>42</v>
      </c>
      <c r="M1" s="123" t="s">
        <v>43</v>
      </c>
      <c r="N1" s="123" t="s">
        <v>44</v>
      </c>
      <c r="O1" s="123" t="s">
        <v>45</v>
      </c>
      <c r="P1" s="123" t="s">
        <v>46</v>
      </c>
      <c r="Q1" s="124" t="s">
        <v>47</v>
      </c>
      <c r="R1" s="125" t="s">
        <v>48</v>
      </c>
    </row>
    <row r="2" ht="15.75" customHeight="1">
      <c r="A2" s="127">
        <v>45513.0</v>
      </c>
      <c r="B2" s="122" t="s">
        <v>3006</v>
      </c>
      <c r="C2" s="128">
        <v>1.0</v>
      </c>
      <c r="D2" s="128">
        <v>1.0</v>
      </c>
      <c r="E2" s="129">
        <v>0.4777777777777778</v>
      </c>
      <c r="F2" s="129">
        <v>0.5034722222222222</v>
      </c>
      <c r="G2" s="130" t="s">
        <v>2661</v>
      </c>
      <c r="H2" s="20" t="s">
        <v>3007</v>
      </c>
      <c r="I2" s="128">
        <v>13.0</v>
      </c>
      <c r="J2" s="128">
        <v>2.0</v>
      </c>
      <c r="K2" s="128">
        <v>3.0</v>
      </c>
      <c r="L2" s="128">
        <v>7.0</v>
      </c>
      <c r="M2" s="128">
        <v>6.0</v>
      </c>
      <c r="N2" s="131"/>
      <c r="O2" s="128">
        <v>1.0</v>
      </c>
      <c r="P2" s="131"/>
      <c r="Q2" s="125"/>
      <c r="R2" s="124"/>
    </row>
    <row r="3" ht="15.75" customHeight="1">
      <c r="A3" s="127"/>
      <c r="B3" s="122" t="s">
        <v>3008</v>
      </c>
      <c r="C3" s="128">
        <v>1.0</v>
      </c>
      <c r="D3" s="128">
        <v>1.0</v>
      </c>
      <c r="E3" s="129">
        <v>0.5055555555555555</v>
      </c>
      <c r="F3" s="129">
        <v>0.5277777777777778</v>
      </c>
      <c r="G3" s="130" t="s">
        <v>2664</v>
      </c>
      <c r="H3" s="20"/>
      <c r="I3" s="128">
        <v>21.0</v>
      </c>
      <c r="J3" s="128">
        <v>5.0</v>
      </c>
      <c r="K3" s="128">
        <v>1.0</v>
      </c>
      <c r="L3" s="128">
        <v>8.0</v>
      </c>
      <c r="M3" s="128">
        <v>22.0</v>
      </c>
      <c r="N3" s="131"/>
      <c r="O3" s="128">
        <v>2.0</v>
      </c>
      <c r="P3" s="131"/>
      <c r="Q3" s="125"/>
      <c r="R3" s="124"/>
    </row>
    <row r="4" ht="15.75" customHeight="1">
      <c r="A4" s="127"/>
      <c r="B4" s="122" t="s">
        <v>3009</v>
      </c>
      <c r="C4" s="128">
        <v>1.0</v>
      </c>
      <c r="D4" s="128">
        <v>1.0</v>
      </c>
      <c r="E4" s="129">
        <v>0.5326388888888889</v>
      </c>
      <c r="F4" s="129">
        <v>0.06041666666666667</v>
      </c>
      <c r="G4" s="130" t="s">
        <v>2661</v>
      </c>
      <c r="H4" s="20"/>
      <c r="I4" s="128">
        <v>19.0</v>
      </c>
      <c r="J4" s="128">
        <v>8.0</v>
      </c>
      <c r="K4" s="128">
        <v>3.0</v>
      </c>
      <c r="L4" s="128">
        <v>3.0</v>
      </c>
      <c r="M4" s="128">
        <v>12.0</v>
      </c>
      <c r="N4" s="131"/>
      <c r="O4" s="128">
        <v>4.0</v>
      </c>
      <c r="P4" s="131"/>
      <c r="Q4" s="125"/>
      <c r="R4" s="124"/>
    </row>
    <row r="5" ht="15.75" customHeight="1">
      <c r="A5" s="127"/>
      <c r="B5" s="122" t="s">
        <v>3010</v>
      </c>
      <c r="C5" s="128">
        <v>1.0</v>
      </c>
      <c r="D5" s="128">
        <v>1.0</v>
      </c>
      <c r="E5" s="129">
        <v>0.06388888888888888</v>
      </c>
      <c r="F5" s="129">
        <v>0.08680555555555555</v>
      </c>
      <c r="G5" s="130" t="s">
        <v>2664</v>
      </c>
      <c r="H5" s="20"/>
      <c r="I5" s="128">
        <v>7.0</v>
      </c>
      <c r="J5" s="128">
        <v>2.0</v>
      </c>
      <c r="K5" s="128">
        <v>1.0</v>
      </c>
      <c r="L5" s="128">
        <v>2.0</v>
      </c>
      <c r="M5" s="128">
        <v>5.0</v>
      </c>
      <c r="N5" s="131"/>
      <c r="O5" s="128">
        <v>3.0</v>
      </c>
      <c r="P5" s="131"/>
      <c r="Q5" s="125"/>
      <c r="R5" s="124"/>
    </row>
    <row r="6" ht="26.25" customHeight="1">
      <c r="A6" s="127"/>
      <c r="B6" s="122" t="s">
        <v>3006</v>
      </c>
      <c r="C6" s="128">
        <v>2.0</v>
      </c>
      <c r="D6" s="128">
        <v>2.0</v>
      </c>
      <c r="E6" s="129">
        <v>0.09027777777777778</v>
      </c>
      <c r="F6" s="129">
        <v>0.1111111111111111</v>
      </c>
      <c r="G6" s="130" t="s">
        <v>2664</v>
      </c>
      <c r="H6" s="20"/>
      <c r="I6" s="128">
        <v>26.0</v>
      </c>
      <c r="J6" s="128">
        <v>10.0</v>
      </c>
      <c r="K6" s="128">
        <v>5.0</v>
      </c>
      <c r="L6" s="128">
        <v>8.0</v>
      </c>
      <c r="M6" s="128">
        <v>16.0</v>
      </c>
      <c r="N6" s="131"/>
      <c r="O6" s="128">
        <v>3.0</v>
      </c>
      <c r="P6" s="131"/>
      <c r="Q6" s="125"/>
      <c r="R6" s="124"/>
    </row>
    <row r="7" ht="26.25" customHeight="1">
      <c r="A7" s="127"/>
      <c r="B7" s="122" t="s">
        <v>3008</v>
      </c>
      <c r="C7" s="128">
        <v>2.0</v>
      </c>
      <c r="D7" s="128">
        <v>2.0</v>
      </c>
      <c r="E7" s="129">
        <v>0.11319444444444444</v>
      </c>
      <c r="F7" s="129">
        <v>0.1388888888888889</v>
      </c>
      <c r="G7" s="130" t="s">
        <v>2664</v>
      </c>
      <c r="H7" s="20"/>
      <c r="I7" s="128">
        <v>41.0</v>
      </c>
      <c r="J7" s="128">
        <v>9.0</v>
      </c>
      <c r="K7" s="128">
        <v>12.0</v>
      </c>
      <c r="L7" s="128">
        <v>15.0</v>
      </c>
      <c r="M7" s="128">
        <v>30.0</v>
      </c>
      <c r="N7" s="131"/>
      <c r="O7" s="128">
        <v>4.0</v>
      </c>
      <c r="P7" s="131"/>
      <c r="Q7" s="125"/>
      <c r="R7" s="124"/>
    </row>
    <row r="8" ht="26.25" customHeight="1">
      <c r="A8" s="127"/>
      <c r="B8" s="122" t="s">
        <v>3009</v>
      </c>
      <c r="C8" s="128">
        <v>2.0</v>
      </c>
      <c r="D8" s="128">
        <v>2.0</v>
      </c>
      <c r="E8" s="129">
        <v>0.14097222222222222</v>
      </c>
      <c r="F8" s="129">
        <v>0.1638888888888889</v>
      </c>
      <c r="G8" s="130" t="s">
        <v>2664</v>
      </c>
      <c r="H8" s="20"/>
      <c r="I8" s="128">
        <v>13.0</v>
      </c>
      <c r="J8" s="128">
        <v>4.0</v>
      </c>
      <c r="K8" s="128">
        <v>6.0</v>
      </c>
      <c r="L8" s="128">
        <v>1.0</v>
      </c>
      <c r="M8" s="128">
        <v>8.0</v>
      </c>
      <c r="N8" s="131"/>
      <c r="O8" s="128">
        <v>4.0</v>
      </c>
      <c r="P8" s="131"/>
      <c r="Q8" s="125"/>
      <c r="R8" s="124"/>
    </row>
    <row r="9" ht="26.25" customHeight="1">
      <c r="A9" s="127"/>
      <c r="B9" s="122" t="s">
        <v>3010</v>
      </c>
      <c r="C9" s="128">
        <v>2.0</v>
      </c>
      <c r="D9" s="128">
        <v>2.0</v>
      </c>
      <c r="E9" s="129">
        <v>0.16666666666666666</v>
      </c>
      <c r="F9" s="129">
        <v>0.19791666666666666</v>
      </c>
      <c r="G9" s="130" t="s">
        <v>2664</v>
      </c>
      <c r="H9" s="20"/>
      <c r="I9" s="128">
        <v>17.0</v>
      </c>
      <c r="J9" s="128">
        <v>4.0</v>
      </c>
      <c r="K9" s="128">
        <v>6.0</v>
      </c>
      <c r="L9" s="128">
        <v>4.0</v>
      </c>
      <c r="M9" s="128">
        <v>11.0</v>
      </c>
      <c r="N9" s="131"/>
      <c r="O9" s="128">
        <v>1.0</v>
      </c>
      <c r="P9" s="131"/>
      <c r="Q9" s="125"/>
      <c r="R9" s="124"/>
    </row>
    <row r="10" ht="15.75" customHeight="1">
      <c r="A10" s="127"/>
      <c r="B10" s="122"/>
      <c r="C10" s="128"/>
      <c r="D10" s="128"/>
      <c r="E10" s="129"/>
      <c r="F10" s="129"/>
      <c r="G10" s="20"/>
      <c r="H10" s="20"/>
      <c r="I10" s="128"/>
      <c r="J10" s="128"/>
      <c r="K10" s="128"/>
      <c r="L10" s="128"/>
      <c r="M10" s="128"/>
      <c r="N10" s="131"/>
      <c r="O10" s="128"/>
      <c r="P10" s="131"/>
      <c r="Q10" s="125"/>
      <c r="R10" s="124"/>
    </row>
    <row r="11" ht="15.75" customHeight="1">
      <c r="A11" s="127">
        <v>45516.0</v>
      </c>
      <c r="B11" s="122" t="s">
        <v>3006</v>
      </c>
      <c r="C11" s="128">
        <v>3.0</v>
      </c>
      <c r="D11" s="128">
        <v>1.0</v>
      </c>
      <c r="E11" s="129">
        <v>0.3958333333333333</v>
      </c>
      <c r="F11" s="129">
        <v>0.3854166666666667</v>
      </c>
      <c r="G11" s="130" t="s">
        <v>2664</v>
      </c>
      <c r="H11" s="20"/>
      <c r="I11" s="128">
        <v>65.0</v>
      </c>
      <c r="J11" s="128">
        <v>17.0</v>
      </c>
      <c r="K11" s="128">
        <v>20.0</v>
      </c>
      <c r="L11" s="128">
        <v>23.0</v>
      </c>
      <c r="M11" s="128">
        <v>48.0</v>
      </c>
      <c r="N11" s="131"/>
      <c r="O11" s="128">
        <v>8.0</v>
      </c>
      <c r="P11" s="131"/>
      <c r="Q11" s="125"/>
      <c r="R11" s="124"/>
    </row>
    <row r="12" ht="15.75" customHeight="1">
      <c r="A12" s="127"/>
      <c r="B12" s="122" t="s">
        <v>3008</v>
      </c>
      <c r="C12" s="128">
        <v>3.0</v>
      </c>
      <c r="D12" s="128">
        <v>1.0</v>
      </c>
      <c r="E12" s="129">
        <v>0.4305555555555556</v>
      </c>
      <c r="F12" s="129">
        <v>0.46041666666666664</v>
      </c>
      <c r="G12" s="130" t="s">
        <v>2664</v>
      </c>
      <c r="H12" s="20"/>
      <c r="I12" s="128">
        <v>54.0</v>
      </c>
      <c r="J12" s="128">
        <v>15.0</v>
      </c>
      <c r="K12" s="128">
        <v>12.0</v>
      </c>
      <c r="L12" s="128">
        <v>24.0</v>
      </c>
      <c r="M12" s="128">
        <v>37.0</v>
      </c>
      <c r="N12" s="131"/>
      <c r="O12" s="128">
        <v>2.0</v>
      </c>
      <c r="P12" s="131"/>
      <c r="Q12" s="125"/>
      <c r="R12" s="124"/>
    </row>
    <row r="13" ht="15.75" customHeight="1">
      <c r="A13" s="127"/>
      <c r="B13" s="122" t="s">
        <v>3009</v>
      </c>
      <c r="C13" s="128">
        <v>3.0</v>
      </c>
      <c r="D13" s="128">
        <v>1.0</v>
      </c>
      <c r="E13" s="129">
        <v>0.4722222222222222</v>
      </c>
      <c r="F13" s="129">
        <v>0.5</v>
      </c>
      <c r="G13" s="130" t="s">
        <v>2664</v>
      </c>
      <c r="H13" s="20"/>
      <c r="I13" s="128">
        <v>27.0</v>
      </c>
      <c r="J13" s="128">
        <v>12.0</v>
      </c>
      <c r="K13" s="128">
        <v>3.0</v>
      </c>
      <c r="L13" s="128">
        <v>8.0</v>
      </c>
      <c r="M13" s="128">
        <v>14.0</v>
      </c>
      <c r="N13" s="131"/>
      <c r="O13" s="128">
        <v>8.0</v>
      </c>
      <c r="P13" s="131"/>
      <c r="Q13" s="125"/>
      <c r="R13" s="124"/>
    </row>
    <row r="14" ht="15.75" customHeight="1">
      <c r="A14" s="127"/>
      <c r="B14" s="122" t="s">
        <v>3010</v>
      </c>
      <c r="C14" s="128">
        <v>3.0</v>
      </c>
      <c r="D14" s="128">
        <v>1.0</v>
      </c>
      <c r="E14" s="129">
        <v>0.5034722222222222</v>
      </c>
      <c r="F14" s="129">
        <v>0.5347222222222222</v>
      </c>
      <c r="G14" s="130" t="s">
        <v>2664</v>
      </c>
      <c r="H14" s="20"/>
      <c r="I14" s="128">
        <v>9.0</v>
      </c>
      <c r="J14" s="128">
        <v>0.0</v>
      </c>
      <c r="K14" s="128">
        <v>3.0</v>
      </c>
      <c r="L14" s="128">
        <v>2.0</v>
      </c>
      <c r="M14" s="128">
        <v>6.0</v>
      </c>
      <c r="N14" s="131"/>
      <c r="O14" s="128">
        <v>0.0</v>
      </c>
      <c r="P14" s="131"/>
      <c r="Q14" s="125"/>
      <c r="R14" s="124"/>
    </row>
    <row r="15" ht="15.75" customHeight="1">
      <c r="A15" s="127"/>
      <c r="B15" s="122" t="s">
        <v>3006</v>
      </c>
      <c r="C15" s="128">
        <v>3.0</v>
      </c>
      <c r="D15" s="128">
        <v>1.0</v>
      </c>
      <c r="E15" s="129">
        <v>0.05138888888888889</v>
      </c>
      <c r="F15" s="129">
        <v>0.08333333333333333</v>
      </c>
      <c r="G15" s="130" t="s">
        <v>3011</v>
      </c>
      <c r="H15" s="20"/>
      <c r="I15" s="128">
        <v>81.0</v>
      </c>
      <c r="J15" s="128">
        <v>24.0</v>
      </c>
      <c r="K15" s="128">
        <v>11.0</v>
      </c>
      <c r="L15" s="128">
        <v>45.0</v>
      </c>
      <c r="M15" s="128">
        <v>40.0</v>
      </c>
      <c r="N15" s="131"/>
      <c r="O15" s="128">
        <v>2.0</v>
      </c>
      <c r="P15" s="131"/>
      <c r="Q15" s="125"/>
      <c r="R15" s="124"/>
    </row>
    <row r="16" ht="15.75" customHeight="1">
      <c r="A16" s="127"/>
      <c r="B16" s="122" t="s">
        <v>3008</v>
      </c>
      <c r="C16" s="128">
        <v>3.0</v>
      </c>
      <c r="D16" s="128">
        <v>1.0</v>
      </c>
      <c r="E16" s="129">
        <v>0.08888888888888889</v>
      </c>
      <c r="F16" s="129">
        <v>0.12013888888888889</v>
      </c>
      <c r="G16" s="130" t="s">
        <v>3012</v>
      </c>
      <c r="H16" s="20"/>
      <c r="I16" s="128">
        <v>74.0</v>
      </c>
      <c r="J16" s="128">
        <v>31.0</v>
      </c>
      <c r="K16" s="128">
        <v>17.0</v>
      </c>
      <c r="L16" s="128">
        <v>26.0</v>
      </c>
      <c r="M16" s="128">
        <v>55.0</v>
      </c>
      <c r="N16" s="131"/>
      <c r="O16" s="128">
        <v>7.0</v>
      </c>
      <c r="P16" s="131"/>
      <c r="Q16" s="125"/>
      <c r="R16" s="124"/>
    </row>
    <row r="17" ht="15.75" customHeight="1">
      <c r="A17" s="127"/>
      <c r="B17" s="122" t="s">
        <v>3009</v>
      </c>
      <c r="C17" s="128">
        <v>3.0</v>
      </c>
      <c r="D17" s="128">
        <v>1.0</v>
      </c>
      <c r="E17" s="129">
        <v>0.12430555555555556</v>
      </c>
      <c r="F17" s="129">
        <v>0.15347222222222223</v>
      </c>
      <c r="G17" s="130" t="s">
        <v>3013</v>
      </c>
      <c r="H17" s="20"/>
      <c r="I17" s="128">
        <v>35.0</v>
      </c>
      <c r="J17" s="128">
        <v>15.0</v>
      </c>
      <c r="K17" s="128">
        <v>10.0</v>
      </c>
      <c r="L17" s="128">
        <v>9.0</v>
      </c>
      <c r="M17" s="128">
        <v>23.0</v>
      </c>
      <c r="N17" s="131"/>
      <c r="O17" s="128">
        <v>8.0</v>
      </c>
      <c r="P17" s="131"/>
      <c r="Q17" s="125"/>
      <c r="R17" s="124"/>
    </row>
    <row r="18" ht="15.75" customHeight="1">
      <c r="A18" s="127"/>
      <c r="B18" s="122" t="s">
        <v>3010</v>
      </c>
      <c r="C18" s="128">
        <v>3.0</v>
      </c>
      <c r="D18" s="128">
        <v>1.0</v>
      </c>
      <c r="E18" s="129">
        <v>0.15902777777777777</v>
      </c>
      <c r="F18" s="129">
        <v>0.19027777777777777</v>
      </c>
      <c r="G18" s="130" t="s">
        <v>2664</v>
      </c>
      <c r="H18" s="20"/>
      <c r="I18" s="128">
        <v>14.0</v>
      </c>
      <c r="J18" s="128">
        <v>3.0</v>
      </c>
      <c r="K18" s="128">
        <v>3.0</v>
      </c>
      <c r="L18" s="128">
        <v>7.0</v>
      </c>
      <c r="M18" s="128">
        <v>7.0</v>
      </c>
      <c r="N18" s="131"/>
      <c r="O18" s="128">
        <v>0.0</v>
      </c>
      <c r="P18" s="131"/>
      <c r="Q18" s="125"/>
      <c r="R18" s="124"/>
    </row>
    <row r="19" ht="15.75" customHeight="1">
      <c r="A19" s="127"/>
      <c r="B19" s="122"/>
      <c r="C19" s="128"/>
      <c r="D19" s="128"/>
      <c r="E19" s="129"/>
      <c r="F19" s="129"/>
      <c r="G19" s="130"/>
      <c r="H19" s="20"/>
      <c r="I19" s="128"/>
      <c r="J19" s="128"/>
      <c r="K19" s="128"/>
      <c r="L19" s="128"/>
      <c r="M19" s="128"/>
      <c r="N19" s="131"/>
      <c r="O19" s="128"/>
      <c r="P19" s="131"/>
      <c r="Q19" s="125"/>
      <c r="R19" s="124"/>
    </row>
    <row r="20" ht="15.75" customHeight="1">
      <c r="A20" s="127">
        <v>45517.0</v>
      </c>
      <c r="B20" s="122" t="s">
        <v>3006</v>
      </c>
      <c r="C20" s="128">
        <v>4.0</v>
      </c>
      <c r="D20" s="128">
        <v>1.0</v>
      </c>
      <c r="E20" s="129">
        <v>0.43125</v>
      </c>
      <c r="F20" s="129">
        <v>0.46111111111111114</v>
      </c>
      <c r="G20" s="130" t="s">
        <v>3014</v>
      </c>
      <c r="H20" s="20"/>
      <c r="I20" s="128">
        <v>84.0</v>
      </c>
      <c r="J20" s="128">
        <v>32.0</v>
      </c>
      <c r="K20" s="128">
        <v>21.0</v>
      </c>
      <c r="L20" s="128">
        <v>30.0</v>
      </c>
      <c r="M20" s="128">
        <v>56.0</v>
      </c>
      <c r="N20" s="131"/>
      <c r="O20" s="128">
        <v>3.0</v>
      </c>
      <c r="P20" s="131"/>
      <c r="Q20" s="125"/>
      <c r="R20" s="124"/>
    </row>
    <row r="21" ht="15.75" customHeight="1">
      <c r="A21" s="127"/>
      <c r="B21" s="122" t="s">
        <v>3008</v>
      </c>
      <c r="C21" s="128">
        <v>4.0</v>
      </c>
      <c r="D21" s="128">
        <v>1.0</v>
      </c>
      <c r="E21" s="129">
        <v>0.4652777777777778</v>
      </c>
      <c r="F21" s="129">
        <v>0.4951388888888889</v>
      </c>
      <c r="G21" s="130" t="s">
        <v>3015</v>
      </c>
      <c r="H21" s="20" t="s">
        <v>3016</v>
      </c>
      <c r="I21" s="128">
        <v>75.0</v>
      </c>
      <c r="J21" s="128">
        <v>40.0</v>
      </c>
      <c r="K21" s="128">
        <v>11.0</v>
      </c>
      <c r="L21" s="128">
        <v>24.0</v>
      </c>
      <c r="M21" s="128">
        <v>26.0</v>
      </c>
      <c r="N21" s="131"/>
      <c r="O21" s="128">
        <v>30.0</v>
      </c>
      <c r="P21" s="131"/>
      <c r="Q21" s="125"/>
      <c r="R21" s="124"/>
    </row>
    <row r="22" ht="15.75" customHeight="1">
      <c r="A22" s="127"/>
      <c r="B22" s="122" t="s">
        <v>3009</v>
      </c>
      <c r="C22" s="128">
        <v>4.0</v>
      </c>
      <c r="D22" s="128">
        <v>1.0</v>
      </c>
      <c r="E22" s="129">
        <v>0.5</v>
      </c>
      <c r="F22" s="129">
        <v>0.5263888888888889</v>
      </c>
      <c r="G22" s="130" t="s">
        <v>3017</v>
      </c>
      <c r="I22" s="128">
        <v>43.0</v>
      </c>
      <c r="J22" s="128">
        <v>20.0</v>
      </c>
      <c r="K22" s="128">
        <v>16.0</v>
      </c>
      <c r="L22" s="128">
        <v>7.0</v>
      </c>
      <c r="M22" s="128">
        <v>19.0</v>
      </c>
      <c r="N22" s="131"/>
      <c r="O22" s="128">
        <v>25.0</v>
      </c>
      <c r="P22" s="131"/>
      <c r="Q22" s="125"/>
      <c r="R22" s="124"/>
    </row>
    <row r="23" ht="15.75" customHeight="1">
      <c r="A23" s="127"/>
      <c r="B23" s="122" t="s">
        <v>3010</v>
      </c>
      <c r="C23" s="128">
        <v>4.0</v>
      </c>
      <c r="D23" s="128">
        <v>1.0</v>
      </c>
      <c r="E23" s="129">
        <v>0.53125</v>
      </c>
      <c r="F23" s="129">
        <v>0.05694444444444444</v>
      </c>
      <c r="G23" s="130" t="s">
        <v>2664</v>
      </c>
      <c r="H23" s="20"/>
      <c r="I23" s="128">
        <v>7.0</v>
      </c>
      <c r="J23" s="128">
        <v>1.0</v>
      </c>
      <c r="K23" s="128">
        <v>1.0</v>
      </c>
      <c r="L23" s="128">
        <v>4.0</v>
      </c>
      <c r="M23" s="128">
        <v>1.0</v>
      </c>
      <c r="N23" s="131"/>
      <c r="O23" s="128">
        <v>1.0</v>
      </c>
      <c r="P23" s="131"/>
      <c r="Q23" s="125"/>
      <c r="R23" s="124"/>
    </row>
    <row r="24" ht="28.5" customHeight="1">
      <c r="A24" s="127"/>
      <c r="B24" s="122" t="s">
        <v>3006</v>
      </c>
      <c r="C24" s="128">
        <v>5.0</v>
      </c>
      <c r="D24" s="128">
        <v>2.0</v>
      </c>
      <c r="E24" s="129">
        <v>0.0625</v>
      </c>
      <c r="F24" s="129">
        <v>0.09097222222222222</v>
      </c>
      <c r="G24" s="130" t="s">
        <v>3018</v>
      </c>
      <c r="H24" s="20" t="s">
        <v>3019</v>
      </c>
      <c r="I24" s="128">
        <v>51.0</v>
      </c>
      <c r="J24" s="128">
        <v>19.0</v>
      </c>
      <c r="K24" s="128">
        <v>18.0</v>
      </c>
      <c r="L24" s="128">
        <v>12.0</v>
      </c>
      <c r="M24" s="128">
        <v>26.0</v>
      </c>
      <c r="N24" s="131"/>
      <c r="O24" s="128">
        <v>16.0</v>
      </c>
      <c r="P24" s="131"/>
      <c r="Q24" s="125"/>
      <c r="R24" s="124"/>
    </row>
    <row r="25" ht="28.5" customHeight="1">
      <c r="A25" s="127"/>
      <c r="B25" s="122" t="s">
        <v>3008</v>
      </c>
      <c r="C25" s="128">
        <v>5.0</v>
      </c>
      <c r="D25" s="128">
        <v>2.0</v>
      </c>
      <c r="E25" s="129">
        <v>0.10625</v>
      </c>
      <c r="F25" s="129">
        <v>0.13402777777777777</v>
      </c>
      <c r="G25" s="130" t="s">
        <v>3020</v>
      </c>
      <c r="H25" s="20" t="s">
        <v>3021</v>
      </c>
      <c r="I25" s="128">
        <v>87.0</v>
      </c>
      <c r="J25" s="128">
        <v>32.0</v>
      </c>
      <c r="K25" s="128">
        <v>35.0</v>
      </c>
      <c r="L25" s="128">
        <v>18.0</v>
      </c>
      <c r="M25" s="128">
        <v>20.0</v>
      </c>
      <c r="N25" s="131"/>
      <c r="O25" s="128">
        <v>50.0</v>
      </c>
      <c r="P25" s="131"/>
      <c r="Q25" s="125"/>
      <c r="R25" s="124"/>
    </row>
    <row r="26" ht="28.5" customHeight="1">
      <c r="A26" s="127"/>
      <c r="B26" s="122" t="s">
        <v>3009</v>
      </c>
      <c r="C26" s="128">
        <v>5.0</v>
      </c>
      <c r="D26" s="128">
        <v>2.0</v>
      </c>
      <c r="E26" s="129">
        <v>0.1375</v>
      </c>
      <c r="F26" s="129">
        <v>0.16527777777777777</v>
      </c>
      <c r="G26" s="130" t="s">
        <v>3022</v>
      </c>
      <c r="H26" s="20"/>
      <c r="I26" s="128">
        <v>42.0</v>
      </c>
      <c r="J26" s="128">
        <v>16.0</v>
      </c>
      <c r="K26" s="128">
        <v>23.0</v>
      </c>
      <c r="L26" s="128">
        <v>2.0</v>
      </c>
      <c r="M26" s="128">
        <v>13.0</v>
      </c>
      <c r="N26" s="131"/>
      <c r="O26" s="128">
        <v>32.0</v>
      </c>
      <c r="P26" s="131"/>
      <c r="Q26" s="125"/>
      <c r="R26" s="124"/>
    </row>
    <row r="27" ht="28.5" customHeight="1">
      <c r="A27" s="127"/>
      <c r="B27" s="122" t="s">
        <v>3010</v>
      </c>
      <c r="C27" s="128">
        <v>5.0</v>
      </c>
      <c r="D27" s="128">
        <v>2.0</v>
      </c>
      <c r="E27" s="129">
        <v>0.16666666666666666</v>
      </c>
      <c r="F27" s="129">
        <v>0.19444444444444445</v>
      </c>
      <c r="G27" s="130" t="s">
        <v>2664</v>
      </c>
      <c r="H27" s="20" t="s">
        <v>3023</v>
      </c>
      <c r="I27" s="128">
        <v>7.0</v>
      </c>
      <c r="J27" s="128">
        <v>3.0</v>
      </c>
      <c r="K27" s="128">
        <v>1.0</v>
      </c>
      <c r="L27" s="128">
        <v>2.0</v>
      </c>
      <c r="M27" s="128">
        <v>2.0</v>
      </c>
      <c r="N27" s="131"/>
      <c r="O27" s="128">
        <v>2.0</v>
      </c>
      <c r="P27" s="131"/>
      <c r="Q27" s="125"/>
      <c r="R27" s="124"/>
    </row>
    <row r="28" ht="15.75" customHeight="1">
      <c r="A28" s="127"/>
      <c r="B28" s="122"/>
      <c r="C28" s="128"/>
      <c r="D28" s="128"/>
      <c r="E28" s="129"/>
      <c r="F28" s="129"/>
      <c r="G28" s="130"/>
      <c r="H28" s="20"/>
      <c r="I28" s="128"/>
      <c r="J28" s="128"/>
      <c r="K28" s="128"/>
      <c r="L28" s="128"/>
      <c r="M28" s="128"/>
      <c r="N28" s="131"/>
      <c r="O28" s="128"/>
      <c r="P28" s="131"/>
      <c r="Q28" s="125"/>
      <c r="R28" s="124"/>
    </row>
    <row r="29" ht="15.75" customHeight="1">
      <c r="A29" s="127">
        <v>45518.0</v>
      </c>
      <c r="B29" s="122" t="s">
        <v>3006</v>
      </c>
      <c r="C29" s="128">
        <v>6.0</v>
      </c>
      <c r="D29" s="128">
        <v>1.0</v>
      </c>
      <c r="E29" s="129">
        <v>0.39444444444444443</v>
      </c>
      <c r="F29" s="129">
        <v>0.4236111111111111</v>
      </c>
      <c r="G29" s="130" t="s">
        <v>3024</v>
      </c>
      <c r="H29" s="20"/>
      <c r="I29" s="13">
        <v>83.0</v>
      </c>
      <c r="J29" s="128">
        <v>41.0</v>
      </c>
      <c r="K29" s="128">
        <v>34.0</v>
      </c>
      <c r="L29" s="128">
        <v>6.0</v>
      </c>
      <c r="M29" s="128">
        <v>14.0</v>
      </c>
      <c r="N29" s="131"/>
      <c r="O29" s="128">
        <v>67.0</v>
      </c>
      <c r="P29" s="131"/>
      <c r="Q29" s="125"/>
      <c r="R29" s="124"/>
    </row>
    <row r="30" ht="15.75" customHeight="1">
      <c r="A30" s="127"/>
      <c r="B30" s="122" t="s">
        <v>3008</v>
      </c>
      <c r="C30" s="128">
        <v>6.0</v>
      </c>
      <c r="D30" s="128">
        <v>1.0</v>
      </c>
      <c r="E30" s="129">
        <v>0.4375</v>
      </c>
      <c r="F30" s="129">
        <v>0.4652777777777778</v>
      </c>
      <c r="G30" s="130" t="s">
        <v>3025</v>
      </c>
      <c r="H30" s="20"/>
      <c r="I30" s="128">
        <v>84.0</v>
      </c>
      <c r="J30" s="128">
        <v>39.0</v>
      </c>
      <c r="K30" s="128">
        <v>33.0</v>
      </c>
      <c r="L30" s="128">
        <v>10.0</v>
      </c>
      <c r="M30" s="128">
        <v>22.0</v>
      </c>
      <c r="N30" s="131"/>
      <c r="O30" s="128">
        <v>56.0</v>
      </c>
      <c r="P30" s="131"/>
      <c r="Q30" s="125"/>
      <c r="R30" s="124"/>
    </row>
    <row r="31" ht="15.75" customHeight="1">
      <c r="A31" s="127"/>
      <c r="B31" s="122" t="s">
        <v>3009</v>
      </c>
      <c r="C31" s="128">
        <v>6.0</v>
      </c>
      <c r="D31" s="128">
        <v>1.0</v>
      </c>
      <c r="E31" s="129">
        <v>0.46944444444444444</v>
      </c>
      <c r="F31" s="129">
        <v>0.5</v>
      </c>
      <c r="G31" s="130" t="s">
        <v>3026</v>
      </c>
      <c r="H31" s="20"/>
      <c r="I31" s="128">
        <v>44.0</v>
      </c>
      <c r="J31" s="128">
        <v>19.0</v>
      </c>
      <c r="K31" s="128">
        <v>25.0</v>
      </c>
      <c r="L31" s="128">
        <v>0.0</v>
      </c>
      <c r="M31" s="128">
        <v>9.0</v>
      </c>
      <c r="N31" s="131"/>
      <c r="O31" s="128">
        <v>39.0</v>
      </c>
      <c r="P31" s="131"/>
      <c r="Q31" s="125"/>
      <c r="R31" s="124"/>
    </row>
    <row r="32" ht="15.75" customHeight="1">
      <c r="A32" s="127"/>
      <c r="B32" s="122" t="s">
        <v>3010</v>
      </c>
      <c r="C32" s="128">
        <v>6.0</v>
      </c>
      <c r="D32" s="128" t="s">
        <v>2660</v>
      </c>
      <c r="E32" s="129">
        <v>0.5055555555555555</v>
      </c>
      <c r="F32" s="129">
        <v>0.5347222222222222</v>
      </c>
      <c r="G32" s="130" t="s">
        <v>2664</v>
      </c>
      <c r="H32" s="20"/>
      <c r="I32" s="128">
        <v>5.0</v>
      </c>
      <c r="J32" s="128">
        <v>3.0</v>
      </c>
      <c r="K32" s="128">
        <v>0.0</v>
      </c>
      <c r="L32" s="128">
        <v>2.0</v>
      </c>
      <c r="M32" s="128">
        <v>3.0</v>
      </c>
      <c r="N32" s="131"/>
      <c r="O32" s="128">
        <v>1.0</v>
      </c>
      <c r="P32" s="131"/>
      <c r="Q32" s="125"/>
      <c r="R32" s="124"/>
    </row>
    <row r="33" ht="15.75" customHeight="1">
      <c r="A33" s="127"/>
      <c r="B33" s="122" t="s">
        <v>3006</v>
      </c>
      <c r="C33" s="128">
        <v>7.0</v>
      </c>
      <c r="D33" s="128" t="s">
        <v>2663</v>
      </c>
      <c r="E33" s="129">
        <v>0.5381944444444444</v>
      </c>
      <c r="F33" s="129">
        <v>0.06944444444444445</v>
      </c>
      <c r="G33" s="130" t="s">
        <v>3027</v>
      </c>
      <c r="H33" s="20" t="s">
        <v>3028</v>
      </c>
      <c r="I33" s="128">
        <v>69.0</v>
      </c>
      <c r="J33" s="128">
        <v>38.0</v>
      </c>
      <c r="K33" s="128">
        <v>30.0</v>
      </c>
      <c r="L33" s="128">
        <v>1.0</v>
      </c>
      <c r="M33" s="128">
        <v>5.0</v>
      </c>
      <c r="N33" s="131"/>
      <c r="O33" s="128">
        <v>65.0</v>
      </c>
      <c r="P33" s="131"/>
      <c r="Q33" s="125"/>
      <c r="R33" s="124"/>
    </row>
    <row r="34" ht="15.75" customHeight="1">
      <c r="A34" s="127"/>
      <c r="B34" s="122" t="s">
        <v>3008</v>
      </c>
      <c r="C34" s="128">
        <v>7.0</v>
      </c>
      <c r="D34" s="128" t="s">
        <v>2665</v>
      </c>
      <c r="E34" s="129">
        <v>0.0763888888888889</v>
      </c>
      <c r="F34" s="129">
        <v>0.10416666666666667</v>
      </c>
      <c r="G34" s="130" t="s">
        <v>3029</v>
      </c>
      <c r="H34" s="20" t="s">
        <v>3030</v>
      </c>
      <c r="I34" s="128">
        <v>69.0</v>
      </c>
      <c r="J34" s="128">
        <v>35.0</v>
      </c>
      <c r="K34" s="128">
        <v>28.0</v>
      </c>
      <c r="L34" s="128">
        <v>6.0</v>
      </c>
      <c r="M34" s="128">
        <v>6.0</v>
      </c>
      <c r="N34" s="131"/>
      <c r="O34" s="128">
        <v>58.0</v>
      </c>
      <c r="P34" s="131"/>
      <c r="Q34" s="125"/>
      <c r="R34" s="124"/>
    </row>
    <row r="35" ht="15.75" customHeight="1">
      <c r="A35" s="127"/>
      <c r="B35" s="122" t="s">
        <v>3009</v>
      </c>
      <c r="C35" s="128">
        <v>7.0</v>
      </c>
      <c r="D35" s="128" t="s">
        <v>2666</v>
      </c>
      <c r="E35" s="129">
        <v>0.1076388888888889</v>
      </c>
      <c r="F35" s="129">
        <v>0.14166666666666666</v>
      </c>
      <c r="G35" s="130" t="s">
        <v>3031</v>
      </c>
      <c r="H35" s="20" t="s">
        <v>3032</v>
      </c>
      <c r="I35" s="128">
        <v>49.0</v>
      </c>
      <c r="J35" s="128">
        <v>26.0</v>
      </c>
      <c r="K35" s="128">
        <v>21.0</v>
      </c>
      <c r="L35" s="128">
        <v>0.0</v>
      </c>
      <c r="M35" s="128">
        <v>6.0</v>
      </c>
      <c r="N35" s="131"/>
      <c r="O35" s="128">
        <v>44.0</v>
      </c>
      <c r="P35" s="131"/>
      <c r="Q35" s="125"/>
      <c r="R35" s="124"/>
    </row>
    <row r="36" ht="15.75" customHeight="1">
      <c r="A36" s="127"/>
      <c r="B36" s="122" t="s">
        <v>3010</v>
      </c>
      <c r="C36" s="128">
        <v>7.0</v>
      </c>
      <c r="D36" s="128" t="s">
        <v>2660</v>
      </c>
      <c r="E36" s="129">
        <v>0.1527777777777778</v>
      </c>
      <c r="F36" s="129">
        <v>0.1840277777777778</v>
      </c>
      <c r="G36" s="130" t="s">
        <v>2664</v>
      </c>
      <c r="H36" s="20"/>
      <c r="I36" s="128">
        <v>28.0</v>
      </c>
      <c r="J36" s="128">
        <v>11.0</v>
      </c>
      <c r="K36" s="128">
        <v>3.0</v>
      </c>
      <c r="L36" s="128">
        <v>14.0</v>
      </c>
      <c r="M36" s="128">
        <v>11.0</v>
      </c>
      <c r="N36" s="131"/>
      <c r="O36" s="128">
        <v>4.0</v>
      </c>
      <c r="P36" s="131"/>
      <c r="Q36" s="125"/>
      <c r="R36" s="124"/>
    </row>
    <row r="37" ht="15.75" customHeight="1">
      <c r="A37" s="127"/>
      <c r="B37" s="122"/>
      <c r="C37" s="128"/>
      <c r="D37" s="128" t="s">
        <v>2663</v>
      </c>
      <c r="E37" s="129"/>
      <c r="F37" s="129"/>
      <c r="G37" s="130"/>
      <c r="H37" s="20"/>
      <c r="I37" s="128"/>
      <c r="J37" s="128"/>
      <c r="K37" s="128"/>
      <c r="L37" s="128"/>
      <c r="M37" s="128"/>
      <c r="N37" s="131"/>
      <c r="O37" s="128"/>
      <c r="P37" s="131"/>
      <c r="Q37" s="125"/>
      <c r="R37" s="124"/>
    </row>
    <row r="38" ht="15.75" customHeight="1">
      <c r="A38" s="127">
        <v>45519.0</v>
      </c>
      <c r="B38" s="122" t="s">
        <v>3006</v>
      </c>
      <c r="C38" s="128">
        <v>8.0</v>
      </c>
      <c r="D38" s="128">
        <v>1.0</v>
      </c>
      <c r="E38" s="129">
        <v>0.40208333333333335</v>
      </c>
      <c r="F38" s="129">
        <v>0.43125</v>
      </c>
      <c r="G38" s="134" t="s">
        <v>3033</v>
      </c>
      <c r="H38" s="20" t="s">
        <v>3034</v>
      </c>
      <c r="I38" s="128">
        <v>90.0</v>
      </c>
      <c r="J38" s="128">
        <v>30.0</v>
      </c>
      <c r="K38" s="128">
        <v>40.0</v>
      </c>
      <c r="L38" s="128">
        <v>2.0</v>
      </c>
      <c r="M38" s="128">
        <v>3.0</v>
      </c>
      <c r="N38" s="123">
        <v>18.0</v>
      </c>
      <c r="O38" s="128">
        <v>70.0</v>
      </c>
      <c r="P38" s="131"/>
      <c r="Q38" s="125"/>
      <c r="R38" s="124"/>
    </row>
    <row r="39" ht="15.75" customHeight="1">
      <c r="A39" s="127"/>
      <c r="B39" s="122" t="s">
        <v>3008</v>
      </c>
      <c r="C39" s="128">
        <v>8.0</v>
      </c>
      <c r="D39" s="128">
        <v>1.0</v>
      </c>
      <c r="E39" s="129">
        <v>0.43472222222222223</v>
      </c>
      <c r="F39" s="129">
        <v>0.4625</v>
      </c>
      <c r="G39" s="134" t="s">
        <v>3035</v>
      </c>
      <c r="H39" s="20" t="s">
        <v>3036</v>
      </c>
      <c r="I39" s="128">
        <v>80.0</v>
      </c>
      <c r="J39" s="128">
        <v>19.0</v>
      </c>
      <c r="K39" s="128">
        <v>28.0</v>
      </c>
      <c r="L39" s="128">
        <v>5.0</v>
      </c>
      <c r="M39" s="128">
        <v>7.0</v>
      </c>
      <c r="N39" s="123">
        <v>26.0</v>
      </c>
      <c r="O39" s="128">
        <v>44.0</v>
      </c>
      <c r="P39" s="131"/>
      <c r="Q39" s="125"/>
      <c r="R39" s="124"/>
    </row>
    <row r="40" ht="15.75" customHeight="1">
      <c r="A40" s="127"/>
      <c r="B40" s="122" t="s">
        <v>3009</v>
      </c>
      <c r="C40" s="128">
        <v>8.0</v>
      </c>
      <c r="D40" s="128">
        <v>1.0</v>
      </c>
      <c r="E40" s="129">
        <v>0.47430555555555554</v>
      </c>
      <c r="F40" s="129">
        <v>0.5034722222222222</v>
      </c>
      <c r="G40" s="134" t="s">
        <v>3037</v>
      </c>
      <c r="H40" s="20" t="s">
        <v>3038</v>
      </c>
      <c r="I40" s="128">
        <v>44.0</v>
      </c>
      <c r="J40" s="128">
        <v>19.0</v>
      </c>
      <c r="K40" s="128">
        <v>24.0</v>
      </c>
      <c r="L40" s="128">
        <v>0.0</v>
      </c>
      <c r="M40" s="128">
        <v>6.0</v>
      </c>
      <c r="N40" s="123">
        <v>0.0</v>
      </c>
      <c r="O40" s="128">
        <v>39.0</v>
      </c>
      <c r="P40" s="131"/>
      <c r="Q40" s="125"/>
      <c r="R40" s="124"/>
    </row>
    <row r="41" ht="15.75" customHeight="1">
      <c r="A41" s="127"/>
      <c r="B41" s="122" t="s">
        <v>3010</v>
      </c>
      <c r="C41" s="128">
        <v>8.0</v>
      </c>
      <c r="D41" s="128">
        <v>1.0</v>
      </c>
      <c r="E41" s="129">
        <v>0.5090277777777777</v>
      </c>
      <c r="F41" s="129">
        <v>0.5368055555555555</v>
      </c>
      <c r="G41" s="130" t="s">
        <v>2664</v>
      </c>
      <c r="H41" s="20" t="s">
        <v>3039</v>
      </c>
      <c r="I41" s="128">
        <v>46.0</v>
      </c>
      <c r="J41" s="128">
        <v>19.0</v>
      </c>
      <c r="K41" s="128">
        <v>8.0</v>
      </c>
      <c r="L41" s="128">
        <v>19.0</v>
      </c>
      <c r="M41" s="128">
        <v>26.0</v>
      </c>
      <c r="N41" s="131"/>
      <c r="O41" s="128">
        <v>0.0</v>
      </c>
      <c r="P41" s="131"/>
      <c r="Q41" s="125"/>
      <c r="R41" s="124"/>
    </row>
    <row r="42" ht="15.75" customHeight="1">
      <c r="A42" s="127"/>
      <c r="B42" s="122" t="s">
        <v>3040</v>
      </c>
      <c r="C42" s="128">
        <v>1.0</v>
      </c>
      <c r="D42" s="128">
        <v>1.0</v>
      </c>
      <c r="E42" s="129">
        <v>0.041666666666666664</v>
      </c>
      <c r="F42" s="129">
        <v>0.06319444444444444</v>
      </c>
      <c r="G42" s="130" t="s">
        <v>2664</v>
      </c>
      <c r="H42" s="20"/>
      <c r="I42" s="128">
        <v>11.0</v>
      </c>
      <c r="J42" s="128">
        <v>3.0</v>
      </c>
      <c r="K42" s="128">
        <v>1.0</v>
      </c>
      <c r="L42" s="128">
        <v>6.0</v>
      </c>
      <c r="M42" s="128">
        <v>8.0</v>
      </c>
      <c r="N42" s="131"/>
      <c r="O42" s="128">
        <v>0.0</v>
      </c>
      <c r="P42" s="131"/>
      <c r="Q42" s="125"/>
      <c r="R42" s="124"/>
    </row>
    <row r="43" ht="15.75" customHeight="1">
      <c r="A43" s="127"/>
      <c r="B43" s="122" t="s">
        <v>3006</v>
      </c>
      <c r="C43" s="128">
        <v>9.0</v>
      </c>
      <c r="D43" s="128">
        <v>2.0</v>
      </c>
      <c r="E43" s="129">
        <v>0.07083333333333333</v>
      </c>
      <c r="F43" s="129">
        <v>0.09861111111111111</v>
      </c>
      <c r="G43" s="134" t="s">
        <v>3041</v>
      </c>
      <c r="H43" s="20"/>
      <c r="I43" s="128">
        <v>86.0</v>
      </c>
      <c r="J43" s="128">
        <v>28.0</v>
      </c>
      <c r="K43" s="128">
        <v>39.0</v>
      </c>
      <c r="L43" s="128">
        <v>4.0</v>
      </c>
      <c r="M43" s="128">
        <v>2.0</v>
      </c>
      <c r="N43" s="123">
        <v>14.0</v>
      </c>
      <c r="O43" s="128">
        <v>66.0</v>
      </c>
      <c r="P43" s="131"/>
      <c r="Q43" s="125"/>
      <c r="R43" s="124"/>
    </row>
    <row r="44" ht="15.75" customHeight="1">
      <c r="A44" s="127"/>
      <c r="B44" s="122" t="s">
        <v>3008</v>
      </c>
      <c r="C44" s="128">
        <v>9.0</v>
      </c>
      <c r="D44" s="128">
        <v>2.0</v>
      </c>
      <c r="E44" s="129">
        <v>0.10625</v>
      </c>
      <c r="F44" s="129">
        <v>0.13541666666666666</v>
      </c>
      <c r="G44" s="134" t="s">
        <v>3042</v>
      </c>
      <c r="H44" s="20"/>
      <c r="I44" s="128">
        <v>86.0</v>
      </c>
      <c r="J44" s="128">
        <v>30.0</v>
      </c>
      <c r="K44" s="128">
        <v>29.0</v>
      </c>
      <c r="L44" s="128">
        <v>7.0</v>
      </c>
      <c r="M44" s="128">
        <v>11.0</v>
      </c>
      <c r="N44" s="123">
        <v>19.0</v>
      </c>
      <c r="O44" s="128">
        <v>53.0</v>
      </c>
      <c r="P44" s="131"/>
      <c r="Q44" s="125"/>
      <c r="R44" s="124"/>
    </row>
    <row r="45" ht="15.75" customHeight="1">
      <c r="A45" s="127"/>
      <c r="B45" s="122" t="s">
        <v>3009</v>
      </c>
      <c r="C45" s="128">
        <v>9.0</v>
      </c>
      <c r="D45" s="128">
        <v>2.0</v>
      </c>
      <c r="E45" s="129">
        <v>0.13958333333333334</v>
      </c>
      <c r="F45" s="129">
        <v>0.17083333333333334</v>
      </c>
      <c r="G45" s="134" t="s">
        <v>3043</v>
      </c>
      <c r="H45" s="20" t="s">
        <v>3044</v>
      </c>
      <c r="I45" s="128">
        <v>54.0</v>
      </c>
      <c r="J45" s="128">
        <v>24.0</v>
      </c>
      <c r="K45" s="128">
        <v>28.0</v>
      </c>
      <c r="L45" s="128">
        <v>2.0</v>
      </c>
      <c r="M45" s="128">
        <v>4.0</v>
      </c>
      <c r="N45" s="123">
        <v>0.0</v>
      </c>
      <c r="O45" s="128">
        <v>51.0</v>
      </c>
      <c r="P45" s="131"/>
      <c r="Q45" s="125"/>
      <c r="R45" s="124"/>
    </row>
    <row r="46" ht="15.75" customHeight="1">
      <c r="A46" s="127"/>
      <c r="B46" s="122" t="s">
        <v>3010</v>
      </c>
      <c r="C46" s="128">
        <v>9.0</v>
      </c>
      <c r="D46" s="128">
        <v>2.0</v>
      </c>
      <c r="E46" s="129">
        <v>0.17569444444444443</v>
      </c>
      <c r="F46" s="129">
        <v>0.20555555555555555</v>
      </c>
      <c r="G46" s="130" t="s">
        <v>3045</v>
      </c>
      <c r="H46" s="20"/>
      <c r="I46" s="128">
        <v>43.0</v>
      </c>
      <c r="J46" s="128">
        <v>16.0</v>
      </c>
      <c r="K46" s="128">
        <v>10.0</v>
      </c>
      <c r="L46" s="128">
        <v>17.0</v>
      </c>
      <c r="M46" s="128">
        <v>26.0</v>
      </c>
      <c r="N46" s="131"/>
      <c r="O46" s="128">
        <v>0.0</v>
      </c>
      <c r="P46" s="131"/>
      <c r="Q46" s="125"/>
      <c r="R46" s="124"/>
    </row>
    <row r="47" ht="15.75" customHeight="1">
      <c r="A47" s="127"/>
      <c r="B47" s="122" t="s">
        <v>3040</v>
      </c>
      <c r="C47" s="128">
        <v>2.0</v>
      </c>
      <c r="D47" s="128">
        <v>2.0</v>
      </c>
      <c r="E47" s="129">
        <v>0.20972222222222223</v>
      </c>
      <c r="F47" s="129">
        <v>0.23819444444444443</v>
      </c>
      <c r="G47" s="130" t="s">
        <v>2664</v>
      </c>
      <c r="H47" s="20" t="s">
        <v>3046</v>
      </c>
      <c r="I47" s="128">
        <v>40.0</v>
      </c>
      <c r="J47" s="128">
        <v>10.0</v>
      </c>
      <c r="K47" s="128">
        <v>7.0</v>
      </c>
      <c r="L47" s="128">
        <v>20.0</v>
      </c>
      <c r="M47" s="128">
        <v>20.0</v>
      </c>
      <c r="N47" s="131"/>
      <c r="O47" s="128">
        <v>6.0</v>
      </c>
      <c r="P47" s="131"/>
      <c r="Q47" s="125"/>
      <c r="R47" s="124"/>
    </row>
    <row r="48" ht="15.75" customHeight="1">
      <c r="A48" s="127"/>
      <c r="B48" s="122"/>
      <c r="C48" s="128"/>
      <c r="D48" s="128"/>
      <c r="E48" s="129"/>
      <c r="F48" s="129"/>
      <c r="G48" s="130"/>
      <c r="H48" s="20"/>
      <c r="I48" s="128"/>
      <c r="J48" s="128"/>
      <c r="K48" s="128"/>
      <c r="L48" s="128"/>
      <c r="M48" s="128"/>
      <c r="N48" s="131"/>
      <c r="O48" s="128"/>
      <c r="P48" s="131"/>
      <c r="Q48" s="125"/>
      <c r="R48" s="124"/>
    </row>
    <row r="49" ht="15.75" customHeight="1">
      <c r="A49" s="127">
        <v>45520.0</v>
      </c>
      <c r="B49" s="122" t="s">
        <v>3006</v>
      </c>
      <c r="C49" s="128">
        <v>10.0</v>
      </c>
      <c r="D49" s="128">
        <v>1.0</v>
      </c>
      <c r="E49" s="129">
        <v>0.39791666666666664</v>
      </c>
      <c r="F49" s="129">
        <v>0.42916666666666664</v>
      </c>
      <c r="G49" s="134" t="s">
        <v>3047</v>
      </c>
      <c r="H49" s="20" t="s">
        <v>3048</v>
      </c>
      <c r="I49" s="128">
        <v>91.0</v>
      </c>
      <c r="J49" s="128">
        <v>27.0</v>
      </c>
      <c r="K49" s="128">
        <v>19.0</v>
      </c>
      <c r="L49" s="128">
        <v>5.0</v>
      </c>
      <c r="M49" s="128">
        <v>1.0</v>
      </c>
      <c r="N49" s="123">
        <v>40.0</v>
      </c>
      <c r="O49" s="128">
        <v>45.0</v>
      </c>
      <c r="P49" s="131"/>
      <c r="Q49" s="125"/>
      <c r="R49" s="124"/>
    </row>
    <row r="50" ht="15.75" customHeight="1">
      <c r="A50" s="127"/>
      <c r="B50" s="122" t="s">
        <v>3008</v>
      </c>
      <c r="C50" s="128">
        <v>10.0</v>
      </c>
      <c r="D50" s="128">
        <v>1.0</v>
      </c>
      <c r="E50" s="129">
        <v>0.4354166666666667</v>
      </c>
      <c r="F50" s="129">
        <v>0.4638888888888889</v>
      </c>
      <c r="G50" s="134" t="s">
        <v>3049</v>
      </c>
      <c r="H50" s="20"/>
      <c r="I50" s="128">
        <v>74.0</v>
      </c>
      <c r="J50" s="128">
        <v>21.0</v>
      </c>
      <c r="K50" s="128">
        <v>17.0</v>
      </c>
      <c r="L50" s="128">
        <v>6.0</v>
      </c>
      <c r="M50" s="128">
        <v>9.0</v>
      </c>
      <c r="N50" s="131">
        <v>29.0</v>
      </c>
      <c r="O50" s="128">
        <v>36.0</v>
      </c>
      <c r="P50" s="131"/>
      <c r="Q50" s="125"/>
      <c r="R50" s="124"/>
    </row>
    <row r="51" ht="15.75" customHeight="1">
      <c r="A51" s="127"/>
      <c r="B51" s="122" t="s">
        <v>3009</v>
      </c>
      <c r="C51" s="128">
        <v>10.0</v>
      </c>
      <c r="D51" s="128">
        <v>1.0</v>
      </c>
      <c r="E51" s="129">
        <v>0.46805555555555556</v>
      </c>
      <c r="F51" s="129">
        <v>0.4986111111111111</v>
      </c>
      <c r="G51" s="134" t="s">
        <v>3050</v>
      </c>
      <c r="H51" s="20"/>
      <c r="I51" s="128">
        <v>60.0</v>
      </c>
      <c r="J51" s="128">
        <v>28.0</v>
      </c>
      <c r="K51" s="128">
        <v>31.0</v>
      </c>
      <c r="L51" s="128">
        <v>0.0</v>
      </c>
      <c r="M51" s="128">
        <v>6.0</v>
      </c>
      <c r="N51" s="131">
        <v>0.0</v>
      </c>
      <c r="O51" s="128">
        <v>56.0</v>
      </c>
      <c r="P51" s="131"/>
      <c r="Q51" s="125"/>
      <c r="R51" s="124"/>
    </row>
    <row r="52" ht="15.75" customHeight="1">
      <c r="A52" s="127"/>
      <c r="B52" s="122" t="s">
        <v>3010</v>
      </c>
      <c r="C52" s="128">
        <v>10.0</v>
      </c>
      <c r="D52" s="128">
        <v>1.0</v>
      </c>
      <c r="E52" s="129">
        <v>0.50625</v>
      </c>
      <c r="F52" s="129">
        <v>0.5347222222222222</v>
      </c>
      <c r="G52" s="130" t="s">
        <v>3051</v>
      </c>
      <c r="H52" s="20"/>
      <c r="I52" s="128">
        <v>34.0</v>
      </c>
      <c r="J52" s="128">
        <v>8.0</v>
      </c>
      <c r="K52" s="128">
        <v>12.0</v>
      </c>
      <c r="L52" s="128">
        <v>13.0</v>
      </c>
      <c r="M52" s="128">
        <v>19.0</v>
      </c>
      <c r="N52" s="131"/>
      <c r="O52" s="128">
        <v>2.0</v>
      </c>
      <c r="P52" s="131"/>
      <c r="Q52" s="125"/>
      <c r="R52" s="124"/>
    </row>
    <row r="53" ht="15.75" customHeight="1">
      <c r="A53" s="127"/>
      <c r="B53" s="122" t="s">
        <v>3040</v>
      </c>
      <c r="C53" s="128">
        <v>3.0</v>
      </c>
      <c r="D53" s="128">
        <v>1.0</v>
      </c>
      <c r="E53" s="129">
        <v>0.5388888888888889</v>
      </c>
      <c r="F53" s="129">
        <v>0.06736111111111111</v>
      </c>
      <c r="G53" s="130" t="s">
        <v>3052</v>
      </c>
      <c r="H53" s="20"/>
      <c r="I53" s="128">
        <v>66.0</v>
      </c>
      <c r="J53" s="128">
        <v>29.0</v>
      </c>
      <c r="K53" s="128">
        <v>13.0</v>
      </c>
      <c r="L53" s="128">
        <v>22.0</v>
      </c>
      <c r="M53" s="128">
        <v>50.0</v>
      </c>
      <c r="N53" s="131"/>
      <c r="O53" s="128">
        <v>9.0</v>
      </c>
      <c r="P53" s="131"/>
      <c r="Q53" s="125"/>
      <c r="R53" s="124"/>
    </row>
    <row r="54" ht="15.75" customHeight="1">
      <c r="A54" s="127"/>
      <c r="B54" s="122" t="s">
        <v>3006</v>
      </c>
      <c r="C54" s="128">
        <v>11.0</v>
      </c>
      <c r="D54" s="128">
        <v>2.0</v>
      </c>
      <c r="E54" s="129">
        <v>0.07430555555555556</v>
      </c>
      <c r="F54" s="129">
        <v>0.10208333333333333</v>
      </c>
      <c r="G54" s="134" t="s">
        <v>3053</v>
      </c>
      <c r="H54" s="20" t="s">
        <v>3054</v>
      </c>
      <c r="I54" s="128">
        <v>95.0</v>
      </c>
      <c r="J54" s="128">
        <v>41.0</v>
      </c>
      <c r="K54" s="128">
        <v>36.0</v>
      </c>
      <c r="L54" s="128">
        <v>1.0</v>
      </c>
      <c r="M54" s="128">
        <v>1.0</v>
      </c>
      <c r="N54" s="131">
        <v>17.0</v>
      </c>
      <c r="O54" s="128">
        <v>75.0</v>
      </c>
      <c r="P54" s="131"/>
      <c r="Q54" s="125"/>
      <c r="R54" s="124"/>
    </row>
    <row r="55" ht="15.75" customHeight="1">
      <c r="A55" s="127"/>
      <c r="B55" s="122" t="s">
        <v>3008</v>
      </c>
      <c r="C55" s="128">
        <v>11.0</v>
      </c>
      <c r="D55" s="128">
        <v>2.0</v>
      </c>
      <c r="E55" s="129">
        <v>0.10833333333333334</v>
      </c>
      <c r="F55" s="129">
        <v>0.1451388888888889</v>
      </c>
      <c r="G55" s="134" t="s">
        <v>3055</v>
      </c>
      <c r="H55" s="20" t="s">
        <v>3056</v>
      </c>
      <c r="I55" s="128">
        <v>98.0</v>
      </c>
      <c r="J55" s="128">
        <v>24.0</v>
      </c>
      <c r="K55" s="128">
        <v>32.0</v>
      </c>
      <c r="L55" s="128">
        <v>5.0</v>
      </c>
      <c r="M55" s="128">
        <v>10.0</v>
      </c>
      <c r="N55" s="131">
        <v>37.0</v>
      </c>
      <c r="O55" s="128">
        <v>52.0</v>
      </c>
      <c r="P55" s="131"/>
      <c r="Q55" s="125"/>
      <c r="R55" s="124"/>
    </row>
    <row r="56" ht="15.75" customHeight="1">
      <c r="A56" s="127"/>
      <c r="B56" s="122" t="s">
        <v>3009</v>
      </c>
      <c r="C56" s="128">
        <v>11.0</v>
      </c>
      <c r="D56" s="128">
        <v>2.0</v>
      </c>
      <c r="E56" s="129">
        <v>0.14791666666666667</v>
      </c>
      <c r="F56" s="129">
        <v>0.1763888888888889</v>
      </c>
      <c r="G56" s="134" t="s">
        <v>3057</v>
      </c>
      <c r="H56" s="20"/>
      <c r="I56" s="128">
        <v>49.0</v>
      </c>
      <c r="J56" s="128">
        <v>19.0</v>
      </c>
      <c r="K56" s="128">
        <v>25.0</v>
      </c>
      <c r="L56" s="128">
        <v>4.0</v>
      </c>
      <c r="M56" s="128">
        <v>2.0</v>
      </c>
      <c r="N56" s="131"/>
      <c r="O56" s="128">
        <v>43.0</v>
      </c>
      <c r="P56" s="131"/>
      <c r="Q56" s="125"/>
      <c r="R56" s="124"/>
    </row>
    <row r="57" ht="15.75" customHeight="1">
      <c r="A57" s="127"/>
      <c r="B57" s="122" t="s">
        <v>3040</v>
      </c>
      <c r="C57" s="128">
        <v>4.0</v>
      </c>
      <c r="D57" s="128">
        <v>2.0</v>
      </c>
      <c r="E57" s="129">
        <v>0.18472222222222223</v>
      </c>
      <c r="F57" s="129">
        <v>0.21458333333333332</v>
      </c>
      <c r="G57" s="130" t="s">
        <v>3058</v>
      </c>
      <c r="H57" s="20"/>
      <c r="I57" s="128">
        <v>71.0</v>
      </c>
      <c r="J57" s="128">
        <v>29.0</v>
      </c>
      <c r="K57" s="128">
        <v>9.0</v>
      </c>
      <c r="L57" s="128">
        <v>30.0</v>
      </c>
      <c r="M57" s="128">
        <v>45.0</v>
      </c>
      <c r="N57" s="131"/>
      <c r="O57" s="128">
        <v>5.0</v>
      </c>
      <c r="P57" s="131"/>
      <c r="Q57" s="125"/>
      <c r="R57" s="124"/>
    </row>
    <row r="58" ht="15.75" customHeight="1">
      <c r="A58" s="127"/>
      <c r="H58" s="20"/>
      <c r="I58" s="128"/>
      <c r="J58" s="128"/>
      <c r="K58" s="128"/>
      <c r="L58" s="128"/>
      <c r="M58" s="128"/>
      <c r="N58" s="131"/>
      <c r="O58" s="128"/>
      <c r="P58" s="131"/>
      <c r="Q58" s="125"/>
      <c r="R58" s="124"/>
    </row>
    <row r="59" ht="15.75" customHeight="1">
      <c r="A59" s="127">
        <v>45523.0</v>
      </c>
      <c r="B59" s="122" t="s">
        <v>3006</v>
      </c>
      <c r="C59" s="128">
        <v>12.0</v>
      </c>
      <c r="D59" s="128">
        <v>1.0</v>
      </c>
      <c r="E59" s="129">
        <v>0.40694444444444444</v>
      </c>
      <c r="F59" s="129">
        <v>0.43472222222222223</v>
      </c>
      <c r="G59" s="134" t="s">
        <v>3059</v>
      </c>
      <c r="H59" s="20"/>
      <c r="I59" s="128">
        <v>75.0</v>
      </c>
      <c r="J59" s="128">
        <v>24.0</v>
      </c>
      <c r="K59" s="128">
        <v>26.0</v>
      </c>
      <c r="L59" s="128">
        <v>3.0</v>
      </c>
      <c r="M59" s="128">
        <v>1.0</v>
      </c>
      <c r="N59" s="123">
        <v>21.0</v>
      </c>
      <c r="O59" s="128">
        <v>49.0</v>
      </c>
      <c r="P59" s="131"/>
      <c r="Q59" s="125"/>
      <c r="R59" s="124"/>
    </row>
    <row r="60" ht="15.75" customHeight="1">
      <c r="A60" s="127"/>
      <c r="B60" s="122" t="s">
        <v>3008</v>
      </c>
      <c r="C60" s="128">
        <v>12.0</v>
      </c>
      <c r="D60" s="128">
        <v>1.0</v>
      </c>
      <c r="E60" s="129">
        <v>0.43819444444444444</v>
      </c>
      <c r="F60" s="129">
        <v>0.46805555555555556</v>
      </c>
      <c r="G60" s="134" t="s">
        <v>3060</v>
      </c>
      <c r="H60" s="20"/>
      <c r="I60" s="128">
        <v>75.0</v>
      </c>
      <c r="J60" s="128">
        <v>18.0</v>
      </c>
      <c r="K60" s="128">
        <v>21.0</v>
      </c>
      <c r="L60" s="128">
        <v>8.0</v>
      </c>
      <c r="M60" s="128">
        <v>5.0</v>
      </c>
      <c r="N60" s="123">
        <v>27.0</v>
      </c>
      <c r="O60" s="128">
        <v>39.0</v>
      </c>
      <c r="P60" s="131"/>
      <c r="Q60" s="125"/>
      <c r="R60" s="124"/>
    </row>
    <row r="61" ht="15.75" customHeight="1">
      <c r="A61" s="127"/>
      <c r="B61" s="122" t="s">
        <v>3009</v>
      </c>
      <c r="C61" s="128">
        <v>12.0</v>
      </c>
      <c r="D61" s="128">
        <v>1.0</v>
      </c>
      <c r="E61" s="129">
        <v>0.47291666666666665</v>
      </c>
      <c r="F61" s="129">
        <v>0.5041666666666667</v>
      </c>
      <c r="G61" s="134" t="s">
        <v>3061</v>
      </c>
      <c r="H61" s="20" t="s">
        <v>1462</v>
      </c>
      <c r="I61" s="128">
        <v>60.0</v>
      </c>
      <c r="J61" s="128">
        <v>10.0</v>
      </c>
      <c r="K61" s="128">
        <v>42.0</v>
      </c>
      <c r="L61" s="128">
        <v>7.0</v>
      </c>
      <c r="M61" s="128">
        <v>6.0</v>
      </c>
      <c r="N61" s="123">
        <v>0.0</v>
      </c>
      <c r="O61" s="128">
        <v>46.0</v>
      </c>
      <c r="P61" s="131"/>
      <c r="Q61" s="125"/>
      <c r="R61" s="124"/>
    </row>
    <row r="62" ht="15.75" customHeight="1">
      <c r="A62" s="127"/>
      <c r="B62" s="122" t="s">
        <v>3040</v>
      </c>
      <c r="C62" s="128">
        <v>5.0</v>
      </c>
      <c r="D62" s="128">
        <v>1.0</v>
      </c>
      <c r="E62" s="129">
        <v>0.5166666666666667</v>
      </c>
      <c r="F62" s="129">
        <v>0.049305555555555554</v>
      </c>
      <c r="G62" s="133" t="s">
        <v>3062</v>
      </c>
      <c r="H62" s="20"/>
      <c r="I62" s="128">
        <v>76.0</v>
      </c>
      <c r="J62" s="128">
        <v>39.0</v>
      </c>
      <c r="K62" s="128">
        <v>14.0</v>
      </c>
      <c r="L62" s="128">
        <v>20.0</v>
      </c>
      <c r="M62" s="128">
        <v>44.0</v>
      </c>
      <c r="N62" s="131"/>
      <c r="O62" s="128">
        <v>21.0</v>
      </c>
      <c r="P62" s="131"/>
      <c r="Q62" s="125"/>
      <c r="R62" s="124"/>
    </row>
    <row r="63" ht="15.75" customHeight="1">
      <c r="A63" s="127"/>
      <c r="B63" s="122" t="s">
        <v>3006</v>
      </c>
      <c r="C63" s="128">
        <v>13.0</v>
      </c>
      <c r="D63" s="128">
        <v>2.0</v>
      </c>
      <c r="E63" s="129">
        <v>0.05277777777777778</v>
      </c>
      <c r="F63" s="129">
        <v>0.08125</v>
      </c>
      <c r="G63" s="130" t="s">
        <v>3063</v>
      </c>
      <c r="H63" s="20" t="s">
        <v>3064</v>
      </c>
      <c r="I63" s="128">
        <v>106.0</v>
      </c>
      <c r="J63" s="128">
        <v>58.0</v>
      </c>
      <c r="K63" s="128">
        <v>45.0</v>
      </c>
      <c r="L63" s="128">
        <v>2.0</v>
      </c>
      <c r="M63" s="128">
        <v>2.0</v>
      </c>
      <c r="N63" s="131"/>
      <c r="O63" s="128">
        <v>102.0</v>
      </c>
      <c r="P63" s="131"/>
      <c r="Q63" s="125"/>
      <c r="R63" s="124"/>
    </row>
    <row r="64" ht="15.75" customHeight="1">
      <c r="A64" s="127"/>
      <c r="B64" s="122" t="s">
        <v>3008</v>
      </c>
      <c r="C64" s="128">
        <v>13.0</v>
      </c>
      <c r="D64" s="128">
        <v>2.0</v>
      </c>
      <c r="E64" s="129">
        <v>0.09444444444444444</v>
      </c>
      <c r="F64" s="129">
        <v>0.12638888888888888</v>
      </c>
      <c r="G64" s="134" t="s">
        <v>3065</v>
      </c>
      <c r="H64" s="20" t="s">
        <v>3066</v>
      </c>
      <c r="I64" s="128">
        <v>82.0</v>
      </c>
      <c r="J64" s="128">
        <v>14.0</v>
      </c>
      <c r="K64" s="128">
        <v>17.0</v>
      </c>
      <c r="L64" s="128">
        <v>3.0</v>
      </c>
      <c r="M64" s="128">
        <v>5.0</v>
      </c>
      <c r="N64" s="123">
        <v>47.0</v>
      </c>
      <c r="O64" s="128">
        <v>31.0</v>
      </c>
      <c r="P64" s="131"/>
      <c r="Q64" s="125"/>
      <c r="R64" s="124"/>
    </row>
    <row r="65" ht="15.75" customHeight="1">
      <c r="A65" s="127"/>
      <c r="B65" s="122" t="s">
        <v>3009</v>
      </c>
      <c r="C65" s="128">
        <v>13.0</v>
      </c>
      <c r="D65" s="128">
        <v>2.0</v>
      </c>
      <c r="E65" s="129">
        <v>0.12986111111111112</v>
      </c>
      <c r="F65" s="129">
        <v>0.15763888888888888</v>
      </c>
      <c r="G65" s="134" t="s">
        <v>3067</v>
      </c>
      <c r="H65" s="20"/>
      <c r="I65" s="128">
        <v>58.0</v>
      </c>
      <c r="J65" s="128">
        <v>26.0</v>
      </c>
      <c r="K65" s="128">
        <v>26.0</v>
      </c>
      <c r="L65" s="128">
        <v>6.0</v>
      </c>
      <c r="M65" s="128">
        <v>5.0</v>
      </c>
      <c r="N65" s="123">
        <v>0.0</v>
      </c>
      <c r="O65" s="128">
        <v>48.0</v>
      </c>
      <c r="P65" s="131"/>
      <c r="Q65" s="125"/>
      <c r="R65" s="124"/>
    </row>
    <row r="66" ht="15.75" customHeight="1">
      <c r="A66" s="127"/>
      <c r="B66" s="122" t="s">
        <v>3040</v>
      </c>
      <c r="C66" s="128">
        <v>6.0</v>
      </c>
      <c r="D66" s="128">
        <v>2.0</v>
      </c>
      <c r="E66" s="129">
        <v>0.16180555555555556</v>
      </c>
      <c r="F66" s="129">
        <v>0.19375</v>
      </c>
      <c r="G66" s="130" t="s">
        <v>3068</v>
      </c>
      <c r="H66" s="20" t="s">
        <v>3069</v>
      </c>
      <c r="I66" s="128">
        <v>81.0</v>
      </c>
      <c r="J66" s="128">
        <v>28.0</v>
      </c>
      <c r="K66" s="128">
        <v>44.0</v>
      </c>
      <c r="L66" s="128">
        <v>9.0</v>
      </c>
      <c r="M66" s="128">
        <v>16.0</v>
      </c>
      <c r="N66" s="131"/>
      <c r="O66" s="128">
        <v>60.0</v>
      </c>
      <c r="P66" s="131"/>
      <c r="Q66" s="125"/>
      <c r="R66" s="124"/>
    </row>
    <row r="67" ht="15.75" customHeight="1">
      <c r="A67" s="127"/>
      <c r="B67" s="122" t="s">
        <v>3006</v>
      </c>
      <c r="C67" s="128">
        <v>14.0</v>
      </c>
      <c r="D67" s="128">
        <v>3.0</v>
      </c>
      <c r="E67" s="129">
        <v>0.2013888888888889</v>
      </c>
      <c r="F67" s="129">
        <v>0.23125</v>
      </c>
      <c r="G67" s="134" t="s">
        <v>3070</v>
      </c>
      <c r="H67" s="20" t="s">
        <v>3071</v>
      </c>
      <c r="I67" s="128">
        <v>87.0</v>
      </c>
      <c r="J67" s="128">
        <v>36.0</v>
      </c>
      <c r="K67" s="128">
        <v>34.0</v>
      </c>
      <c r="L67" s="128">
        <v>2.0</v>
      </c>
      <c r="M67" s="128">
        <v>2.0</v>
      </c>
      <c r="N67" s="123">
        <v>15.0</v>
      </c>
      <c r="O67" s="128">
        <v>69.0</v>
      </c>
      <c r="P67" s="131"/>
      <c r="Q67" s="125"/>
      <c r="R67" s="124"/>
    </row>
    <row r="68" ht="15.75" customHeight="1">
      <c r="A68" s="127"/>
      <c r="B68" s="122"/>
      <c r="C68" s="128"/>
      <c r="D68" s="128"/>
      <c r="E68" s="129"/>
      <c r="F68" s="129"/>
      <c r="G68" s="20"/>
      <c r="H68" s="20"/>
      <c r="I68" s="128"/>
      <c r="J68" s="128"/>
      <c r="K68" s="128"/>
      <c r="L68" s="128"/>
      <c r="M68" s="128"/>
      <c r="N68" s="123"/>
      <c r="O68" s="128"/>
      <c r="P68" s="131"/>
      <c r="Q68" s="125"/>
      <c r="R68" s="124"/>
    </row>
    <row r="69" ht="15.75" customHeight="1">
      <c r="A69" s="127">
        <v>45524.0</v>
      </c>
      <c r="B69" s="122" t="s">
        <v>3006</v>
      </c>
      <c r="C69" s="128">
        <v>15.0</v>
      </c>
      <c r="D69" s="128">
        <v>1.0</v>
      </c>
      <c r="E69" s="129">
        <v>0.4131944444444444</v>
      </c>
      <c r="F69" s="129">
        <v>0.44375</v>
      </c>
      <c r="G69" s="134" t="s">
        <v>3072</v>
      </c>
      <c r="H69" s="20" t="s">
        <v>3073</v>
      </c>
      <c r="I69" s="128">
        <v>88.0</v>
      </c>
      <c r="J69" s="128">
        <v>30.0</v>
      </c>
      <c r="K69" s="128">
        <v>26.0</v>
      </c>
      <c r="L69" s="128">
        <v>4.0</v>
      </c>
      <c r="M69" s="128">
        <v>2.0</v>
      </c>
      <c r="N69" s="123">
        <v>27.0</v>
      </c>
      <c r="O69" s="128">
        <v>26.0</v>
      </c>
      <c r="P69" s="123">
        <v>29.0</v>
      </c>
      <c r="Q69" s="125"/>
      <c r="R69" s="124"/>
    </row>
    <row r="70" ht="15.75" customHeight="1">
      <c r="A70" s="127"/>
      <c r="B70" s="122" t="s">
        <v>3008</v>
      </c>
      <c r="C70" s="128">
        <v>14.0</v>
      </c>
      <c r="D70" s="128">
        <v>1.0</v>
      </c>
      <c r="E70" s="129">
        <v>0.4479166666666667</v>
      </c>
      <c r="F70" s="129">
        <v>0.4756944444444444</v>
      </c>
      <c r="G70" s="134" t="s">
        <v>3074</v>
      </c>
      <c r="H70" s="20" t="s">
        <v>3075</v>
      </c>
      <c r="I70" s="128">
        <v>69.0</v>
      </c>
      <c r="J70" s="128">
        <v>17.0</v>
      </c>
      <c r="K70" s="128">
        <v>17.0</v>
      </c>
      <c r="L70" s="128">
        <v>1.0</v>
      </c>
      <c r="M70" s="128">
        <v>7.0</v>
      </c>
      <c r="N70" s="123">
        <v>33.0</v>
      </c>
      <c r="O70" s="128">
        <v>4.0</v>
      </c>
      <c r="P70" s="123">
        <v>27.0</v>
      </c>
      <c r="Q70" s="125"/>
      <c r="R70" s="124"/>
    </row>
    <row r="71" ht="15.75" customHeight="1">
      <c r="A71" s="127"/>
      <c r="B71" s="122" t="s">
        <v>3009</v>
      </c>
      <c r="C71" s="128">
        <v>14.0</v>
      </c>
      <c r="D71" s="128">
        <v>1.0</v>
      </c>
      <c r="E71" s="129">
        <v>0.48333333333333334</v>
      </c>
      <c r="F71" s="129">
        <v>0.5125</v>
      </c>
      <c r="G71" s="134" t="s">
        <v>3076</v>
      </c>
      <c r="H71" s="20" t="s">
        <v>3077</v>
      </c>
      <c r="I71" s="128">
        <v>62.0</v>
      </c>
      <c r="J71" s="128">
        <v>32.0</v>
      </c>
      <c r="K71" s="128">
        <v>23.0</v>
      </c>
      <c r="L71" s="128">
        <v>7.0</v>
      </c>
      <c r="M71" s="128">
        <v>5.0</v>
      </c>
      <c r="N71" s="123">
        <v>0.0</v>
      </c>
      <c r="O71" s="128">
        <v>42.0</v>
      </c>
      <c r="P71" s="123">
        <v>9.0</v>
      </c>
      <c r="Q71" s="125"/>
      <c r="R71" s="124"/>
    </row>
    <row r="72" ht="15.75" customHeight="1">
      <c r="A72" s="127"/>
      <c r="B72" s="122" t="s">
        <v>3040</v>
      </c>
      <c r="C72" s="128">
        <v>7.0</v>
      </c>
      <c r="D72" s="128">
        <v>1.0</v>
      </c>
      <c r="E72" s="129">
        <v>0.5194444444444445</v>
      </c>
      <c r="F72" s="129">
        <v>0.04722222222222222</v>
      </c>
      <c r="G72" s="130" t="s">
        <v>3078</v>
      </c>
      <c r="H72" s="20" t="s">
        <v>3079</v>
      </c>
      <c r="I72" s="128">
        <v>65.0</v>
      </c>
      <c r="J72" s="128">
        <v>28.0</v>
      </c>
      <c r="K72" s="128">
        <v>25.0</v>
      </c>
      <c r="L72" s="128">
        <v>11.0</v>
      </c>
      <c r="M72" s="128">
        <v>3.0</v>
      </c>
      <c r="N72" s="131"/>
      <c r="O72" s="128">
        <v>51.0</v>
      </c>
      <c r="P72" s="131"/>
      <c r="Q72" s="125"/>
      <c r="R72" s="124"/>
    </row>
    <row r="73" ht="15.75" customHeight="1">
      <c r="A73" s="127"/>
      <c r="B73" s="122" t="s">
        <v>3006</v>
      </c>
      <c r="C73" s="128">
        <v>16.0</v>
      </c>
      <c r="D73" s="128">
        <v>2.0</v>
      </c>
      <c r="E73" s="129">
        <v>0.05625</v>
      </c>
      <c r="F73" s="129">
        <v>0.08472222222222223</v>
      </c>
      <c r="G73" s="134" t="s">
        <v>3080</v>
      </c>
      <c r="H73" s="20"/>
      <c r="I73" s="128">
        <v>83.0</v>
      </c>
      <c r="J73" s="128">
        <v>23.0</v>
      </c>
      <c r="K73" s="128">
        <v>26.0</v>
      </c>
      <c r="L73" s="128">
        <v>3.0</v>
      </c>
      <c r="M73" s="128">
        <v>0.0</v>
      </c>
      <c r="N73" s="123">
        <v>31.0</v>
      </c>
      <c r="O73" s="128">
        <v>42.0</v>
      </c>
      <c r="P73" s="123">
        <v>7.0</v>
      </c>
      <c r="Q73" s="125"/>
      <c r="R73" s="124"/>
    </row>
    <row r="74" ht="15.75" customHeight="1">
      <c r="A74" s="127"/>
      <c r="B74" s="122" t="s">
        <v>3008</v>
      </c>
      <c r="C74" s="128">
        <v>15.0</v>
      </c>
      <c r="D74" s="128">
        <v>2.0</v>
      </c>
      <c r="E74" s="129">
        <v>0.0875</v>
      </c>
      <c r="F74" s="129">
        <v>0.12152777777777778</v>
      </c>
      <c r="G74" s="134" t="s">
        <v>3081</v>
      </c>
      <c r="H74" s="20" t="s">
        <v>3082</v>
      </c>
      <c r="I74" s="128">
        <v>85.0</v>
      </c>
      <c r="J74" s="128">
        <v>23.0</v>
      </c>
      <c r="K74" s="128">
        <v>26.0</v>
      </c>
      <c r="L74" s="128">
        <v>1.0</v>
      </c>
      <c r="M74" s="128">
        <v>6.0</v>
      </c>
      <c r="N74" s="123">
        <v>35.0</v>
      </c>
      <c r="O74" s="128">
        <v>42.0</v>
      </c>
      <c r="P74" s="123">
        <v>5.0</v>
      </c>
      <c r="Q74" s="125"/>
      <c r="R74" s="124"/>
    </row>
    <row r="75" ht="15.75" customHeight="1">
      <c r="A75" s="127"/>
      <c r="B75" s="122" t="s">
        <v>3009</v>
      </c>
      <c r="C75" s="128">
        <v>15.0</v>
      </c>
      <c r="D75" s="128">
        <v>2.0</v>
      </c>
      <c r="E75" s="129">
        <v>0.12916666666666668</v>
      </c>
      <c r="F75" s="129">
        <v>0.15902777777777777</v>
      </c>
      <c r="G75" s="134" t="s">
        <v>3083</v>
      </c>
      <c r="H75" s="20" t="s">
        <v>3084</v>
      </c>
      <c r="I75" s="128">
        <v>60.0</v>
      </c>
      <c r="J75" s="128">
        <v>29.0</v>
      </c>
      <c r="K75" s="128">
        <v>19.0</v>
      </c>
      <c r="L75" s="128">
        <v>8.0</v>
      </c>
      <c r="M75" s="128">
        <v>6.0</v>
      </c>
      <c r="N75" s="123">
        <v>3.0</v>
      </c>
      <c r="O75" s="128">
        <v>16.0</v>
      </c>
      <c r="P75" s="123">
        <v>27.0</v>
      </c>
      <c r="Q75" s="125"/>
      <c r="R75" s="124"/>
    </row>
    <row r="76" ht="15.75" customHeight="1">
      <c r="A76" s="127"/>
      <c r="B76" s="122" t="s">
        <v>3040</v>
      </c>
      <c r="C76" s="128">
        <v>8.0</v>
      </c>
      <c r="D76" s="128">
        <v>2.0</v>
      </c>
      <c r="E76" s="129">
        <v>0.16319444444444445</v>
      </c>
      <c r="F76" s="129">
        <v>0.1909722222222222</v>
      </c>
      <c r="G76" s="134" t="s">
        <v>3085</v>
      </c>
      <c r="H76" s="20" t="s">
        <v>3086</v>
      </c>
      <c r="I76" s="128">
        <v>62.0</v>
      </c>
      <c r="J76" s="128">
        <v>22.0</v>
      </c>
      <c r="K76" s="128">
        <v>31.0</v>
      </c>
      <c r="L76" s="128">
        <v>8.0</v>
      </c>
      <c r="M76" s="128">
        <v>2.0</v>
      </c>
      <c r="N76" s="123">
        <v>0.0</v>
      </c>
      <c r="O76" s="128">
        <v>51.0</v>
      </c>
      <c r="P76" s="131"/>
      <c r="Q76" s="125"/>
      <c r="R76" s="124"/>
    </row>
    <row r="77" ht="15.75" customHeight="1">
      <c r="A77" s="127"/>
      <c r="B77" s="122"/>
      <c r="C77" s="128"/>
      <c r="D77" s="128"/>
      <c r="E77" s="129"/>
      <c r="F77" s="129"/>
      <c r="G77" s="20"/>
      <c r="H77" s="20"/>
      <c r="I77" s="128"/>
      <c r="J77" s="128"/>
      <c r="K77" s="128"/>
      <c r="L77" s="128"/>
      <c r="M77" s="128"/>
      <c r="N77" s="123"/>
      <c r="O77" s="128"/>
      <c r="P77" s="123"/>
      <c r="Q77" s="125"/>
      <c r="R77" s="124"/>
    </row>
    <row r="78" ht="15.75" customHeight="1">
      <c r="A78" s="127">
        <v>45525.0</v>
      </c>
      <c r="B78" s="122" t="s">
        <v>3006</v>
      </c>
      <c r="C78" s="128">
        <v>17.0</v>
      </c>
      <c r="D78" s="128">
        <v>1.0</v>
      </c>
      <c r="E78" s="129">
        <v>0.4125</v>
      </c>
      <c r="F78" s="129">
        <v>0.44722222222222224</v>
      </c>
      <c r="G78" s="26" t="s">
        <v>3087</v>
      </c>
      <c r="H78" s="20" t="s">
        <v>3088</v>
      </c>
      <c r="I78" s="128">
        <v>92.0</v>
      </c>
      <c r="J78" s="128">
        <v>26.0</v>
      </c>
      <c r="K78" s="128">
        <v>34.0</v>
      </c>
      <c r="L78" s="128">
        <v>10.0</v>
      </c>
      <c r="M78" s="128">
        <v>5.0</v>
      </c>
      <c r="N78" s="123">
        <v>22.0</v>
      </c>
      <c r="O78" s="128">
        <v>9.0</v>
      </c>
      <c r="P78" s="123">
        <v>47.0</v>
      </c>
      <c r="Q78" s="125"/>
      <c r="R78" s="124"/>
    </row>
    <row r="79" ht="15.75" customHeight="1">
      <c r="A79" s="127"/>
      <c r="B79" s="122" t="s">
        <v>3008</v>
      </c>
      <c r="C79" s="128">
        <v>16.0</v>
      </c>
      <c r="D79" s="128">
        <v>1.0</v>
      </c>
      <c r="E79" s="129">
        <v>0.45555555555555555</v>
      </c>
      <c r="F79" s="129">
        <v>0.4847222222222222</v>
      </c>
      <c r="G79" s="26" t="s">
        <v>3089</v>
      </c>
      <c r="H79" s="20" t="s">
        <v>3090</v>
      </c>
      <c r="I79" s="128">
        <v>70.0</v>
      </c>
      <c r="J79" s="128">
        <v>22.0</v>
      </c>
      <c r="K79" s="128">
        <v>28.0</v>
      </c>
      <c r="L79" s="128">
        <v>0.0</v>
      </c>
      <c r="M79" s="128">
        <v>12.0</v>
      </c>
      <c r="N79" s="123">
        <v>20.0</v>
      </c>
      <c r="O79" s="128">
        <v>10.0</v>
      </c>
      <c r="P79" s="123">
        <v>33.0</v>
      </c>
      <c r="Q79" s="125"/>
      <c r="R79" s="124"/>
    </row>
    <row r="80" ht="15.75" customHeight="1">
      <c r="A80" s="127"/>
      <c r="B80" s="122" t="s">
        <v>3009</v>
      </c>
      <c r="C80" s="128">
        <v>16.0</v>
      </c>
      <c r="D80" s="128">
        <v>1.0</v>
      </c>
      <c r="E80" s="129">
        <v>0.4888888888888889</v>
      </c>
      <c r="F80" s="129">
        <v>0.5215277777777778</v>
      </c>
      <c r="G80" s="26" t="s">
        <v>3091</v>
      </c>
      <c r="H80" s="20" t="s">
        <v>3092</v>
      </c>
      <c r="I80" s="128">
        <v>58.0</v>
      </c>
      <c r="J80" s="128">
        <v>28.0</v>
      </c>
      <c r="K80" s="128">
        <v>24.0</v>
      </c>
      <c r="L80" s="128">
        <v>5.0</v>
      </c>
      <c r="M80" s="128">
        <v>17.0</v>
      </c>
      <c r="N80" s="123">
        <v>0.0</v>
      </c>
      <c r="O80" s="128">
        <v>6.0</v>
      </c>
      <c r="P80" s="123">
        <v>29.0</v>
      </c>
      <c r="Q80" s="125"/>
      <c r="R80" s="124"/>
    </row>
    <row r="81" ht="15.75" customHeight="1">
      <c r="A81" s="127"/>
      <c r="B81" s="122" t="s">
        <v>3040</v>
      </c>
      <c r="C81" s="128">
        <v>9.0</v>
      </c>
      <c r="D81" s="128">
        <v>1.0</v>
      </c>
      <c r="E81" s="129">
        <v>0.5263888888888889</v>
      </c>
      <c r="F81" s="129">
        <v>0.47291666666666665</v>
      </c>
      <c r="G81" s="134" t="s">
        <v>3093</v>
      </c>
      <c r="H81" s="20" t="s">
        <v>3094</v>
      </c>
      <c r="I81" s="128">
        <v>70.0</v>
      </c>
      <c r="J81" s="128">
        <v>19.0</v>
      </c>
      <c r="K81" s="128">
        <v>40.0</v>
      </c>
      <c r="L81" s="128">
        <v>11.0</v>
      </c>
      <c r="M81" s="128">
        <v>2.0</v>
      </c>
      <c r="N81" s="123">
        <v>0.0</v>
      </c>
      <c r="O81" s="128">
        <v>57.0</v>
      </c>
      <c r="P81" s="131"/>
      <c r="Q81" s="125"/>
      <c r="R81" s="124"/>
    </row>
    <row r="82" ht="15.75" customHeight="1">
      <c r="A82" s="127"/>
      <c r="B82" s="122" t="s">
        <v>3006</v>
      </c>
      <c r="C82" s="128">
        <v>18.0</v>
      </c>
      <c r="D82" s="128">
        <v>2.0</v>
      </c>
      <c r="E82" s="129">
        <v>0.06180555555555556</v>
      </c>
      <c r="F82" s="129">
        <v>0.09305555555555556</v>
      </c>
      <c r="G82" s="26" t="s">
        <v>3095</v>
      </c>
      <c r="H82" s="20"/>
      <c r="I82" s="128">
        <v>91.0</v>
      </c>
      <c r="J82" s="128">
        <v>22.0</v>
      </c>
      <c r="K82" s="128">
        <v>39.0</v>
      </c>
      <c r="L82" s="128">
        <v>3.0</v>
      </c>
      <c r="M82" s="128">
        <v>3.0</v>
      </c>
      <c r="N82" s="123">
        <v>26.0</v>
      </c>
      <c r="O82" s="128">
        <v>18.0</v>
      </c>
      <c r="P82" s="123">
        <v>40.0</v>
      </c>
      <c r="Q82" s="125"/>
      <c r="R82" s="124"/>
    </row>
    <row r="83" ht="15.75" customHeight="1">
      <c r="A83" s="127"/>
      <c r="B83" s="122" t="s">
        <v>3008</v>
      </c>
      <c r="C83" s="128">
        <v>17.0</v>
      </c>
      <c r="D83" s="128">
        <v>2.0</v>
      </c>
      <c r="E83" s="129">
        <v>0.09791666666666667</v>
      </c>
      <c r="F83" s="129">
        <v>0.1326388888888889</v>
      </c>
      <c r="G83" s="26" t="s">
        <v>3096</v>
      </c>
      <c r="H83" s="20"/>
      <c r="I83" s="128">
        <v>89.0</v>
      </c>
      <c r="J83" s="128">
        <v>31.0</v>
      </c>
      <c r="K83" s="128">
        <v>27.0</v>
      </c>
      <c r="L83" s="128">
        <v>2.0</v>
      </c>
      <c r="M83" s="128">
        <v>13.0</v>
      </c>
      <c r="N83" s="123">
        <v>28.0</v>
      </c>
      <c r="O83" s="128">
        <v>14.0</v>
      </c>
      <c r="P83" s="123">
        <v>33.0</v>
      </c>
      <c r="Q83" s="125"/>
      <c r="R83" s="124"/>
    </row>
    <row r="84" ht="15.75" customHeight="1">
      <c r="A84" s="127"/>
      <c r="B84" s="122" t="s">
        <v>3009</v>
      </c>
      <c r="C84" s="128">
        <v>17.0</v>
      </c>
      <c r="D84" s="128">
        <v>2.0</v>
      </c>
      <c r="E84" s="129">
        <v>0.13680555555555557</v>
      </c>
      <c r="F84" s="129">
        <v>0.17152777777777778</v>
      </c>
      <c r="G84" s="26" t="s">
        <v>3097</v>
      </c>
      <c r="H84" s="20" t="s">
        <v>3098</v>
      </c>
      <c r="I84" s="128">
        <v>75.0</v>
      </c>
      <c r="J84" s="128">
        <v>29.0</v>
      </c>
      <c r="K84" s="128">
        <v>27.0</v>
      </c>
      <c r="L84" s="128">
        <v>6.0</v>
      </c>
      <c r="M84" s="128">
        <v>7.0</v>
      </c>
      <c r="N84" s="123">
        <v>13.0</v>
      </c>
      <c r="O84" s="128">
        <v>28.0</v>
      </c>
      <c r="P84" s="123">
        <v>21.0</v>
      </c>
      <c r="Q84" s="125"/>
      <c r="R84" s="124"/>
    </row>
    <row r="85" ht="15.75" customHeight="1">
      <c r="A85" s="127"/>
      <c r="B85" s="122" t="s">
        <v>3040</v>
      </c>
      <c r="C85" s="128">
        <v>10.0</v>
      </c>
      <c r="D85" s="128">
        <v>2.0</v>
      </c>
      <c r="E85" s="129">
        <v>0.18125</v>
      </c>
      <c r="F85" s="129">
        <v>0.20972222222222223</v>
      </c>
      <c r="G85" s="26" t="s">
        <v>3099</v>
      </c>
      <c r="H85" s="20" t="s">
        <v>3100</v>
      </c>
      <c r="I85" s="128">
        <v>63.0</v>
      </c>
      <c r="J85" s="128">
        <v>18.0</v>
      </c>
      <c r="K85" s="128">
        <v>37.0</v>
      </c>
      <c r="L85" s="128">
        <v>7.0</v>
      </c>
      <c r="M85" s="128">
        <v>12.0</v>
      </c>
      <c r="N85" s="123">
        <v>1.0</v>
      </c>
      <c r="O85" s="128">
        <v>18.0</v>
      </c>
      <c r="P85" s="123">
        <v>26.0</v>
      </c>
      <c r="Q85" s="125"/>
      <c r="R85" s="124"/>
    </row>
    <row r="86" ht="15.75" customHeight="1">
      <c r="A86" s="127"/>
      <c r="B86" s="122"/>
      <c r="C86" s="128"/>
      <c r="D86" s="128"/>
      <c r="E86" s="129"/>
      <c r="F86" s="129"/>
      <c r="G86" s="20"/>
      <c r="H86" s="20"/>
      <c r="I86" s="128"/>
      <c r="J86" s="128"/>
      <c r="K86" s="128"/>
      <c r="L86" s="128"/>
      <c r="M86" s="128"/>
      <c r="N86" s="123"/>
      <c r="O86" s="128"/>
      <c r="P86" s="123"/>
      <c r="Q86" s="125"/>
      <c r="R86" s="124"/>
    </row>
    <row r="87" ht="15.75" customHeight="1">
      <c r="A87" s="127">
        <v>45526.0</v>
      </c>
      <c r="B87" s="122" t="s">
        <v>3006</v>
      </c>
      <c r="C87" s="128">
        <v>19.0</v>
      </c>
      <c r="D87" s="128">
        <v>1.0</v>
      </c>
      <c r="E87" s="129">
        <v>0.3875</v>
      </c>
      <c r="F87" s="129">
        <v>0.4201388888888889</v>
      </c>
      <c r="G87" s="26" t="s">
        <v>3101</v>
      </c>
      <c r="H87" s="20" t="s">
        <v>3102</v>
      </c>
      <c r="I87" s="128">
        <v>92.0</v>
      </c>
      <c r="J87" s="128">
        <v>28.0</v>
      </c>
      <c r="K87" s="128">
        <v>35.0</v>
      </c>
      <c r="L87" s="128">
        <v>4.0</v>
      </c>
      <c r="M87" s="128">
        <v>1.0</v>
      </c>
      <c r="N87" s="123">
        <v>24.0</v>
      </c>
      <c r="O87" s="128">
        <v>48.0</v>
      </c>
      <c r="P87" s="123">
        <v>14.0</v>
      </c>
      <c r="Q87" s="125"/>
      <c r="R87" s="124"/>
    </row>
    <row r="88" ht="15.75" customHeight="1">
      <c r="A88" s="127"/>
      <c r="B88" s="122" t="s">
        <v>3008</v>
      </c>
      <c r="C88" s="128">
        <v>18.0</v>
      </c>
      <c r="D88" s="128">
        <v>1.0</v>
      </c>
      <c r="E88" s="129">
        <v>0.4270833333333333</v>
      </c>
      <c r="F88" s="129">
        <v>0.4583333333333333</v>
      </c>
      <c r="G88" s="26" t="s">
        <v>3101</v>
      </c>
      <c r="H88" s="20" t="s">
        <v>3103</v>
      </c>
      <c r="I88" s="128">
        <v>69.0</v>
      </c>
      <c r="J88" s="128">
        <v>26.0</v>
      </c>
      <c r="K88" s="128">
        <v>25.0</v>
      </c>
      <c r="L88" s="128">
        <v>0.0</v>
      </c>
      <c r="M88" s="128">
        <v>18.0</v>
      </c>
      <c r="N88" s="123">
        <v>18.0</v>
      </c>
      <c r="O88" s="128">
        <v>27.0</v>
      </c>
      <c r="P88" s="123">
        <v>14.0</v>
      </c>
      <c r="Q88" s="125"/>
      <c r="R88" s="124"/>
    </row>
    <row r="89" ht="15.75" customHeight="1">
      <c r="A89" s="127"/>
      <c r="B89" s="122" t="s">
        <v>3009</v>
      </c>
      <c r="C89" s="128">
        <v>18.0</v>
      </c>
      <c r="D89" s="128">
        <v>1.0</v>
      </c>
      <c r="E89" s="129">
        <v>0.4638888888888889</v>
      </c>
      <c r="F89" s="129">
        <v>0.5</v>
      </c>
      <c r="G89" s="26" t="s">
        <v>3104</v>
      </c>
      <c r="H89" s="20" t="s">
        <v>3105</v>
      </c>
      <c r="I89" s="128">
        <v>71.0</v>
      </c>
      <c r="J89" s="128">
        <v>33.0</v>
      </c>
      <c r="K89" s="128">
        <v>34.0</v>
      </c>
      <c r="L89" s="128">
        <v>4.0</v>
      </c>
      <c r="M89" s="128">
        <v>11.0</v>
      </c>
      <c r="N89" s="123">
        <v>0.0</v>
      </c>
      <c r="O89" s="128">
        <v>38.0</v>
      </c>
      <c r="P89" s="123">
        <v>18.0</v>
      </c>
      <c r="Q89" s="125"/>
      <c r="R89" s="124"/>
    </row>
    <row r="90" ht="15.75" customHeight="1">
      <c r="A90" s="127"/>
      <c r="B90" s="122" t="s">
        <v>3040</v>
      </c>
      <c r="C90" s="128">
        <v>11.0</v>
      </c>
      <c r="D90" s="128">
        <v>1.0</v>
      </c>
      <c r="E90" s="129">
        <v>0.5069444444444444</v>
      </c>
      <c r="F90" s="129">
        <v>0.5368055555555555</v>
      </c>
      <c r="G90" s="26" t="s">
        <v>3106</v>
      </c>
      <c r="H90" s="20"/>
      <c r="I90" s="128">
        <v>63.0</v>
      </c>
      <c r="J90" s="128">
        <v>25.0</v>
      </c>
      <c r="K90" s="128">
        <v>35.0</v>
      </c>
      <c r="L90" s="128">
        <v>1.0</v>
      </c>
      <c r="M90" s="128">
        <v>14.0</v>
      </c>
      <c r="N90" s="123">
        <v>2.0</v>
      </c>
      <c r="O90" s="128">
        <v>11.0</v>
      </c>
      <c r="P90" s="123">
        <v>36.0</v>
      </c>
      <c r="Q90" s="125"/>
      <c r="R90" s="124"/>
    </row>
    <row r="91" ht="15.75" customHeight="1">
      <c r="A91" s="127"/>
      <c r="B91" s="122" t="s">
        <v>3006</v>
      </c>
      <c r="C91" s="128">
        <v>20.0</v>
      </c>
      <c r="D91" s="128">
        <v>2.0</v>
      </c>
      <c r="E91" s="129">
        <v>0.5409722222222222</v>
      </c>
      <c r="F91" s="129">
        <v>0.5354166666666667</v>
      </c>
      <c r="G91" s="26" t="s">
        <v>3101</v>
      </c>
      <c r="H91" s="20" t="s">
        <v>3107</v>
      </c>
      <c r="I91" s="128">
        <v>101.0</v>
      </c>
      <c r="J91" s="128">
        <v>32.0</v>
      </c>
      <c r="K91" s="128">
        <v>28.0</v>
      </c>
      <c r="L91" s="128">
        <v>1.0</v>
      </c>
      <c r="M91" s="128">
        <v>3.0</v>
      </c>
      <c r="N91" s="123">
        <v>40.0</v>
      </c>
      <c r="O91" s="128">
        <v>51.0</v>
      </c>
      <c r="P91" s="123">
        <v>6.0</v>
      </c>
      <c r="Q91" s="125"/>
      <c r="R91" s="124"/>
    </row>
    <row r="92" ht="15.75" customHeight="1">
      <c r="A92" s="127"/>
      <c r="B92" s="122" t="s">
        <v>3008</v>
      </c>
      <c r="C92" s="128">
        <v>19.0</v>
      </c>
      <c r="D92" s="128">
        <v>2.0</v>
      </c>
      <c r="E92" s="129">
        <v>0.0798611111111111</v>
      </c>
      <c r="F92" s="129">
        <v>0.11458333333333333</v>
      </c>
      <c r="G92" s="26" t="s">
        <v>3101</v>
      </c>
      <c r="H92" s="20"/>
      <c r="I92" s="128">
        <v>96.0</v>
      </c>
      <c r="J92" s="128">
        <v>14.0</v>
      </c>
      <c r="K92" s="128">
        <v>27.0</v>
      </c>
      <c r="L92" s="128">
        <v>7.0</v>
      </c>
      <c r="M92" s="128">
        <v>3.0</v>
      </c>
      <c r="N92" s="123">
        <v>47.0</v>
      </c>
      <c r="O92" s="128">
        <v>28.0</v>
      </c>
      <c r="P92" s="123">
        <v>12.0</v>
      </c>
      <c r="Q92" s="125"/>
      <c r="R92" s="124"/>
    </row>
    <row r="93" ht="15.75" customHeight="1">
      <c r="A93" s="127"/>
      <c r="B93" s="122" t="s">
        <v>3009</v>
      </c>
      <c r="C93" s="128">
        <v>19.0</v>
      </c>
      <c r="D93" s="128">
        <v>2.0</v>
      </c>
      <c r="E93" s="129">
        <v>0.11944444444444445</v>
      </c>
      <c r="F93" s="129">
        <v>0.15069444444444444</v>
      </c>
      <c r="G93" s="26" t="s">
        <v>3108</v>
      </c>
      <c r="H93" s="20" t="s">
        <v>3109</v>
      </c>
      <c r="I93" s="128">
        <v>66.0</v>
      </c>
      <c r="J93" s="128">
        <v>24.0</v>
      </c>
      <c r="K93" s="128">
        <v>30.0</v>
      </c>
      <c r="L93" s="128">
        <v>4.0</v>
      </c>
      <c r="M93" s="128">
        <v>8.0</v>
      </c>
      <c r="N93" s="123">
        <v>8.0</v>
      </c>
      <c r="O93" s="128">
        <v>28.0</v>
      </c>
      <c r="P93" s="123">
        <v>21.0</v>
      </c>
      <c r="Q93" s="125"/>
      <c r="R93" s="124"/>
    </row>
    <row r="94" ht="15.75" customHeight="1">
      <c r="A94" s="127"/>
      <c r="B94" s="122" t="s">
        <v>3040</v>
      </c>
      <c r="C94" s="128">
        <v>12.0</v>
      </c>
      <c r="D94" s="128">
        <v>2.0</v>
      </c>
      <c r="E94" s="129">
        <v>0.15763888888888888</v>
      </c>
      <c r="F94" s="129">
        <v>0.1909722222222222</v>
      </c>
      <c r="G94" s="26" t="s">
        <v>3110</v>
      </c>
      <c r="H94" s="20"/>
      <c r="I94" s="128">
        <v>74.0</v>
      </c>
      <c r="J94" s="128">
        <v>28.0</v>
      </c>
      <c r="K94" s="128">
        <v>44.0</v>
      </c>
      <c r="L94" s="128">
        <v>2.0</v>
      </c>
      <c r="M94" s="128">
        <v>8.0</v>
      </c>
      <c r="N94" s="123">
        <v>0.0</v>
      </c>
      <c r="O94" s="128">
        <v>47.0</v>
      </c>
      <c r="P94" s="123">
        <v>17.0</v>
      </c>
      <c r="Q94" s="125"/>
      <c r="R94" s="124"/>
    </row>
    <row r="95" ht="15.75" customHeight="1">
      <c r="A95" s="127"/>
      <c r="B95" s="122"/>
      <c r="C95" s="128"/>
      <c r="D95" s="128"/>
      <c r="E95" s="129"/>
      <c r="F95" s="129"/>
      <c r="G95" s="20"/>
      <c r="H95" s="20"/>
      <c r="I95" s="128"/>
      <c r="J95" s="128"/>
      <c r="K95" s="128"/>
      <c r="L95" s="128"/>
      <c r="M95" s="128"/>
      <c r="N95" s="123"/>
      <c r="O95" s="128"/>
      <c r="P95" s="123"/>
      <c r="Q95" s="125"/>
      <c r="R95" s="124"/>
    </row>
    <row r="96" ht="15.75" customHeight="1">
      <c r="A96" s="127">
        <v>45527.0</v>
      </c>
      <c r="B96" s="122" t="s">
        <v>3006</v>
      </c>
      <c r="C96" s="128">
        <v>21.0</v>
      </c>
      <c r="D96" s="128">
        <v>1.0</v>
      </c>
      <c r="E96" s="129">
        <v>0.3951388888888889</v>
      </c>
      <c r="F96" s="129">
        <v>0.4236111111111111</v>
      </c>
      <c r="G96" s="26" t="s">
        <v>3111</v>
      </c>
      <c r="H96" s="20"/>
      <c r="I96" s="128">
        <v>83.0</v>
      </c>
      <c r="J96" s="128">
        <v>29.0</v>
      </c>
      <c r="K96" s="128">
        <v>25.0</v>
      </c>
      <c r="L96" s="128">
        <v>1.0</v>
      </c>
      <c r="M96" s="128">
        <v>1.0</v>
      </c>
      <c r="N96" s="123">
        <v>27.0</v>
      </c>
      <c r="O96" s="128">
        <v>34.0</v>
      </c>
      <c r="P96" s="123">
        <v>19.0</v>
      </c>
      <c r="Q96" s="125"/>
      <c r="R96" s="124"/>
    </row>
    <row r="97" ht="15.75" customHeight="1">
      <c r="A97" s="127"/>
      <c r="B97" s="122" t="s">
        <v>3008</v>
      </c>
      <c r="C97" s="128">
        <v>20.0</v>
      </c>
      <c r="D97" s="128">
        <v>1.0</v>
      </c>
      <c r="E97" s="129">
        <v>0.42777777777777776</v>
      </c>
      <c r="F97" s="129">
        <v>0.4625</v>
      </c>
      <c r="G97" s="26" t="s">
        <v>3112</v>
      </c>
      <c r="H97" s="20"/>
      <c r="I97" s="128">
        <v>75.0</v>
      </c>
      <c r="J97" s="128">
        <v>21.0</v>
      </c>
      <c r="K97" s="128">
        <v>26.0</v>
      </c>
      <c r="L97" s="128">
        <v>9.0</v>
      </c>
      <c r="M97" s="128">
        <v>12.0</v>
      </c>
      <c r="N97" s="123">
        <v>18.0</v>
      </c>
      <c r="O97" s="128">
        <v>4.0</v>
      </c>
      <c r="P97" s="123">
        <v>32.0</v>
      </c>
      <c r="Q97" s="125"/>
      <c r="R97" s="124"/>
    </row>
    <row r="98" ht="15.75" customHeight="1">
      <c r="A98" s="127"/>
      <c r="B98" s="122" t="s">
        <v>3009</v>
      </c>
      <c r="C98" s="128">
        <v>20.0</v>
      </c>
      <c r="D98" s="128">
        <v>1.0</v>
      </c>
      <c r="E98" s="129">
        <v>0.4652777777777778</v>
      </c>
      <c r="F98" s="129">
        <v>0.4909722222222222</v>
      </c>
      <c r="G98" s="26" t="s">
        <v>3113</v>
      </c>
      <c r="H98" s="20"/>
      <c r="I98" s="128">
        <v>54.0</v>
      </c>
      <c r="J98" s="128">
        <v>23.0</v>
      </c>
      <c r="K98" s="128">
        <v>26.0</v>
      </c>
      <c r="L98" s="128">
        <v>4.0</v>
      </c>
      <c r="M98" s="128">
        <v>7.0</v>
      </c>
      <c r="N98" s="123">
        <v>0.0</v>
      </c>
      <c r="O98" s="128">
        <v>15.0</v>
      </c>
      <c r="P98" s="123">
        <v>28.0</v>
      </c>
      <c r="Q98" s="125"/>
      <c r="R98" s="124"/>
    </row>
    <row r="99" ht="15.75" customHeight="1">
      <c r="A99" s="127"/>
      <c r="B99" s="122" t="s">
        <v>3040</v>
      </c>
      <c r="C99" s="128">
        <v>13.0</v>
      </c>
      <c r="D99" s="128">
        <v>1.0</v>
      </c>
      <c r="E99" s="129">
        <v>0.4965277777777778</v>
      </c>
      <c r="F99" s="129">
        <v>0.5243055555555556</v>
      </c>
      <c r="G99" s="26" t="s">
        <v>3114</v>
      </c>
      <c r="H99" s="20"/>
      <c r="I99" s="128">
        <v>70.0</v>
      </c>
      <c r="J99" s="128">
        <v>29.0</v>
      </c>
      <c r="K99" s="128">
        <v>39.0</v>
      </c>
      <c r="L99" s="128">
        <v>0.0</v>
      </c>
      <c r="M99" s="128">
        <v>7.0</v>
      </c>
      <c r="N99" s="123">
        <v>1.0</v>
      </c>
      <c r="O99" s="128">
        <v>34.0</v>
      </c>
      <c r="P99" s="123">
        <v>27.0</v>
      </c>
      <c r="Q99" s="125"/>
      <c r="R99" s="124"/>
    </row>
    <row r="100" ht="15.75" customHeight="1">
      <c r="A100" s="127"/>
      <c r="B100" s="122" t="s">
        <v>3006</v>
      </c>
      <c r="C100" s="128">
        <v>22.0</v>
      </c>
      <c r="D100" s="128" t="s">
        <v>2660</v>
      </c>
      <c r="E100" s="129">
        <v>0.53125</v>
      </c>
      <c r="F100" s="129">
        <v>0.06458333333333334</v>
      </c>
      <c r="G100" s="26" t="s">
        <v>3115</v>
      </c>
      <c r="H100" s="20"/>
      <c r="I100" s="128">
        <v>115.0</v>
      </c>
      <c r="J100" s="128">
        <v>51.0</v>
      </c>
      <c r="K100" s="128">
        <v>54.0</v>
      </c>
      <c r="L100" s="128">
        <v>7.0</v>
      </c>
      <c r="M100" s="128">
        <v>2.0</v>
      </c>
      <c r="N100" s="123">
        <v>2.0</v>
      </c>
      <c r="O100" s="128">
        <v>51.0</v>
      </c>
      <c r="P100" s="123">
        <v>52.0</v>
      </c>
      <c r="Q100" s="125"/>
      <c r="R100" s="124"/>
    </row>
    <row r="101" ht="15.75" customHeight="1">
      <c r="A101" s="127"/>
      <c r="B101" s="122" t="s">
        <v>3008</v>
      </c>
      <c r="C101" s="128">
        <v>21.0</v>
      </c>
      <c r="D101" s="128" t="s">
        <v>2663</v>
      </c>
      <c r="E101" s="129">
        <v>0.06944444444444445</v>
      </c>
      <c r="F101" s="129">
        <v>0.10277777777777777</v>
      </c>
      <c r="G101" s="26" t="s">
        <v>3116</v>
      </c>
      <c r="H101" s="20"/>
      <c r="I101" s="128">
        <v>89.0</v>
      </c>
      <c r="J101" s="128">
        <v>22.0</v>
      </c>
      <c r="K101" s="128">
        <v>34.0</v>
      </c>
      <c r="L101" s="128">
        <v>10.0</v>
      </c>
      <c r="M101" s="128">
        <v>6.0</v>
      </c>
      <c r="N101" s="123">
        <v>23.0</v>
      </c>
      <c r="O101" s="128">
        <v>20.0</v>
      </c>
      <c r="P101" s="123">
        <v>31.0</v>
      </c>
      <c r="Q101" s="125"/>
      <c r="R101" s="124"/>
    </row>
    <row r="102" ht="15.75" customHeight="1">
      <c r="A102" s="127"/>
      <c r="B102" s="122" t="s">
        <v>3009</v>
      </c>
      <c r="C102" s="128">
        <v>21.0</v>
      </c>
      <c r="D102" s="128" t="s">
        <v>2665</v>
      </c>
      <c r="E102" s="129">
        <v>0.1076388888888889</v>
      </c>
      <c r="F102" s="129">
        <v>0.14444444444444443</v>
      </c>
      <c r="G102" s="26" t="s">
        <v>3117</v>
      </c>
      <c r="H102" s="20" t="s">
        <v>3118</v>
      </c>
      <c r="I102" s="128">
        <v>81.0</v>
      </c>
      <c r="J102" s="128">
        <v>22.0</v>
      </c>
      <c r="K102" s="128">
        <v>32.0</v>
      </c>
      <c r="L102" s="128">
        <v>8.0</v>
      </c>
      <c r="M102" s="128">
        <v>4.0</v>
      </c>
      <c r="N102" s="123">
        <v>19.0</v>
      </c>
      <c r="O102" s="128">
        <v>34.0</v>
      </c>
      <c r="P102" s="123">
        <v>17.0</v>
      </c>
      <c r="Q102" s="125"/>
      <c r="R102" s="124"/>
    </row>
    <row r="103" ht="15.75" customHeight="1">
      <c r="A103" s="127"/>
      <c r="B103" s="122" t="s">
        <v>3040</v>
      </c>
      <c r="C103" s="128">
        <v>14.0</v>
      </c>
      <c r="D103" s="128" t="s">
        <v>2666</v>
      </c>
      <c r="E103" s="129">
        <v>0.15138888888888888</v>
      </c>
      <c r="F103" s="129">
        <v>0.1798611111111111</v>
      </c>
      <c r="G103" s="26" t="s">
        <v>3119</v>
      </c>
      <c r="H103" s="20"/>
      <c r="I103" s="128">
        <v>67.0</v>
      </c>
      <c r="J103" s="128">
        <v>35.0</v>
      </c>
      <c r="K103" s="128">
        <v>28.0</v>
      </c>
      <c r="L103" s="128">
        <v>3.0</v>
      </c>
      <c r="M103" s="128">
        <v>3.0</v>
      </c>
      <c r="N103" s="123">
        <v>0.0</v>
      </c>
      <c r="O103" s="128">
        <v>39.0</v>
      </c>
      <c r="P103" s="123">
        <v>22.0</v>
      </c>
      <c r="Q103" s="125"/>
      <c r="R103" s="124"/>
    </row>
    <row r="104" ht="15.75" customHeight="1">
      <c r="A104" s="127"/>
      <c r="B104" s="122"/>
      <c r="C104" s="128"/>
      <c r="D104" s="128" t="s">
        <v>2660</v>
      </c>
      <c r="E104" s="129"/>
      <c r="F104" s="129"/>
      <c r="G104" s="20"/>
      <c r="H104" s="20"/>
      <c r="I104" s="128"/>
      <c r="J104" s="128"/>
      <c r="K104" s="128"/>
      <c r="L104" s="128"/>
      <c r="M104" s="128"/>
      <c r="N104" s="123"/>
      <c r="O104" s="128"/>
      <c r="P104" s="123"/>
      <c r="Q104" s="125"/>
      <c r="R104" s="124"/>
    </row>
    <row r="105" ht="15.75" customHeight="1">
      <c r="A105" s="127">
        <v>45530.0</v>
      </c>
      <c r="B105" s="122" t="s">
        <v>3006</v>
      </c>
      <c r="C105" s="128">
        <v>23.0</v>
      </c>
      <c r="D105" s="128" t="s">
        <v>2663</v>
      </c>
      <c r="E105" s="129">
        <v>0.41180555555555554</v>
      </c>
      <c r="F105" s="129">
        <v>0.4409722222222222</v>
      </c>
      <c r="G105" s="26" t="s">
        <v>3120</v>
      </c>
      <c r="H105" s="20" t="s">
        <v>3121</v>
      </c>
      <c r="I105" s="128">
        <v>69.0</v>
      </c>
      <c r="J105" s="128">
        <v>11.0</v>
      </c>
      <c r="K105" s="128">
        <v>13.0</v>
      </c>
      <c r="L105" s="128">
        <v>2.0</v>
      </c>
      <c r="M105" s="128">
        <v>2.0</v>
      </c>
      <c r="N105" s="123">
        <v>42.0</v>
      </c>
      <c r="O105" s="128">
        <v>3.0</v>
      </c>
      <c r="P105" s="123">
        <v>19.0</v>
      </c>
      <c r="Q105" s="125"/>
      <c r="R105" s="124"/>
      <c r="S105" s="13" t="s">
        <v>3122</v>
      </c>
    </row>
    <row r="106" ht="15.75" customHeight="1">
      <c r="A106" s="127"/>
      <c r="B106" s="122" t="s">
        <v>3008</v>
      </c>
      <c r="C106" s="128">
        <v>22.0</v>
      </c>
      <c r="D106" s="128">
        <v>1.0</v>
      </c>
      <c r="E106" s="129">
        <v>0.4479166666666667</v>
      </c>
      <c r="F106" s="129">
        <v>0.43472222222222223</v>
      </c>
      <c r="G106" s="26" t="s">
        <v>3123</v>
      </c>
      <c r="H106" s="20"/>
      <c r="I106" s="128">
        <v>69.0</v>
      </c>
      <c r="J106" s="128">
        <v>28.0</v>
      </c>
      <c r="K106" s="128">
        <v>20.0</v>
      </c>
      <c r="L106" s="128">
        <v>7.0</v>
      </c>
      <c r="M106" s="128">
        <v>12.0</v>
      </c>
      <c r="N106" s="123">
        <v>13.0</v>
      </c>
      <c r="O106" s="128">
        <v>21.0</v>
      </c>
      <c r="P106" s="123">
        <v>16.0</v>
      </c>
      <c r="Q106" s="125"/>
      <c r="R106" s="124"/>
    </row>
    <row r="107" ht="15.75" customHeight="1">
      <c r="A107" s="127"/>
      <c r="B107" s="122" t="s">
        <v>3009</v>
      </c>
      <c r="C107" s="128">
        <v>22.0</v>
      </c>
      <c r="D107" s="128">
        <v>1.0</v>
      </c>
      <c r="E107" s="129">
        <v>0.4791666666666667</v>
      </c>
      <c r="F107" s="129">
        <v>0.5083333333333333</v>
      </c>
      <c r="G107" s="26" t="s">
        <v>3124</v>
      </c>
      <c r="H107" s="20" t="s">
        <v>3125</v>
      </c>
      <c r="I107" s="128">
        <v>65.0</v>
      </c>
      <c r="J107" s="128">
        <v>33.0</v>
      </c>
      <c r="K107" s="128">
        <v>26.0</v>
      </c>
      <c r="L107" s="128">
        <v>5.0</v>
      </c>
      <c r="M107" s="128">
        <v>6.0</v>
      </c>
      <c r="N107" s="123">
        <v>1.0</v>
      </c>
      <c r="O107" s="128">
        <v>20.0</v>
      </c>
      <c r="P107" s="123">
        <v>33.0</v>
      </c>
      <c r="Q107" s="125"/>
      <c r="R107" s="124"/>
    </row>
    <row r="108" ht="15.75" customHeight="1">
      <c r="A108" s="127"/>
      <c r="B108" s="122" t="s">
        <v>3040</v>
      </c>
      <c r="C108" s="128">
        <v>15.0</v>
      </c>
      <c r="D108" s="128">
        <v>1.0</v>
      </c>
      <c r="E108" s="129">
        <v>0.5118055555555555</v>
      </c>
      <c r="F108" s="129">
        <v>0.041666666666666664</v>
      </c>
      <c r="G108" s="26" t="s">
        <v>3126</v>
      </c>
      <c r="H108" s="20"/>
      <c r="I108" s="128">
        <v>71.0</v>
      </c>
      <c r="J108" s="128">
        <v>29.0</v>
      </c>
      <c r="K108" s="128">
        <v>39.0</v>
      </c>
      <c r="L108" s="128">
        <v>2.0</v>
      </c>
      <c r="M108" s="128">
        <v>4.0</v>
      </c>
      <c r="N108" s="123">
        <v>0.0</v>
      </c>
      <c r="O108" s="128">
        <v>26.0</v>
      </c>
      <c r="P108" s="123">
        <v>39.0</v>
      </c>
      <c r="Q108" s="125"/>
      <c r="R108" s="124"/>
    </row>
    <row r="109" ht="15.75" customHeight="1">
      <c r="A109" s="127"/>
      <c r="B109" s="122" t="s">
        <v>3006</v>
      </c>
      <c r="C109" s="128">
        <v>24.0</v>
      </c>
      <c r="D109" s="128">
        <v>2.0</v>
      </c>
      <c r="E109" s="129">
        <v>0.04513888888888889</v>
      </c>
      <c r="F109" s="129">
        <v>0.07430555555555556</v>
      </c>
      <c r="G109" s="26" t="s">
        <v>3127</v>
      </c>
      <c r="H109" s="20" t="s">
        <v>3128</v>
      </c>
      <c r="I109" s="128">
        <v>88.0</v>
      </c>
      <c r="J109" s="128">
        <v>30.0</v>
      </c>
      <c r="K109" s="128">
        <v>40.0</v>
      </c>
      <c r="L109" s="128">
        <v>2.0</v>
      </c>
      <c r="M109" s="128">
        <v>7.0</v>
      </c>
      <c r="N109" s="123">
        <v>15.0</v>
      </c>
      <c r="O109" s="128">
        <v>23.0</v>
      </c>
      <c r="P109" s="123">
        <v>41.0</v>
      </c>
      <c r="Q109" s="125"/>
      <c r="R109" s="124"/>
    </row>
    <row r="110" ht="15.75" customHeight="1">
      <c r="A110" s="127"/>
      <c r="B110" s="122" t="s">
        <v>3008</v>
      </c>
      <c r="C110" s="128">
        <v>23.0</v>
      </c>
      <c r="D110" s="128">
        <v>2.0</v>
      </c>
      <c r="E110" s="129">
        <v>0.0763888888888889</v>
      </c>
      <c r="F110" s="129">
        <v>0.10416666666666667</v>
      </c>
      <c r="G110" s="26" t="s">
        <v>3129</v>
      </c>
      <c r="H110" s="20"/>
      <c r="I110" s="128">
        <v>76.0</v>
      </c>
      <c r="J110" s="128">
        <v>25.0</v>
      </c>
      <c r="K110" s="128">
        <v>29.0</v>
      </c>
      <c r="L110" s="128">
        <v>1.0</v>
      </c>
      <c r="M110" s="128">
        <v>7.0</v>
      </c>
      <c r="N110" s="123">
        <v>21.0</v>
      </c>
      <c r="O110" s="128">
        <v>32.0</v>
      </c>
      <c r="P110" s="123">
        <v>18.0</v>
      </c>
      <c r="Q110" s="125"/>
      <c r="R110" s="124"/>
    </row>
    <row r="111" ht="15.75" customHeight="1">
      <c r="A111" s="127"/>
      <c r="B111" s="122" t="s">
        <v>3009</v>
      </c>
      <c r="C111" s="128">
        <v>23.0</v>
      </c>
      <c r="D111" s="128">
        <v>2.0</v>
      </c>
      <c r="E111" s="129">
        <v>0.1076388888888889</v>
      </c>
      <c r="F111" s="129">
        <v>0.13333333333333333</v>
      </c>
      <c r="G111" s="26" t="s">
        <v>3130</v>
      </c>
      <c r="H111" s="20"/>
      <c r="I111" s="128">
        <v>58.0</v>
      </c>
      <c r="J111" s="128">
        <v>18.0</v>
      </c>
      <c r="K111" s="128">
        <v>32.0</v>
      </c>
      <c r="L111" s="128">
        <v>3.0</v>
      </c>
      <c r="M111" s="128">
        <v>4.0</v>
      </c>
      <c r="N111" s="123">
        <v>4.0</v>
      </c>
      <c r="O111" s="128">
        <v>16.0</v>
      </c>
      <c r="P111" s="123">
        <v>31.0</v>
      </c>
      <c r="Q111" s="125"/>
      <c r="R111" s="124"/>
    </row>
    <row r="112" ht="15.75" customHeight="1">
      <c r="A112" s="127"/>
      <c r="B112" s="122" t="s">
        <v>3040</v>
      </c>
      <c r="C112" s="128">
        <v>16.0</v>
      </c>
      <c r="D112" s="128">
        <v>2.0</v>
      </c>
      <c r="E112" s="129">
        <v>0.13819444444444445</v>
      </c>
      <c r="F112" s="129">
        <v>0.15069444444444444</v>
      </c>
      <c r="G112" s="26" t="s">
        <v>3131</v>
      </c>
      <c r="H112" s="20"/>
      <c r="I112" s="128">
        <v>61.0</v>
      </c>
      <c r="J112" s="128">
        <v>24.0</v>
      </c>
      <c r="K112" s="128">
        <v>29.0</v>
      </c>
      <c r="L112" s="128">
        <v>8.0</v>
      </c>
      <c r="M112" s="128">
        <v>10.0</v>
      </c>
      <c r="N112" s="123">
        <v>0.0</v>
      </c>
      <c r="O112" s="128">
        <v>2.0</v>
      </c>
      <c r="P112" s="123">
        <v>41.0</v>
      </c>
      <c r="Q112" s="125"/>
      <c r="R112" s="124"/>
    </row>
    <row r="113" ht="39.0" customHeight="1">
      <c r="A113" s="127"/>
      <c r="B113" s="122" t="s">
        <v>3006</v>
      </c>
      <c r="C113" s="128">
        <v>25.0</v>
      </c>
      <c r="D113" s="128">
        <v>3.0</v>
      </c>
      <c r="E113" s="129">
        <v>0.1701388888888889</v>
      </c>
      <c r="F113" s="129">
        <v>0.19583333333333333</v>
      </c>
      <c r="G113" s="26" t="s">
        <v>3132</v>
      </c>
      <c r="H113" s="20"/>
      <c r="I113" s="128">
        <v>81.0</v>
      </c>
      <c r="J113" s="128">
        <v>20.0</v>
      </c>
      <c r="K113" s="128">
        <v>25.0</v>
      </c>
      <c r="L113" s="128">
        <v>3.0</v>
      </c>
      <c r="M113" s="128">
        <v>3.0</v>
      </c>
      <c r="N113" s="123">
        <v>32.0</v>
      </c>
      <c r="O113" s="128">
        <v>15.0</v>
      </c>
      <c r="P113" s="123">
        <v>27.0</v>
      </c>
      <c r="Q113" s="125"/>
      <c r="R113" s="124"/>
    </row>
    <row r="114" ht="15.75" customHeight="1">
      <c r="A114" s="127"/>
      <c r="B114" s="122"/>
      <c r="C114" s="128"/>
      <c r="D114" s="128"/>
      <c r="E114" s="129"/>
      <c r="F114" s="129"/>
      <c r="G114" s="20"/>
      <c r="H114" s="20"/>
      <c r="I114" s="128"/>
      <c r="J114" s="128"/>
      <c r="K114" s="128"/>
      <c r="L114" s="128"/>
      <c r="M114" s="128"/>
      <c r="N114" s="123"/>
      <c r="O114" s="128"/>
      <c r="P114" s="123"/>
      <c r="Q114" s="125"/>
      <c r="R114" s="124"/>
    </row>
    <row r="115" ht="15.75" customHeight="1">
      <c r="A115" s="127">
        <v>45531.0</v>
      </c>
      <c r="B115" s="122" t="s">
        <v>3006</v>
      </c>
      <c r="C115" s="128">
        <v>26.0</v>
      </c>
      <c r="D115" s="128">
        <v>1.0</v>
      </c>
      <c r="E115" s="129">
        <v>0.40347222222222223</v>
      </c>
      <c r="F115" s="129">
        <v>0.4305555555555556</v>
      </c>
      <c r="G115" s="26" t="s">
        <v>3133</v>
      </c>
      <c r="H115" s="20" t="s">
        <v>3134</v>
      </c>
      <c r="I115" s="128">
        <v>73.0</v>
      </c>
      <c r="J115" s="128">
        <v>27.0</v>
      </c>
      <c r="K115" s="128">
        <v>23.0</v>
      </c>
      <c r="L115" s="128">
        <v>4.0</v>
      </c>
      <c r="M115" s="128">
        <v>8.0</v>
      </c>
      <c r="N115" s="123">
        <v>19.0</v>
      </c>
      <c r="O115" s="128">
        <v>9.0</v>
      </c>
      <c r="P115" s="123">
        <v>33.0</v>
      </c>
      <c r="Q115" s="125"/>
      <c r="R115" s="124"/>
    </row>
    <row r="116" ht="15.75" customHeight="1">
      <c r="A116" s="127"/>
      <c r="B116" s="122" t="s">
        <v>3008</v>
      </c>
      <c r="C116" s="128">
        <v>24.0</v>
      </c>
      <c r="D116" s="128">
        <v>1.0</v>
      </c>
      <c r="E116" s="129">
        <v>0.4340277777777778</v>
      </c>
      <c r="F116" s="129">
        <v>0.46875</v>
      </c>
      <c r="G116" s="26" t="s">
        <v>3135</v>
      </c>
      <c r="H116" s="20" t="s">
        <v>3136</v>
      </c>
      <c r="I116" s="128">
        <v>85.0</v>
      </c>
      <c r="J116" s="128">
        <v>23.0</v>
      </c>
      <c r="K116" s="128">
        <v>28.0</v>
      </c>
      <c r="L116" s="128">
        <v>1.0</v>
      </c>
      <c r="M116" s="128">
        <v>7.0</v>
      </c>
      <c r="N116" s="123">
        <v>33.0</v>
      </c>
      <c r="O116" s="128">
        <v>5.0</v>
      </c>
      <c r="P116" s="123">
        <v>39.0</v>
      </c>
      <c r="Q116" s="125"/>
      <c r="R116" s="124"/>
    </row>
    <row r="117" ht="15.75" customHeight="1">
      <c r="A117" s="127"/>
      <c r="B117" s="122" t="s">
        <v>3009</v>
      </c>
      <c r="C117" s="128">
        <v>24.0</v>
      </c>
      <c r="D117" s="128">
        <v>1.0</v>
      </c>
      <c r="E117" s="129">
        <v>0.4722222222222222</v>
      </c>
      <c r="F117" s="129">
        <v>0.50625</v>
      </c>
      <c r="G117" s="26" t="s">
        <v>3137</v>
      </c>
      <c r="H117" s="20"/>
      <c r="I117" s="128">
        <v>60.0</v>
      </c>
      <c r="J117" s="128">
        <v>28.0</v>
      </c>
      <c r="K117" s="128">
        <v>29.0</v>
      </c>
      <c r="L117" s="128">
        <v>1.0</v>
      </c>
      <c r="M117" s="128">
        <v>6.0</v>
      </c>
      <c r="N117" s="123">
        <v>2.0</v>
      </c>
      <c r="O117" s="128">
        <v>30.0</v>
      </c>
      <c r="P117" s="123">
        <v>22.0</v>
      </c>
      <c r="Q117" s="125"/>
      <c r="R117" s="124"/>
    </row>
    <row r="118" ht="15.75" customHeight="1">
      <c r="A118" s="127"/>
      <c r="B118" s="122" t="s">
        <v>3040</v>
      </c>
      <c r="C118" s="128">
        <v>17.0</v>
      </c>
      <c r="D118" s="128">
        <v>1.0</v>
      </c>
      <c r="E118" s="129">
        <v>0.5104166666666666</v>
      </c>
      <c r="F118" s="129">
        <v>0.04652777777777778</v>
      </c>
      <c r="G118" s="26" t="s">
        <v>3138</v>
      </c>
      <c r="H118" s="20" t="s">
        <v>3139</v>
      </c>
      <c r="I118" s="128">
        <v>80.0</v>
      </c>
      <c r="J118" s="128">
        <v>37.0</v>
      </c>
      <c r="K118" s="128">
        <v>35.0</v>
      </c>
      <c r="L118" s="128">
        <v>7.0</v>
      </c>
      <c r="M118" s="128">
        <v>10.0</v>
      </c>
      <c r="N118" s="123">
        <v>1.0</v>
      </c>
      <c r="O118" s="128">
        <v>30.0</v>
      </c>
      <c r="P118" s="123">
        <v>31.0</v>
      </c>
      <c r="Q118" s="125"/>
      <c r="R118" s="124"/>
    </row>
    <row r="119" ht="15.75" customHeight="1">
      <c r="A119" s="127"/>
      <c r="B119" s="122" t="s">
        <v>3006</v>
      </c>
      <c r="C119" s="128">
        <v>27.0</v>
      </c>
      <c r="D119" s="128">
        <v>2.0</v>
      </c>
      <c r="E119" s="129">
        <v>0.05</v>
      </c>
      <c r="F119" s="129">
        <v>0.08333333333333333</v>
      </c>
      <c r="G119" s="26" t="s">
        <v>3140</v>
      </c>
      <c r="H119" s="20" t="s">
        <v>3141</v>
      </c>
      <c r="I119" s="128">
        <v>101.0</v>
      </c>
      <c r="J119" s="128">
        <v>29.0</v>
      </c>
      <c r="K119" s="128">
        <v>48.0</v>
      </c>
      <c r="L119" s="128">
        <v>2.0</v>
      </c>
      <c r="M119" s="128">
        <v>7.0</v>
      </c>
      <c r="N119" s="123">
        <v>22.0</v>
      </c>
      <c r="O119" s="128">
        <v>26.0</v>
      </c>
      <c r="P119" s="123">
        <v>44.0</v>
      </c>
      <c r="Q119" s="125"/>
      <c r="R119" s="124"/>
    </row>
    <row r="120" ht="15.75" customHeight="1">
      <c r="A120" s="127"/>
      <c r="B120" s="122" t="s">
        <v>3008</v>
      </c>
      <c r="C120" s="128">
        <v>25.0</v>
      </c>
      <c r="D120" s="128">
        <v>2.0</v>
      </c>
      <c r="E120" s="129">
        <v>0.08680555555555555</v>
      </c>
      <c r="F120" s="129">
        <v>0.11597222222222223</v>
      </c>
      <c r="G120" s="26" t="s">
        <v>3142</v>
      </c>
      <c r="H120" s="20" t="s">
        <v>3143</v>
      </c>
      <c r="I120" s="128">
        <v>75.0</v>
      </c>
      <c r="J120" s="128">
        <v>16.0</v>
      </c>
      <c r="K120" s="128">
        <v>38.0</v>
      </c>
      <c r="L120" s="128">
        <v>0.0</v>
      </c>
      <c r="M120" s="128">
        <v>6.0</v>
      </c>
      <c r="N120" s="123">
        <v>21.0</v>
      </c>
      <c r="O120" s="128">
        <v>13.0</v>
      </c>
      <c r="P120" s="123">
        <v>36.0</v>
      </c>
      <c r="Q120" s="125"/>
      <c r="R120" s="124"/>
    </row>
    <row r="121" ht="15.75" customHeight="1">
      <c r="A121" s="127"/>
      <c r="B121" s="122" t="s">
        <v>3009</v>
      </c>
      <c r="C121" s="128">
        <v>25.0</v>
      </c>
      <c r="D121" s="128">
        <v>2.0</v>
      </c>
      <c r="E121" s="129">
        <v>0.11944444444444445</v>
      </c>
      <c r="F121" s="129">
        <v>0.14791666666666667</v>
      </c>
      <c r="G121" s="26" t="s">
        <v>3144</v>
      </c>
      <c r="H121" s="20" t="s">
        <v>3145</v>
      </c>
      <c r="I121" s="128">
        <v>52.0</v>
      </c>
      <c r="J121" s="128">
        <v>19.0</v>
      </c>
      <c r="K121" s="128">
        <v>28.0</v>
      </c>
      <c r="L121" s="128">
        <v>3.0</v>
      </c>
      <c r="M121" s="128">
        <v>7.0</v>
      </c>
      <c r="N121" s="123">
        <v>2.0</v>
      </c>
      <c r="O121" s="128">
        <v>5.0</v>
      </c>
      <c r="P121" s="123">
        <v>35.0</v>
      </c>
      <c r="Q121" s="125"/>
      <c r="R121" s="124"/>
    </row>
    <row r="122" ht="15.75" customHeight="1">
      <c r="A122" s="127"/>
      <c r="B122" s="122" t="s">
        <v>3040</v>
      </c>
      <c r="C122" s="128">
        <v>18.0</v>
      </c>
      <c r="D122" s="128">
        <v>2.0</v>
      </c>
      <c r="E122" s="129">
        <v>0.1527777777777778</v>
      </c>
      <c r="F122" s="129">
        <v>0.18333333333333332</v>
      </c>
      <c r="G122" s="26" t="s">
        <v>3146</v>
      </c>
      <c r="H122" s="20"/>
      <c r="I122" s="128">
        <v>74.0</v>
      </c>
      <c r="J122" s="128">
        <v>39.0</v>
      </c>
      <c r="K122" s="128">
        <v>32.0</v>
      </c>
      <c r="L122" s="128">
        <v>2.0</v>
      </c>
      <c r="M122" s="128">
        <v>10.0</v>
      </c>
      <c r="N122" s="123">
        <v>1.0</v>
      </c>
      <c r="O122" s="128">
        <v>15.0</v>
      </c>
      <c r="P122" s="123">
        <v>46.0</v>
      </c>
      <c r="Q122" s="125"/>
      <c r="R122" s="124"/>
    </row>
    <row r="123" ht="15.75" customHeight="1">
      <c r="A123" s="127"/>
      <c r="B123" s="122"/>
      <c r="C123" s="128"/>
      <c r="D123" s="128"/>
      <c r="E123" s="129"/>
      <c r="F123" s="129"/>
      <c r="G123" s="20"/>
      <c r="H123" s="20"/>
      <c r="I123" s="128"/>
      <c r="J123" s="128"/>
      <c r="K123" s="128"/>
      <c r="L123" s="128"/>
      <c r="M123" s="128"/>
      <c r="N123" s="123"/>
      <c r="O123" s="128"/>
      <c r="P123" s="123"/>
      <c r="Q123" s="125"/>
      <c r="R123" s="124"/>
    </row>
    <row r="124" ht="15.75" customHeight="1">
      <c r="A124" s="127">
        <v>45532.0</v>
      </c>
      <c r="B124" s="122" t="s">
        <v>3006</v>
      </c>
      <c r="C124" s="128">
        <v>28.0</v>
      </c>
      <c r="D124" s="128">
        <v>1.0</v>
      </c>
      <c r="E124" s="129">
        <v>0.37777777777777777</v>
      </c>
      <c r="F124" s="129">
        <v>0.4131944444444444</v>
      </c>
      <c r="G124" s="26" t="s">
        <v>3147</v>
      </c>
      <c r="H124" s="20" t="s">
        <v>3148</v>
      </c>
      <c r="I124" s="128">
        <v>103.0</v>
      </c>
      <c r="J124" s="128">
        <v>34.0</v>
      </c>
      <c r="K124" s="128">
        <v>42.0</v>
      </c>
      <c r="L124" s="128">
        <v>5.0</v>
      </c>
      <c r="M124" s="128">
        <v>4.0</v>
      </c>
      <c r="N124" s="123">
        <v>21.0</v>
      </c>
      <c r="O124" s="128">
        <v>37.0</v>
      </c>
      <c r="P124" s="123">
        <v>35.0</v>
      </c>
      <c r="Q124" s="125"/>
      <c r="R124" s="124"/>
    </row>
    <row r="125" ht="15.75" customHeight="1">
      <c r="A125" s="127"/>
      <c r="B125" s="122" t="s">
        <v>3008</v>
      </c>
      <c r="C125" s="128">
        <v>26.0</v>
      </c>
      <c r="D125" s="128">
        <v>1.0</v>
      </c>
      <c r="E125" s="129">
        <v>0.4166666666666667</v>
      </c>
      <c r="F125" s="129">
        <v>0.4513888888888889</v>
      </c>
      <c r="G125" s="26" t="s">
        <v>3149</v>
      </c>
      <c r="H125" s="20" t="s">
        <v>3150</v>
      </c>
      <c r="I125" s="13">
        <v>88.0</v>
      </c>
      <c r="J125" s="128">
        <v>40.0</v>
      </c>
      <c r="K125" s="128">
        <v>37.0</v>
      </c>
      <c r="L125" s="128">
        <v>0.0</v>
      </c>
      <c r="M125" s="128">
        <v>7.0</v>
      </c>
      <c r="N125" s="128">
        <v>10.0</v>
      </c>
      <c r="O125" s="128">
        <v>36.0</v>
      </c>
      <c r="P125" s="123">
        <v>37.0</v>
      </c>
      <c r="Q125" s="125"/>
      <c r="R125" s="124"/>
    </row>
    <row r="126" ht="15.75" customHeight="1">
      <c r="A126" s="127"/>
      <c r="B126" s="122" t="s">
        <v>3009</v>
      </c>
      <c r="C126" s="128">
        <v>26.0</v>
      </c>
      <c r="D126" s="128">
        <v>1.0</v>
      </c>
      <c r="E126" s="129">
        <v>0.4548611111111111</v>
      </c>
      <c r="F126" s="129">
        <v>0.4861111111111111</v>
      </c>
      <c r="G126" s="26" t="s">
        <v>3151</v>
      </c>
      <c r="H126" s="20" t="s">
        <v>3152</v>
      </c>
      <c r="I126" s="128">
        <v>59.0</v>
      </c>
      <c r="J126" s="128">
        <v>23.0</v>
      </c>
      <c r="K126" s="128">
        <v>34.0</v>
      </c>
      <c r="L126" s="128">
        <v>2.0</v>
      </c>
      <c r="M126" s="128">
        <v>11.0</v>
      </c>
      <c r="N126" s="123">
        <v>0.0</v>
      </c>
      <c r="O126" s="128">
        <v>17.0</v>
      </c>
      <c r="P126" s="123">
        <v>28.0</v>
      </c>
      <c r="Q126" s="125"/>
      <c r="R126" s="124"/>
    </row>
    <row r="127" ht="15.75" customHeight="1">
      <c r="A127" s="127"/>
      <c r="B127" s="122" t="s">
        <v>3040</v>
      </c>
      <c r="C127" s="128">
        <v>19.0</v>
      </c>
      <c r="D127" s="128">
        <v>1.0</v>
      </c>
      <c r="E127" s="129">
        <v>0.4888888888888889</v>
      </c>
      <c r="F127" s="129">
        <v>0.5173611111111112</v>
      </c>
      <c r="G127" s="26" t="s">
        <v>3153</v>
      </c>
      <c r="H127" s="20" t="s">
        <v>3154</v>
      </c>
      <c r="I127" s="128">
        <v>64.0</v>
      </c>
      <c r="J127" s="128">
        <v>31.0</v>
      </c>
      <c r="K127" s="128">
        <v>30.0</v>
      </c>
      <c r="L127" s="128">
        <v>1.0</v>
      </c>
      <c r="M127" s="128">
        <v>2.0</v>
      </c>
      <c r="N127" s="123">
        <v>1.0</v>
      </c>
      <c r="O127" s="128">
        <v>38.0</v>
      </c>
      <c r="P127" s="123">
        <v>21.0</v>
      </c>
      <c r="Q127" s="125"/>
      <c r="R127" s="124"/>
    </row>
    <row r="128" ht="15.75" customHeight="1">
      <c r="A128" s="127"/>
      <c r="B128" s="122" t="s">
        <v>3006</v>
      </c>
      <c r="C128" s="128">
        <v>29.0</v>
      </c>
      <c r="D128" s="128">
        <v>2.0</v>
      </c>
      <c r="E128" s="129">
        <v>0.525</v>
      </c>
      <c r="F128" s="129">
        <v>0.05555555555555555</v>
      </c>
      <c r="G128" s="34" t="s">
        <v>3155</v>
      </c>
      <c r="H128" s="20" t="s">
        <v>3156</v>
      </c>
      <c r="I128" s="128">
        <v>86.0</v>
      </c>
      <c r="J128" s="128">
        <v>27.0</v>
      </c>
      <c r="K128" s="128">
        <v>28.0</v>
      </c>
      <c r="L128" s="128">
        <v>3.0</v>
      </c>
      <c r="M128" s="128">
        <v>4.0</v>
      </c>
      <c r="N128" s="123">
        <v>27.0</v>
      </c>
      <c r="O128" s="128">
        <v>10.0</v>
      </c>
      <c r="P128" s="123">
        <v>41.0</v>
      </c>
      <c r="Q128" s="125"/>
      <c r="R128" s="124"/>
      <c r="S128" s="140"/>
    </row>
    <row r="129" ht="15.75" customHeight="1">
      <c r="A129" s="127"/>
      <c r="B129" s="122" t="s">
        <v>3008</v>
      </c>
      <c r="C129" s="128">
        <v>27.0</v>
      </c>
      <c r="D129" s="128">
        <v>2.0</v>
      </c>
      <c r="E129" s="129">
        <v>0.058333333333333334</v>
      </c>
      <c r="F129" s="129">
        <v>0.09097222222222222</v>
      </c>
      <c r="G129" s="34" t="s">
        <v>3157</v>
      </c>
      <c r="H129" s="20" t="s">
        <v>3158</v>
      </c>
      <c r="I129" s="128">
        <v>93.0</v>
      </c>
      <c r="J129" s="128">
        <v>40.0</v>
      </c>
      <c r="K129" s="128">
        <v>48.0</v>
      </c>
      <c r="L129" s="128">
        <v>1.0</v>
      </c>
      <c r="M129" s="128">
        <v>8.0</v>
      </c>
      <c r="N129" s="123">
        <v>3.0</v>
      </c>
      <c r="O129" s="128">
        <v>19.0</v>
      </c>
      <c r="P129" s="123">
        <v>63.0</v>
      </c>
      <c r="Q129" s="125"/>
      <c r="R129" s="124"/>
      <c r="S129" s="140"/>
    </row>
    <row r="130" ht="15.75" customHeight="1">
      <c r="A130" s="127"/>
      <c r="B130" s="122" t="s">
        <v>3009</v>
      </c>
      <c r="C130" s="128">
        <v>27.0</v>
      </c>
      <c r="D130" s="128">
        <v>2.0</v>
      </c>
      <c r="E130" s="129">
        <v>0.09375</v>
      </c>
      <c r="F130" s="129">
        <v>0.1388888888888889</v>
      </c>
      <c r="G130" s="34" t="s">
        <v>3159</v>
      </c>
      <c r="H130" s="20" t="s">
        <v>3160</v>
      </c>
      <c r="I130" s="128">
        <v>92.0</v>
      </c>
      <c r="J130" s="128">
        <v>36.0</v>
      </c>
      <c r="K130" s="128">
        <v>51.0</v>
      </c>
      <c r="L130" s="128">
        <v>3.0</v>
      </c>
      <c r="M130" s="128">
        <v>11.0</v>
      </c>
      <c r="N130" s="123">
        <v>1.0</v>
      </c>
      <c r="O130" s="128">
        <v>23.0</v>
      </c>
      <c r="P130" s="123">
        <v>54.0</v>
      </c>
      <c r="Q130" s="125"/>
      <c r="R130" s="124"/>
      <c r="S130" s="140"/>
    </row>
    <row r="131" ht="15.75" customHeight="1">
      <c r="A131" s="127"/>
      <c r="B131" s="122" t="s">
        <v>3040</v>
      </c>
      <c r="C131" s="128">
        <v>20.0</v>
      </c>
      <c r="D131" s="128">
        <v>2.0</v>
      </c>
      <c r="E131" s="129">
        <v>0.1423611111111111</v>
      </c>
      <c r="F131" s="129">
        <v>0.17222222222222222</v>
      </c>
      <c r="G131" s="34" t="s">
        <v>3161</v>
      </c>
      <c r="H131" s="20" t="s">
        <v>3162</v>
      </c>
      <c r="I131" s="128">
        <v>61.0</v>
      </c>
      <c r="J131" s="128">
        <v>34.0</v>
      </c>
      <c r="K131" s="128">
        <v>24.0</v>
      </c>
      <c r="L131" s="128">
        <v>3.0</v>
      </c>
      <c r="M131" s="128">
        <v>11.0</v>
      </c>
      <c r="N131" s="123">
        <v>0.0</v>
      </c>
      <c r="O131" s="128">
        <v>4.0</v>
      </c>
      <c r="P131" s="123">
        <v>44.0</v>
      </c>
      <c r="Q131" s="125"/>
      <c r="R131" s="124"/>
      <c r="S131" s="140"/>
    </row>
    <row r="132" ht="15.75" customHeight="1">
      <c r="A132" s="127"/>
      <c r="B132" s="122"/>
      <c r="C132" s="128"/>
      <c r="D132" s="128"/>
      <c r="E132" s="129"/>
      <c r="F132" s="129"/>
      <c r="G132" s="20"/>
      <c r="H132" s="20"/>
      <c r="I132" s="128"/>
      <c r="J132" s="128"/>
      <c r="K132" s="128"/>
      <c r="L132" s="128"/>
      <c r="M132" s="128"/>
      <c r="N132" s="123"/>
      <c r="O132" s="128"/>
      <c r="P132" s="123"/>
      <c r="Q132" s="125"/>
      <c r="R132" s="124"/>
      <c r="S132" s="140"/>
    </row>
    <row r="133" ht="15.75" customHeight="1">
      <c r="A133" s="127">
        <v>45533.0</v>
      </c>
      <c r="B133" s="122" t="s">
        <v>3006</v>
      </c>
      <c r="C133" s="128">
        <v>30.0</v>
      </c>
      <c r="D133" s="128">
        <v>1.0</v>
      </c>
      <c r="E133" s="129">
        <v>0.4375</v>
      </c>
      <c r="F133" s="129">
        <v>0.4722222222222222</v>
      </c>
      <c r="G133" s="34" t="s">
        <v>3163</v>
      </c>
      <c r="H133" s="20" t="s">
        <v>3164</v>
      </c>
      <c r="I133" s="128">
        <v>109.0</v>
      </c>
      <c r="J133" s="128">
        <v>49.0</v>
      </c>
      <c r="K133" s="128">
        <v>41.0</v>
      </c>
      <c r="L133" s="128">
        <v>2.0</v>
      </c>
      <c r="M133" s="128">
        <v>12.0</v>
      </c>
      <c r="N133" s="123">
        <v>16.0</v>
      </c>
      <c r="O133" s="128">
        <v>26.0</v>
      </c>
      <c r="P133" s="123">
        <v>53.0</v>
      </c>
      <c r="Q133" s="125"/>
      <c r="R133" s="124"/>
      <c r="S133" s="140"/>
    </row>
    <row r="134" ht="15.75" customHeight="1">
      <c r="A134" s="127"/>
      <c r="B134" s="122" t="s">
        <v>3008</v>
      </c>
      <c r="C134" s="128">
        <v>28.0</v>
      </c>
      <c r="D134" s="128">
        <v>1.0</v>
      </c>
      <c r="E134" s="129">
        <v>0.4756944444444444</v>
      </c>
      <c r="F134" s="129">
        <v>0.5041666666666667</v>
      </c>
      <c r="G134" s="34" t="s">
        <v>3165</v>
      </c>
      <c r="H134" s="20" t="s">
        <v>3166</v>
      </c>
      <c r="I134" s="128">
        <v>74.0</v>
      </c>
      <c r="J134" s="128">
        <v>40.0</v>
      </c>
      <c r="K134" s="128">
        <v>31.0</v>
      </c>
      <c r="L134" s="128">
        <v>0.0</v>
      </c>
      <c r="M134" s="128">
        <v>6.0</v>
      </c>
      <c r="N134" s="123">
        <v>3.0</v>
      </c>
      <c r="O134" s="128">
        <v>16.0</v>
      </c>
      <c r="P134" s="123">
        <v>48.0</v>
      </c>
      <c r="Q134" s="125"/>
      <c r="R134" s="124"/>
      <c r="S134" s="140"/>
    </row>
    <row r="135" ht="15.75" customHeight="1">
      <c r="A135" s="127"/>
      <c r="B135" s="122" t="s">
        <v>3009</v>
      </c>
      <c r="C135" s="128">
        <v>28.0</v>
      </c>
      <c r="D135" s="128">
        <v>1.0</v>
      </c>
      <c r="E135" s="129">
        <v>0.5090277777777777</v>
      </c>
      <c r="F135" s="129">
        <v>0.5368055555555555</v>
      </c>
      <c r="G135" s="34" t="s">
        <v>3167</v>
      </c>
      <c r="H135" s="20" t="s">
        <v>3168</v>
      </c>
      <c r="I135" s="128">
        <v>54.0</v>
      </c>
      <c r="J135" s="128">
        <v>27.0</v>
      </c>
      <c r="K135" s="128">
        <v>26.0</v>
      </c>
      <c r="L135" s="128">
        <v>0.0</v>
      </c>
      <c r="M135" s="128">
        <v>5.0</v>
      </c>
      <c r="N135" s="123">
        <v>1.0</v>
      </c>
      <c r="O135" s="128">
        <v>17.0</v>
      </c>
      <c r="P135" s="123">
        <v>31.0</v>
      </c>
      <c r="Q135" s="125"/>
      <c r="R135" s="124"/>
      <c r="S135" s="140"/>
    </row>
    <row r="136" ht="15.75" customHeight="1">
      <c r="A136" s="127"/>
      <c r="B136" s="122" t="s">
        <v>3040</v>
      </c>
      <c r="C136" s="128">
        <v>21.0</v>
      </c>
      <c r="D136" s="128">
        <v>1.0</v>
      </c>
      <c r="E136" s="129">
        <v>0.041666666666666664</v>
      </c>
      <c r="F136" s="129">
        <v>0.07430555555555556</v>
      </c>
      <c r="G136" s="34" t="s">
        <v>3169</v>
      </c>
      <c r="H136" s="20" t="s">
        <v>3170</v>
      </c>
      <c r="I136" s="128">
        <v>56.0</v>
      </c>
      <c r="J136" s="128">
        <v>22.0</v>
      </c>
      <c r="K136" s="128">
        <v>26.0</v>
      </c>
      <c r="L136" s="128">
        <v>8.0</v>
      </c>
      <c r="M136" s="128">
        <v>9.0</v>
      </c>
      <c r="N136" s="123">
        <v>0.0</v>
      </c>
      <c r="O136" s="128">
        <v>8.0</v>
      </c>
      <c r="P136" s="123">
        <v>30.0</v>
      </c>
      <c r="Q136" s="125"/>
      <c r="R136" s="124"/>
      <c r="S136" s="140"/>
    </row>
    <row r="137" ht="15.75" customHeight="1">
      <c r="A137" s="127"/>
      <c r="B137" s="122" t="s">
        <v>3006</v>
      </c>
      <c r="C137" s="128">
        <v>31.0</v>
      </c>
      <c r="D137" s="128">
        <v>2.0</v>
      </c>
      <c r="E137" s="129">
        <v>0.07916666666666666</v>
      </c>
      <c r="F137" s="129">
        <v>0.1076388888888889</v>
      </c>
      <c r="G137" s="34" t="s">
        <v>3171</v>
      </c>
      <c r="H137" s="20" t="s">
        <v>3172</v>
      </c>
      <c r="I137" s="128">
        <v>83.0</v>
      </c>
      <c r="J137" s="128">
        <v>27.0</v>
      </c>
      <c r="K137" s="128">
        <v>31.0</v>
      </c>
      <c r="L137" s="128">
        <v>6.0</v>
      </c>
      <c r="M137" s="128">
        <v>8.0</v>
      </c>
      <c r="N137" s="123">
        <v>19.0</v>
      </c>
      <c r="O137" s="128">
        <v>9.0</v>
      </c>
      <c r="P137" s="123">
        <v>40.0</v>
      </c>
      <c r="Q137" s="125"/>
      <c r="R137" s="124"/>
      <c r="S137" s="140"/>
    </row>
    <row r="138" ht="15.75" customHeight="1">
      <c r="A138" s="127"/>
      <c r="B138" s="122" t="s">
        <v>3008</v>
      </c>
      <c r="C138" s="128">
        <v>29.0</v>
      </c>
      <c r="D138" s="128">
        <v>2.0</v>
      </c>
      <c r="E138" s="129">
        <v>0.11319444444444444</v>
      </c>
      <c r="F138" s="129">
        <v>0.14166666666666666</v>
      </c>
      <c r="G138" s="34" t="s">
        <v>3173</v>
      </c>
      <c r="H138" s="20" t="s">
        <v>3174</v>
      </c>
      <c r="I138" s="128">
        <v>86.0</v>
      </c>
      <c r="J138" s="128">
        <v>46.0</v>
      </c>
      <c r="K138" s="128">
        <v>36.0</v>
      </c>
      <c r="L138" s="128">
        <v>1.0</v>
      </c>
      <c r="M138" s="128">
        <v>7.0</v>
      </c>
      <c r="N138" s="123">
        <v>3.0</v>
      </c>
      <c r="O138" s="128">
        <v>28.0</v>
      </c>
      <c r="P138" s="123">
        <v>46.0</v>
      </c>
      <c r="Q138" s="125"/>
      <c r="R138" s="124"/>
      <c r="S138" s="140"/>
    </row>
    <row r="139" ht="15.75" customHeight="1">
      <c r="A139" s="127"/>
      <c r="B139" s="122" t="s">
        <v>3009</v>
      </c>
      <c r="C139" s="128">
        <v>29.0</v>
      </c>
      <c r="D139" s="128">
        <v>2.0</v>
      </c>
      <c r="E139" s="129">
        <v>0.14791666666666667</v>
      </c>
      <c r="F139" s="129">
        <v>0.17777777777777778</v>
      </c>
      <c r="G139" s="34" t="s">
        <v>3175</v>
      </c>
      <c r="H139" s="20" t="s">
        <v>3176</v>
      </c>
      <c r="I139" s="128">
        <v>60.0</v>
      </c>
      <c r="J139" s="128">
        <v>27.0</v>
      </c>
      <c r="K139" s="128">
        <v>30.0</v>
      </c>
      <c r="L139" s="128">
        <v>1.0</v>
      </c>
      <c r="M139" s="128">
        <v>6.0</v>
      </c>
      <c r="N139" s="123">
        <v>1.0</v>
      </c>
      <c r="O139" s="128">
        <v>18.0</v>
      </c>
      <c r="P139" s="123">
        <v>33.0</v>
      </c>
      <c r="Q139" s="125"/>
      <c r="R139" s="124"/>
      <c r="S139" s="140"/>
    </row>
    <row r="140" ht="15.75" customHeight="1">
      <c r="A140" s="127"/>
      <c r="B140" s="122" t="s">
        <v>3040</v>
      </c>
      <c r="C140" s="128">
        <v>22.0</v>
      </c>
      <c r="D140" s="128">
        <v>2.0</v>
      </c>
      <c r="E140" s="129">
        <v>0.18263888888888888</v>
      </c>
      <c r="F140" s="129">
        <v>0.21388888888888888</v>
      </c>
      <c r="G140" s="34" t="s">
        <v>3177</v>
      </c>
      <c r="H140" s="20" t="s">
        <v>3178</v>
      </c>
      <c r="I140" s="128">
        <v>40.0</v>
      </c>
      <c r="J140" s="128">
        <v>16.0</v>
      </c>
      <c r="K140" s="128">
        <v>22.0</v>
      </c>
      <c r="L140" s="128">
        <v>2.0</v>
      </c>
      <c r="M140" s="128">
        <v>13.0</v>
      </c>
      <c r="N140" s="123">
        <v>0.0</v>
      </c>
      <c r="O140" s="128">
        <v>7.0</v>
      </c>
      <c r="P140" s="123">
        <v>19.0</v>
      </c>
      <c r="Q140" s="125"/>
      <c r="R140" s="124"/>
      <c r="S140" s="140"/>
    </row>
    <row r="141" ht="15.75" customHeight="1">
      <c r="A141" s="127"/>
      <c r="B141" s="122"/>
      <c r="C141" s="128"/>
      <c r="D141" s="128"/>
      <c r="E141" s="129"/>
      <c r="F141" s="129"/>
      <c r="G141" s="20"/>
      <c r="H141" s="20"/>
      <c r="I141" s="128"/>
      <c r="J141" s="128"/>
      <c r="K141" s="128"/>
      <c r="L141" s="128"/>
      <c r="M141" s="128"/>
      <c r="N141" s="123"/>
      <c r="O141" s="128"/>
      <c r="P141" s="123"/>
      <c r="Q141" s="125"/>
      <c r="R141" s="124"/>
      <c r="S141" s="140"/>
    </row>
    <row r="142" ht="15.75" customHeight="1">
      <c r="A142" s="127">
        <v>45534.0</v>
      </c>
      <c r="B142" s="122" t="s">
        <v>3006</v>
      </c>
      <c r="C142" s="128">
        <v>31.0</v>
      </c>
      <c r="D142" s="128">
        <v>1.0</v>
      </c>
      <c r="E142" s="129">
        <v>0.38680555555555557</v>
      </c>
      <c r="F142" s="129">
        <v>0.4166666666666667</v>
      </c>
      <c r="G142" s="34" t="s">
        <v>3179</v>
      </c>
      <c r="H142" s="20" t="s">
        <v>3180</v>
      </c>
      <c r="I142" s="128">
        <v>86.0</v>
      </c>
      <c r="J142" s="128">
        <v>40.0</v>
      </c>
      <c r="K142" s="128">
        <v>36.0</v>
      </c>
      <c r="L142" s="128">
        <v>3.0</v>
      </c>
      <c r="M142" s="128">
        <v>11.0</v>
      </c>
      <c r="N142" s="123">
        <v>7.0</v>
      </c>
      <c r="O142" s="128">
        <v>22.0</v>
      </c>
      <c r="P142" s="123">
        <v>43.0</v>
      </c>
      <c r="Q142" s="125"/>
      <c r="R142" s="124"/>
      <c r="S142" s="140"/>
    </row>
    <row r="143" ht="15.75" customHeight="1">
      <c r="A143" s="127"/>
      <c r="B143" s="122" t="s">
        <v>3008</v>
      </c>
      <c r="C143" s="128">
        <v>29.0</v>
      </c>
      <c r="D143" s="128">
        <v>1.0</v>
      </c>
      <c r="E143" s="129">
        <v>0.4201388888888889</v>
      </c>
      <c r="F143" s="129">
        <v>0.4513888888888889</v>
      </c>
      <c r="G143" s="34" t="s">
        <v>3181</v>
      </c>
      <c r="H143" s="20" t="s">
        <v>3182</v>
      </c>
      <c r="I143" s="128">
        <v>88.0</v>
      </c>
      <c r="J143" s="128">
        <v>40.0</v>
      </c>
      <c r="K143" s="128">
        <v>43.0</v>
      </c>
      <c r="L143" s="128">
        <v>3.0</v>
      </c>
      <c r="M143" s="128">
        <v>4.0</v>
      </c>
      <c r="N143" s="123">
        <v>2.0</v>
      </c>
      <c r="O143" s="128">
        <v>25.0</v>
      </c>
      <c r="P143" s="123">
        <v>54.0</v>
      </c>
      <c r="Q143" s="125"/>
      <c r="R143" s="124"/>
      <c r="S143" s="140"/>
    </row>
    <row r="144" ht="15.75" customHeight="1">
      <c r="A144" s="127"/>
      <c r="B144" s="122" t="s">
        <v>3009</v>
      </c>
      <c r="C144" s="128">
        <v>29.0</v>
      </c>
      <c r="D144" s="128">
        <v>1.0</v>
      </c>
      <c r="E144" s="129">
        <v>0.4548611111111111</v>
      </c>
      <c r="F144" s="129">
        <v>0.4847222222222222</v>
      </c>
      <c r="G144" s="34" t="s">
        <v>3183</v>
      </c>
      <c r="H144" s="20" t="s">
        <v>3184</v>
      </c>
      <c r="I144" s="128">
        <v>53.0</v>
      </c>
      <c r="J144" s="128">
        <v>32.0</v>
      </c>
      <c r="K144" s="128">
        <v>20.0</v>
      </c>
      <c r="L144" s="128">
        <v>0.0</v>
      </c>
      <c r="M144" s="128">
        <v>10.0</v>
      </c>
      <c r="N144" s="123">
        <v>0.0</v>
      </c>
      <c r="O144" s="128">
        <v>3.0</v>
      </c>
      <c r="P144" s="123">
        <v>40.0</v>
      </c>
      <c r="Q144" s="125"/>
      <c r="R144" s="124"/>
      <c r="S144" s="140"/>
    </row>
    <row r="145" ht="15.75" customHeight="1">
      <c r="A145" s="127"/>
      <c r="B145" s="122" t="s">
        <v>3040</v>
      </c>
      <c r="C145" s="128">
        <v>22.0</v>
      </c>
      <c r="D145" s="128">
        <v>1.0</v>
      </c>
      <c r="E145" s="129">
        <v>0.4888888888888889</v>
      </c>
      <c r="F145" s="129">
        <v>0.51875</v>
      </c>
      <c r="G145" s="34" t="s">
        <v>3185</v>
      </c>
      <c r="H145" s="20" t="s">
        <v>3186</v>
      </c>
      <c r="I145" s="128">
        <v>47.0</v>
      </c>
      <c r="J145" s="128">
        <v>18.0</v>
      </c>
      <c r="K145" s="128">
        <v>22.0</v>
      </c>
      <c r="L145" s="128">
        <v>5.0</v>
      </c>
      <c r="M145" s="128">
        <v>8.0</v>
      </c>
      <c r="N145" s="123">
        <v>1.0</v>
      </c>
      <c r="O145" s="128">
        <v>16.0</v>
      </c>
      <c r="P145" s="123">
        <v>17.0</v>
      </c>
      <c r="Q145" s="125"/>
      <c r="R145" s="124"/>
      <c r="S145" s="140"/>
    </row>
    <row r="146" ht="15.75" customHeight="1">
      <c r="A146" s="127"/>
      <c r="B146" s="122" t="s">
        <v>3006</v>
      </c>
      <c r="C146" s="128">
        <v>32.0</v>
      </c>
      <c r="D146" s="128">
        <v>2.0</v>
      </c>
      <c r="E146" s="129">
        <v>0.5215277777777778</v>
      </c>
      <c r="F146" s="129">
        <v>0.04861111111111111</v>
      </c>
      <c r="G146" s="34" t="s">
        <v>3187</v>
      </c>
      <c r="H146" s="20" t="s">
        <v>3188</v>
      </c>
      <c r="I146" s="128">
        <v>89.0</v>
      </c>
      <c r="J146" s="128">
        <v>40.0</v>
      </c>
      <c r="K146" s="128">
        <v>37.0</v>
      </c>
      <c r="L146" s="128">
        <v>3.0</v>
      </c>
      <c r="M146" s="128">
        <v>3.0</v>
      </c>
      <c r="N146" s="123">
        <v>9.0</v>
      </c>
      <c r="O146" s="128">
        <v>31.0</v>
      </c>
      <c r="P146" s="123">
        <v>43.0</v>
      </c>
      <c r="Q146" s="125"/>
      <c r="R146" s="124"/>
      <c r="S146" s="140"/>
    </row>
    <row r="147" ht="15.75" customHeight="1">
      <c r="A147" s="127"/>
      <c r="B147" s="122" t="s">
        <v>3008</v>
      </c>
      <c r="C147" s="128">
        <v>30.0</v>
      </c>
      <c r="D147" s="128">
        <v>2.0</v>
      </c>
      <c r="E147" s="129">
        <v>0.05277777777777778</v>
      </c>
      <c r="F147" s="129">
        <v>0.08611111111111111</v>
      </c>
      <c r="G147" s="34" t="s">
        <v>3189</v>
      </c>
      <c r="H147" s="20" t="s">
        <v>3190</v>
      </c>
      <c r="I147" s="128">
        <v>99.0</v>
      </c>
      <c r="J147" s="128">
        <v>47.0</v>
      </c>
      <c r="K147" s="128">
        <v>49.0</v>
      </c>
      <c r="L147" s="128">
        <v>0.0</v>
      </c>
      <c r="M147" s="128">
        <v>6.0</v>
      </c>
      <c r="N147" s="123">
        <v>2.0</v>
      </c>
      <c r="O147" s="128">
        <v>40.0</v>
      </c>
      <c r="P147" s="123">
        <v>52.0</v>
      </c>
      <c r="Q147" s="125"/>
      <c r="R147" s="124"/>
      <c r="S147" s="140"/>
    </row>
    <row r="148" ht="15.75" customHeight="1">
      <c r="A148" s="127"/>
      <c r="B148" s="122" t="s">
        <v>3009</v>
      </c>
      <c r="C148" s="128">
        <v>30.0</v>
      </c>
      <c r="D148" s="128">
        <v>2.0</v>
      </c>
      <c r="E148" s="129">
        <v>0.08958333333333333</v>
      </c>
      <c r="F148" s="129">
        <v>0.11805555555555555</v>
      </c>
      <c r="G148" s="34" t="s">
        <v>3191</v>
      </c>
      <c r="H148" s="20" t="s">
        <v>3192</v>
      </c>
      <c r="I148" s="128">
        <v>49.0</v>
      </c>
      <c r="J148" s="128">
        <v>23.0</v>
      </c>
      <c r="K148" s="128">
        <v>26.0</v>
      </c>
      <c r="L148" s="128">
        <v>0.0</v>
      </c>
      <c r="M148" s="128">
        <v>5.0</v>
      </c>
      <c r="N148" s="123">
        <v>0.0</v>
      </c>
      <c r="O148" s="128">
        <v>19.0</v>
      </c>
      <c r="P148" s="123">
        <v>25.0</v>
      </c>
      <c r="Q148" s="125"/>
      <c r="R148" s="124"/>
      <c r="S148" s="140"/>
    </row>
    <row r="149" ht="15.75" customHeight="1">
      <c r="A149" s="127"/>
      <c r="B149" s="122" t="s">
        <v>3040</v>
      </c>
      <c r="C149" s="128">
        <v>23.0</v>
      </c>
      <c r="D149" s="128">
        <v>2.0</v>
      </c>
      <c r="E149" s="129">
        <v>0.12083333333333333</v>
      </c>
      <c r="F149" s="129">
        <v>0.1486111111111111</v>
      </c>
      <c r="G149" s="34" t="s">
        <v>3193</v>
      </c>
      <c r="H149" s="20" t="s">
        <v>3194</v>
      </c>
      <c r="I149" s="128">
        <v>42.0</v>
      </c>
      <c r="J149" s="128">
        <v>20.0</v>
      </c>
      <c r="K149" s="128">
        <v>21.0</v>
      </c>
      <c r="L149" s="128">
        <v>1.0</v>
      </c>
      <c r="M149" s="128">
        <v>9.0</v>
      </c>
      <c r="N149" s="123">
        <v>0.0</v>
      </c>
      <c r="O149" s="128">
        <v>5.0</v>
      </c>
      <c r="P149" s="123">
        <v>28.0</v>
      </c>
      <c r="Q149" s="125"/>
      <c r="R149" s="124"/>
      <c r="S149" s="140"/>
    </row>
    <row r="150" ht="15.75" customHeight="1">
      <c r="A150" s="127"/>
      <c r="B150" s="122" t="s">
        <v>3009</v>
      </c>
      <c r="C150" s="128">
        <v>31.0</v>
      </c>
      <c r="D150" s="128">
        <v>3.0</v>
      </c>
      <c r="E150" s="129">
        <v>0.16111111111111112</v>
      </c>
      <c r="F150" s="129">
        <v>0.1840277777777778</v>
      </c>
      <c r="G150" s="34" t="s">
        <v>3195</v>
      </c>
      <c r="H150" s="20" t="s">
        <v>3196</v>
      </c>
      <c r="I150" s="128">
        <v>38.0</v>
      </c>
      <c r="J150" s="128">
        <v>19.0</v>
      </c>
      <c r="K150" s="128">
        <v>16.0</v>
      </c>
      <c r="L150" s="128">
        <v>2.0</v>
      </c>
      <c r="M150" s="128">
        <v>4.0</v>
      </c>
      <c r="N150" s="123">
        <v>0.0</v>
      </c>
      <c r="O150" s="128">
        <v>14.0</v>
      </c>
      <c r="P150" s="123">
        <v>17.0</v>
      </c>
      <c r="Q150" s="125"/>
      <c r="R150" s="124"/>
      <c r="S150" s="140"/>
    </row>
    <row r="151" ht="15.75" customHeight="1">
      <c r="A151" s="127"/>
      <c r="B151" s="122" t="s">
        <v>3040</v>
      </c>
      <c r="C151" s="128">
        <v>24.0</v>
      </c>
      <c r="D151" s="128">
        <v>3.0</v>
      </c>
      <c r="E151" s="129">
        <v>0.1875</v>
      </c>
      <c r="F151" s="129">
        <v>0.21388888888888888</v>
      </c>
      <c r="G151" s="34" t="s">
        <v>3197</v>
      </c>
      <c r="H151" s="20" t="s">
        <v>3198</v>
      </c>
      <c r="I151" s="128">
        <v>44.0</v>
      </c>
      <c r="J151" s="128">
        <v>22.0</v>
      </c>
      <c r="K151" s="128">
        <v>20.0</v>
      </c>
      <c r="L151" s="128">
        <v>0.0</v>
      </c>
      <c r="M151" s="128">
        <v>5.0</v>
      </c>
      <c r="N151" s="123">
        <v>1.0</v>
      </c>
      <c r="O151" s="128">
        <v>16.0</v>
      </c>
      <c r="P151" s="123">
        <v>22.0</v>
      </c>
      <c r="Q151" s="125"/>
      <c r="R151" s="124"/>
      <c r="S151" s="140"/>
    </row>
    <row r="152" ht="15.75" customHeight="1">
      <c r="A152" s="127"/>
      <c r="B152" s="122"/>
      <c r="C152" s="128"/>
      <c r="D152" s="128"/>
      <c r="E152" s="129"/>
      <c r="F152" s="129"/>
      <c r="G152" s="20"/>
      <c r="H152" s="20"/>
      <c r="I152" s="128"/>
      <c r="J152" s="128"/>
      <c r="K152" s="128"/>
      <c r="L152" s="128"/>
      <c r="M152" s="128"/>
      <c r="N152" s="123"/>
      <c r="O152" s="128"/>
      <c r="P152" s="123"/>
      <c r="Q152" s="125"/>
      <c r="R152" s="124"/>
      <c r="S152" s="140"/>
    </row>
    <row r="153" ht="15.75" customHeight="1">
      <c r="A153" s="127">
        <v>45537.0</v>
      </c>
      <c r="B153" s="122" t="s">
        <v>3006</v>
      </c>
      <c r="C153" s="128">
        <v>33.0</v>
      </c>
      <c r="D153" s="128">
        <v>1.0</v>
      </c>
      <c r="E153" s="129">
        <v>0.43472222222222223</v>
      </c>
      <c r="F153" s="129">
        <v>0.46875</v>
      </c>
      <c r="G153" s="34" t="s">
        <v>3199</v>
      </c>
      <c r="H153" s="20" t="s">
        <v>3200</v>
      </c>
      <c r="I153" s="128">
        <v>89.0</v>
      </c>
      <c r="J153" s="128">
        <v>51.0</v>
      </c>
      <c r="K153" s="128">
        <v>36.0</v>
      </c>
      <c r="L153" s="128">
        <v>2.0</v>
      </c>
      <c r="M153" s="128">
        <v>15.0</v>
      </c>
      <c r="N153" s="123">
        <v>0.0</v>
      </c>
      <c r="O153" s="128">
        <v>22.0</v>
      </c>
      <c r="P153" s="123">
        <v>49.0</v>
      </c>
      <c r="Q153" s="125"/>
      <c r="R153" s="124"/>
      <c r="S153" s="140"/>
    </row>
    <row r="154" ht="15.75" customHeight="1">
      <c r="A154" s="127"/>
      <c r="B154" s="122" t="s">
        <v>3008</v>
      </c>
      <c r="C154" s="128">
        <v>31.0</v>
      </c>
      <c r="D154" s="128">
        <v>1.0</v>
      </c>
      <c r="E154" s="129">
        <v>0.4701388888888889</v>
      </c>
      <c r="F154" s="129">
        <v>0.5027777777777778</v>
      </c>
      <c r="G154" s="34" t="s">
        <v>3201</v>
      </c>
      <c r="H154" s="20" t="s">
        <v>3202</v>
      </c>
      <c r="I154" s="128">
        <v>77.0</v>
      </c>
      <c r="J154" s="128">
        <v>47.0</v>
      </c>
      <c r="K154" s="128">
        <v>28.0</v>
      </c>
      <c r="L154" s="128">
        <v>0.0</v>
      </c>
      <c r="M154" s="128">
        <v>7.0</v>
      </c>
      <c r="N154" s="123">
        <v>2.0</v>
      </c>
      <c r="O154" s="128">
        <v>21.0</v>
      </c>
      <c r="P154" s="123">
        <v>47.0</v>
      </c>
      <c r="Q154" s="125"/>
      <c r="R154" s="124"/>
      <c r="S154" s="140"/>
    </row>
    <row r="155" ht="15.75" customHeight="1">
      <c r="A155" s="127"/>
      <c r="B155" s="122" t="s">
        <v>3009</v>
      </c>
      <c r="C155" s="128">
        <v>32.0</v>
      </c>
      <c r="D155" s="128">
        <v>1.0</v>
      </c>
      <c r="E155" s="129">
        <v>0.5055555555555555</v>
      </c>
      <c r="F155" s="129">
        <v>0.5368055555555555</v>
      </c>
      <c r="G155" s="34" t="s">
        <v>3203</v>
      </c>
      <c r="H155" s="20" t="s">
        <v>3204</v>
      </c>
      <c r="I155" s="128">
        <v>59.0</v>
      </c>
      <c r="J155" s="128">
        <v>28.0</v>
      </c>
      <c r="K155" s="128">
        <v>27.0</v>
      </c>
      <c r="L155" s="128">
        <v>4.0</v>
      </c>
      <c r="M155" s="128">
        <v>5.0</v>
      </c>
      <c r="N155" s="123">
        <v>0.0</v>
      </c>
      <c r="O155" s="128">
        <v>24.0</v>
      </c>
      <c r="P155" s="123">
        <v>26.0</v>
      </c>
      <c r="Q155" s="125"/>
      <c r="R155" s="124"/>
      <c r="S155" s="109" t="s">
        <v>3205</v>
      </c>
    </row>
    <row r="156" ht="15.75" customHeight="1">
      <c r="A156" s="127"/>
      <c r="B156" s="122" t="s">
        <v>3040</v>
      </c>
      <c r="C156" s="128">
        <v>24.0</v>
      </c>
      <c r="D156" s="128">
        <v>1.0</v>
      </c>
      <c r="E156" s="129">
        <v>0.04375</v>
      </c>
      <c r="F156" s="129">
        <v>0.04861111111111111</v>
      </c>
      <c r="G156" s="34" t="s">
        <v>3206</v>
      </c>
      <c r="H156" s="13" t="s">
        <v>3207</v>
      </c>
      <c r="I156" s="128"/>
      <c r="J156" s="128"/>
      <c r="K156" s="128"/>
      <c r="L156" s="128"/>
      <c r="M156" s="128"/>
      <c r="N156" s="123"/>
      <c r="O156" s="128"/>
      <c r="P156" s="123"/>
      <c r="Q156" s="125"/>
      <c r="R156" s="124"/>
    </row>
    <row r="157" ht="15.75" customHeight="1">
      <c r="A157" s="127"/>
      <c r="B157" s="122" t="s">
        <v>3006</v>
      </c>
      <c r="C157" s="128">
        <v>34.0</v>
      </c>
      <c r="D157" s="128">
        <v>2.0</v>
      </c>
      <c r="E157" s="129">
        <v>0.05138888888888889</v>
      </c>
      <c r="F157" s="129">
        <v>0.08333333333333333</v>
      </c>
      <c r="G157" s="34" t="s">
        <v>3208</v>
      </c>
      <c r="H157" s="20" t="s">
        <v>3209</v>
      </c>
      <c r="I157" s="128">
        <v>101.0</v>
      </c>
      <c r="J157" s="128">
        <v>58.0</v>
      </c>
      <c r="K157" s="128">
        <v>41.0</v>
      </c>
      <c r="L157" s="128">
        <v>1.0</v>
      </c>
      <c r="M157" s="128">
        <v>10.0</v>
      </c>
      <c r="N157" s="123">
        <v>1.0</v>
      </c>
      <c r="O157" s="128">
        <v>50.0</v>
      </c>
      <c r="P157" s="123">
        <v>40.0</v>
      </c>
      <c r="Q157" s="125"/>
      <c r="R157" s="124"/>
    </row>
    <row r="158" ht="15.75" customHeight="1">
      <c r="A158" s="127"/>
      <c r="B158" s="122" t="s">
        <v>3008</v>
      </c>
      <c r="C158" s="128">
        <v>32.0</v>
      </c>
      <c r="D158" s="128">
        <v>2.0</v>
      </c>
      <c r="E158" s="129">
        <v>0.08680555555555555</v>
      </c>
      <c r="F158" s="129">
        <v>0.11805555555555555</v>
      </c>
      <c r="G158" s="34" t="s">
        <v>3210</v>
      </c>
      <c r="H158" s="20" t="s">
        <v>3211</v>
      </c>
      <c r="I158" s="128">
        <v>85.0</v>
      </c>
      <c r="J158" s="128">
        <v>37.0</v>
      </c>
      <c r="K158" s="128">
        <v>45.0</v>
      </c>
      <c r="L158" s="128">
        <v>2.0</v>
      </c>
      <c r="M158" s="128">
        <v>8.0</v>
      </c>
      <c r="N158" s="123">
        <v>1.0</v>
      </c>
      <c r="O158" s="128">
        <v>32.0</v>
      </c>
      <c r="P158" s="123">
        <v>47.0</v>
      </c>
      <c r="Q158" s="125"/>
      <c r="R158" s="124"/>
    </row>
    <row r="159" ht="15.75" customHeight="1">
      <c r="A159" s="127"/>
      <c r="B159" s="122" t="s">
        <v>3009</v>
      </c>
      <c r="C159" s="128">
        <v>33.0</v>
      </c>
      <c r="D159" s="128">
        <v>2.0</v>
      </c>
      <c r="E159" s="129">
        <v>0.12083333333333333</v>
      </c>
      <c r="F159" s="129">
        <v>0.16041666666666668</v>
      </c>
      <c r="G159" s="34" t="s">
        <v>3212</v>
      </c>
      <c r="H159" s="20" t="s">
        <v>3213</v>
      </c>
      <c r="I159" s="128">
        <v>78.0</v>
      </c>
      <c r="J159" s="128">
        <v>40.0</v>
      </c>
      <c r="K159" s="128">
        <v>36.0</v>
      </c>
      <c r="L159" s="128">
        <v>0.0</v>
      </c>
      <c r="M159" s="128">
        <v>5.0</v>
      </c>
      <c r="N159" s="123">
        <v>2.0</v>
      </c>
      <c r="O159" s="128">
        <v>28.0</v>
      </c>
      <c r="P159" s="123">
        <v>43.0</v>
      </c>
      <c r="Q159" s="125"/>
      <c r="R159" s="124"/>
    </row>
    <row r="160" ht="15.75" customHeight="1">
      <c r="A160" s="127"/>
      <c r="B160" s="122"/>
      <c r="C160" s="128"/>
      <c r="D160" s="128"/>
      <c r="E160" s="129"/>
      <c r="F160" s="129"/>
      <c r="G160" s="20"/>
      <c r="H160" s="20"/>
      <c r="I160" s="128"/>
      <c r="J160" s="128"/>
      <c r="K160" s="128"/>
      <c r="L160" s="128"/>
      <c r="M160" s="128"/>
      <c r="N160" s="123"/>
      <c r="O160" s="128"/>
      <c r="P160" s="123"/>
      <c r="Q160" s="125"/>
      <c r="R160" s="124"/>
    </row>
    <row r="161" ht="15.75" customHeight="1">
      <c r="A161" s="127">
        <v>45538.0</v>
      </c>
      <c r="B161" s="122" t="s">
        <v>3009</v>
      </c>
      <c r="C161" s="128">
        <v>34.0</v>
      </c>
      <c r="D161" s="128">
        <v>1.0</v>
      </c>
      <c r="E161" s="129">
        <v>0.4284722222222222</v>
      </c>
      <c r="F161" s="129">
        <v>0.46319444444444446</v>
      </c>
      <c r="G161" s="34" t="s">
        <v>3214</v>
      </c>
      <c r="H161" s="20" t="s">
        <v>3215</v>
      </c>
      <c r="I161" s="128">
        <v>63.0</v>
      </c>
      <c r="J161" s="128">
        <v>31.0</v>
      </c>
      <c r="K161" s="128">
        <v>28.0</v>
      </c>
      <c r="L161" s="128">
        <v>0.0</v>
      </c>
      <c r="M161" s="128">
        <v>12.0</v>
      </c>
      <c r="N161" s="123">
        <v>3.0</v>
      </c>
      <c r="O161" s="128">
        <v>3.0</v>
      </c>
      <c r="P161" s="123">
        <v>44.0</v>
      </c>
      <c r="Q161" s="125"/>
      <c r="R161" s="124"/>
    </row>
    <row r="162" ht="15.75" customHeight="1">
      <c r="A162" s="127"/>
      <c r="B162" s="122" t="s">
        <v>3006</v>
      </c>
      <c r="C162" s="128">
        <v>35.0</v>
      </c>
      <c r="D162" s="128">
        <v>1.0</v>
      </c>
      <c r="E162" s="129">
        <v>0.4673611111111111</v>
      </c>
      <c r="F162" s="129">
        <v>0.5</v>
      </c>
      <c r="G162" s="34" t="s">
        <v>3216</v>
      </c>
      <c r="H162" s="20" t="s">
        <v>3217</v>
      </c>
      <c r="I162" s="128">
        <v>101.0</v>
      </c>
      <c r="J162" s="128">
        <v>38.0</v>
      </c>
      <c r="K162" s="128">
        <v>66.0</v>
      </c>
      <c r="L162" s="128">
        <v>0.0</v>
      </c>
      <c r="M162" s="128">
        <v>9.0</v>
      </c>
      <c r="N162" s="123">
        <v>0.0</v>
      </c>
      <c r="O162" s="128">
        <v>32.0</v>
      </c>
      <c r="P162" s="123">
        <v>63.0</v>
      </c>
      <c r="Q162" s="125"/>
      <c r="R162" s="124"/>
    </row>
    <row r="163" ht="15.75" customHeight="1">
      <c r="A163" s="127"/>
      <c r="B163" s="122" t="s">
        <v>3008</v>
      </c>
      <c r="C163" s="128">
        <v>33.0</v>
      </c>
      <c r="D163" s="128">
        <v>1.0</v>
      </c>
      <c r="E163" s="129">
        <v>0.5027777777777778</v>
      </c>
      <c r="F163" s="129">
        <v>0.5361111111111111</v>
      </c>
      <c r="G163" s="34" t="s">
        <v>3218</v>
      </c>
      <c r="H163" s="20" t="s">
        <v>3219</v>
      </c>
      <c r="I163" s="128">
        <v>91.0</v>
      </c>
      <c r="J163" s="128">
        <v>39.0</v>
      </c>
      <c r="K163" s="128">
        <v>50.0</v>
      </c>
      <c r="L163" s="128">
        <v>1.0</v>
      </c>
      <c r="M163" s="128">
        <v>6.0</v>
      </c>
      <c r="N163" s="123">
        <v>1.0</v>
      </c>
      <c r="O163" s="128">
        <v>45.0</v>
      </c>
      <c r="P163" s="123">
        <v>39.0</v>
      </c>
      <c r="Q163" s="125"/>
      <c r="R163" s="124"/>
    </row>
    <row r="164" ht="15.75" customHeight="1">
      <c r="A164" s="127"/>
      <c r="B164" s="122" t="s">
        <v>3009</v>
      </c>
      <c r="C164" s="128">
        <v>35.0</v>
      </c>
      <c r="D164" s="128">
        <v>2.0</v>
      </c>
      <c r="E164" s="129">
        <v>0.5388888888888889</v>
      </c>
      <c r="F164" s="129">
        <v>0.07361111111111111</v>
      </c>
      <c r="G164" s="34" t="s">
        <v>3220</v>
      </c>
      <c r="H164" s="20" t="s">
        <v>3221</v>
      </c>
      <c r="I164" s="128">
        <v>67.0</v>
      </c>
      <c r="J164" s="128">
        <v>29.0</v>
      </c>
      <c r="K164" s="128">
        <v>35.0</v>
      </c>
      <c r="L164" s="128">
        <v>0.0</v>
      </c>
      <c r="M164" s="128">
        <v>5.0</v>
      </c>
      <c r="N164" s="123">
        <v>3.0</v>
      </c>
      <c r="O164" s="128">
        <v>32.0</v>
      </c>
      <c r="P164" s="123">
        <v>27.0</v>
      </c>
      <c r="Q164" s="125"/>
      <c r="R164" s="124"/>
    </row>
    <row r="165" ht="15.75" customHeight="1">
      <c r="A165" s="127"/>
      <c r="B165" s="122" t="s">
        <v>3006</v>
      </c>
      <c r="C165" s="128">
        <v>36.0</v>
      </c>
      <c r="D165" s="128">
        <v>2.0</v>
      </c>
      <c r="E165" s="129">
        <v>0.07777777777777778</v>
      </c>
      <c r="F165" s="129">
        <v>0.11180555555555556</v>
      </c>
      <c r="G165" s="34" t="s">
        <v>3222</v>
      </c>
      <c r="H165" s="20" t="s">
        <v>3223</v>
      </c>
      <c r="I165" s="128">
        <v>108.0</v>
      </c>
      <c r="J165" s="128">
        <v>62.0</v>
      </c>
      <c r="K165" s="128">
        <v>43.0</v>
      </c>
      <c r="L165" s="128">
        <v>3.0</v>
      </c>
      <c r="M165" s="128">
        <v>12.0</v>
      </c>
      <c r="N165" s="123">
        <v>0.0</v>
      </c>
      <c r="O165" s="128">
        <v>36.0</v>
      </c>
      <c r="P165" s="123">
        <v>57.0</v>
      </c>
      <c r="Q165" s="125"/>
      <c r="R165" s="124"/>
    </row>
    <row r="166" ht="15.75" customHeight="1">
      <c r="A166" s="127"/>
      <c r="B166" s="122" t="s">
        <v>3008</v>
      </c>
      <c r="C166" s="128">
        <v>34.0</v>
      </c>
      <c r="D166" s="128">
        <v>2.0</v>
      </c>
      <c r="E166" s="129">
        <v>0.11319444444444444</v>
      </c>
      <c r="F166" s="129">
        <v>0.15069444444444444</v>
      </c>
      <c r="G166" s="34" t="s">
        <v>3224</v>
      </c>
      <c r="H166" s="20" t="s">
        <v>3225</v>
      </c>
      <c r="I166" s="128">
        <v>95.0</v>
      </c>
      <c r="J166" s="128">
        <v>45.0</v>
      </c>
      <c r="K166" s="128">
        <v>50.0</v>
      </c>
      <c r="L166" s="128">
        <v>0.0</v>
      </c>
      <c r="M166" s="128">
        <v>11.0</v>
      </c>
      <c r="N166" s="123">
        <v>0.0</v>
      </c>
      <c r="O166" s="128">
        <v>43.0</v>
      </c>
      <c r="P166" s="123">
        <v>44.0</v>
      </c>
      <c r="Q166" s="125"/>
      <c r="R166" s="124"/>
    </row>
    <row r="167" ht="15.75" customHeight="1">
      <c r="A167" s="127"/>
      <c r="B167" s="122" t="s">
        <v>3009</v>
      </c>
      <c r="C167" s="128">
        <v>36.0</v>
      </c>
      <c r="D167" s="128">
        <v>3.0</v>
      </c>
      <c r="E167" s="129">
        <v>0.15763888888888888</v>
      </c>
      <c r="F167" s="129">
        <v>0.18958333333333333</v>
      </c>
      <c r="G167" s="34" t="s">
        <v>3226</v>
      </c>
      <c r="H167" s="20" t="s">
        <v>3227</v>
      </c>
      <c r="I167" s="128">
        <v>63.0</v>
      </c>
      <c r="J167" s="128">
        <v>26.0</v>
      </c>
      <c r="K167" s="128">
        <v>24.0</v>
      </c>
      <c r="L167" s="128">
        <v>0.0</v>
      </c>
      <c r="M167" s="128">
        <v>2.0</v>
      </c>
      <c r="N167" s="123">
        <v>13.0</v>
      </c>
      <c r="O167" s="128">
        <v>16.0</v>
      </c>
      <c r="P167" s="123">
        <v>31.0</v>
      </c>
      <c r="Q167" s="125"/>
      <c r="R167" s="124"/>
    </row>
    <row r="168" ht="15.75" customHeight="1">
      <c r="A168" s="127"/>
      <c r="B168" s="122"/>
      <c r="C168" s="128"/>
      <c r="D168" s="128"/>
      <c r="E168" s="129"/>
      <c r="F168" s="129"/>
      <c r="G168" s="20"/>
      <c r="H168" s="20"/>
      <c r="I168" s="128"/>
      <c r="J168" s="128"/>
      <c r="K168" s="128"/>
      <c r="L168" s="128"/>
      <c r="M168" s="128"/>
      <c r="N168" s="123"/>
      <c r="O168" s="128"/>
      <c r="P168" s="123"/>
      <c r="Q168" s="125"/>
      <c r="R168" s="124"/>
    </row>
    <row r="169" ht="15.75" customHeight="1">
      <c r="A169" s="127">
        <v>45539.0</v>
      </c>
      <c r="B169" s="122" t="s">
        <v>3009</v>
      </c>
      <c r="C169" s="128">
        <v>37.0</v>
      </c>
      <c r="D169" s="128">
        <v>1.0</v>
      </c>
      <c r="E169" s="129">
        <v>0.3840277777777778</v>
      </c>
      <c r="F169" s="129">
        <v>0.42083333333333334</v>
      </c>
      <c r="G169" s="34" t="s">
        <v>3228</v>
      </c>
      <c r="H169" s="20" t="s">
        <v>3221</v>
      </c>
      <c r="I169" s="128">
        <v>61.0</v>
      </c>
      <c r="J169" s="128">
        <v>35.0</v>
      </c>
      <c r="K169" s="128">
        <v>24.0</v>
      </c>
      <c r="L169" s="128">
        <v>1.0</v>
      </c>
      <c r="M169" s="128">
        <v>6.0</v>
      </c>
      <c r="N169" s="123">
        <v>1.0</v>
      </c>
      <c r="O169" s="128">
        <v>17.0</v>
      </c>
      <c r="P169" s="123">
        <v>35.0</v>
      </c>
      <c r="Q169" s="125"/>
      <c r="R169" s="124"/>
    </row>
    <row r="170" ht="15.75" customHeight="1">
      <c r="A170" s="127"/>
      <c r="B170" s="122" t="s">
        <v>3006</v>
      </c>
      <c r="C170" s="128">
        <v>37.0</v>
      </c>
      <c r="D170" s="128">
        <v>1.0</v>
      </c>
      <c r="E170" s="129">
        <v>0.4284722222222222</v>
      </c>
      <c r="F170" s="129">
        <v>0.45902777777777776</v>
      </c>
      <c r="G170" s="34" t="s">
        <v>3229</v>
      </c>
      <c r="H170" s="20" t="s">
        <v>3230</v>
      </c>
      <c r="I170" s="128">
        <v>80.0</v>
      </c>
      <c r="J170" s="128">
        <v>20.0</v>
      </c>
      <c r="K170" s="128">
        <v>32.0</v>
      </c>
      <c r="L170" s="128">
        <v>3.0</v>
      </c>
      <c r="M170" s="128">
        <v>8.0</v>
      </c>
      <c r="N170" s="123">
        <v>24.0</v>
      </c>
      <c r="O170" s="128">
        <v>15.0</v>
      </c>
      <c r="P170" s="123">
        <v>29.0</v>
      </c>
      <c r="Q170" s="125"/>
      <c r="R170" s="124"/>
    </row>
    <row r="171" ht="15.75" customHeight="1">
      <c r="A171" s="127"/>
      <c r="B171" s="122" t="s">
        <v>3008</v>
      </c>
      <c r="C171" s="128">
        <v>35.0</v>
      </c>
      <c r="D171" s="128">
        <v>1.0</v>
      </c>
      <c r="E171" s="129">
        <v>0.4625</v>
      </c>
      <c r="F171" s="129">
        <v>0.4909722222222222</v>
      </c>
      <c r="G171" s="34" t="s">
        <v>3231</v>
      </c>
      <c r="H171" s="20" t="s">
        <v>3232</v>
      </c>
      <c r="I171" s="128">
        <v>80.0</v>
      </c>
      <c r="J171" s="128">
        <v>38.0</v>
      </c>
      <c r="K171" s="128">
        <v>41.0</v>
      </c>
      <c r="L171" s="128">
        <v>0.0</v>
      </c>
      <c r="M171" s="128">
        <v>4.0</v>
      </c>
      <c r="N171" s="123">
        <v>0.0</v>
      </c>
      <c r="O171" s="128">
        <v>46.0</v>
      </c>
      <c r="P171" s="123">
        <v>32.0</v>
      </c>
      <c r="Q171" s="125"/>
      <c r="R171" s="124"/>
    </row>
    <row r="172" ht="15.75" customHeight="1">
      <c r="A172" s="127"/>
      <c r="B172" s="122" t="s">
        <v>3009</v>
      </c>
      <c r="C172" s="128">
        <v>37.0</v>
      </c>
      <c r="D172" s="128">
        <v>2.0</v>
      </c>
      <c r="E172" s="129">
        <v>0.49722222222222223</v>
      </c>
      <c r="F172" s="129">
        <v>0.5298611111111111</v>
      </c>
      <c r="G172" s="34" t="s">
        <v>3233</v>
      </c>
      <c r="H172" s="20" t="s">
        <v>3234</v>
      </c>
      <c r="I172" s="128">
        <v>57.0</v>
      </c>
      <c r="J172" s="128">
        <v>31.0</v>
      </c>
      <c r="K172" s="128">
        <v>17.0</v>
      </c>
      <c r="L172" s="128">
        <v>1.0</v>
      </c>
      <c r="M172" s="128">
        <v>3.0</v>
      </c>
      <c r="N172" s="123">
        <v>8.0</v>
      </c>
      <c r="O172" s="128">
        <v>16.0</v>
      </c>
      <c r="P172" s="123">
        <v>28.0</v>
      </c>
      <c r="Q172" s="125"/>
      <c r="R172" s="124"/>
    </row>
    <row r="173" ht="15.75" customHeight="1">
      <c r="A173" s="127"/>
      <c r="B173" s="122" t="s">
        <v>3006</v>
      </c>
      <c r="C173" s="128">
        <v>38.0</v>
      </c>
      <c r="D173" s="128">
        <v>2.0</v>
      </c>
      <c r="E173" s="129">
        <v>0.5333333333333333</v>
      </c>
      <c r="F173" s="129">
        <v>0.0625</v>
      </c>
      <c r="G173" s="34" t="s">
        <v>3235</v>
      </c>
      <c r="H173" s="20" t="s">
        <v>3236</v>
      </c>
      <c r="I173" s="128">
        <v>83.0</v>
      </c>
      <c r="J173" s="128">
        <v>38.0</v>
      </c>
      <c r="K173" s="128">
        <v>32.0</v>
      </c>
      <c r="L173" s="128">
        <v>3.0</v>
      </c>
      <c r="M173" s="128">
        <v>6.0</v>
      </c>
      <c r="N173" s="123">
        <v>10.0</v>
      </c>
      <c r="O173" s="128">
        <v>30.0</v>
      </c>
      <c r="P173" s="123">
        <v>34.0</v>
      </c>
      <c r="Q173" s="125"/>
      <c r="R173" s="124"/>
    </row>
    <row r="174" ht="15.75" customHeight="1">
      <c r="A174" s="127"/>
      <c r="B174" s="122" t="s">
        <v>3008</v>
      </c>
      <c r="C174" s="128">
        <v>36.0</v>
      </c>
      <c r="D174" s="128">
        <v>2.0</v>
      </c>
      <c r="E174" s="129">
        <v>0.06597222222222222</v>
      </c>
      <c r="F174" s="129">
        <v>0.09583333333333334</v>
      </c>
      <c r="G174" s="34" t="s">
        <v>3237</v>
      </c>
      <c r="H174" s="20" t="s">
        <v>3225</v>
      </c>
      <c r="I174" s="128">
        <v>75.0</v>
      </c>
      <c r="J174" s="128">
        <v>43.0</v>
      </c>
      <c r="K174" s="128">
        <v>32.0</v>
      </c>
      <c r="L174" s="128">
        <v>0.0</v>
      </c>
      <c r="M174" s="128">
        <v>6.0</v>
      </c>
      <c r="N174" s="123">
        <v>0.0</v>
      </c>
      <c r="O174" s="128">
        <v>34.0</v>
      </c>
      <c r="P174" s="123">
        <v>36.0</v>
      </c>
      <c r="Q174" s="125"/>
      <c r="R174" s="124"/>
    </row>
    <row r="175" ht="15.75" customHeight="1">
      <c r="A175" s="127"/>
      <c r="B175" s="122" t="s">
        <v>3009</v>
      </c>
      <c r="C175" s="128">
        <v>38.0</v>
      </c>
      <c r="D175" s="128">
        <v>3.0</v>
      </c>
      <c r="E175" s="129">
        <v>0.10138888888888889</v>
      </c>
      <c r="F175" s="129">
        <v>0.13680555555555557</v>
      </c>
      <c r="G175" s="34" t="s">
        <v>3238</v>
      </c>
      <c r="H175" s="20" t="s">
        <v>3239</v>
      </c>
      <c r="I175" s="128">
        <v>57.0</v>
      </c>
      <c r="J175" s="128">
        <v>27.0</v>
      </c>
      <c r="K175" s="128">
        <v>25.0</v>
      </c>
      <c r="L175" s="128">
        <v>0.0</v>
      </c>
      <c r="M175" s="128">
        <v>10.0</v>
      </c>
      <c r="N175" s="123">
        <v>5.0</v>
      </c>
      <c r="O175" s="128">
        <v>4.0</v>
      </c>
      <c r="P175" s="123">
        <v>38.0</v>
      </c>
      <c r="Q175" s="125"/>
      <c r="R175" s="124"/>
    </row>
    <row r="176" ht="15.75" customHeight="1">
      <c r="A176" s="127"/>
      <c r="B176" s="122"/>
      <c r="C176" s="128"/>
      <c r="D176" s="128"/>
      <c r="E176" s="129"/>
      <c r="F176" s="129"/>
      <c r="G176" s="20"/>
      <c r="H176" s="20"/>
      <c r="I176" s="128"/>
      <c r="J176" s="128"/>
      <c r="K176" s="128"/>
      <c r="L176" s="128"/>
      <c r="M176" s="128"/>
      <c r="N176" s="123"/>
      <c r="O176" s="128"/>
      <c r="P176" s="123"/>
      <c r="Q176" s="125"/>
      <c r="R176" s="124"/>
    </row>
    <row r="177" ht="15.75" customHeight="1">
      <c r="A177" s="127">
        <v>45540.0</v>
      </c>
      <c r="B177" s="122" t="s">
        <v>3009</v>
      </c>
      <c r="C177" s="128">
        <v>39.0</v>
      </c>
      <c r="D177" s="128">
        <v>1.0</v>
      </c>
      <c r="E177" s="129">
        <v>0.3909722222222222</v>
      </c>
      <c r="F177" s="129">
        <v>0.43819444444444444</v>
      </c>
      <c r="G177" s="34" t="s">
        <v>3240</v>
      </c>
      <c r="H177" s="20" t="s">
        <v>3241</v>
      </c>
      <c r="I177" s="128">
        <v>24.0</v>
      </c>
      <c r="J177" s="128">
        <v>11.0</v>
      </c>
      <c r="K177" s="128">
        <v>12.0</v>
      </c>
      <c r="L177" s="128">
        <v>0.0</v>
      </c>
      <c r="M177" s="128">
        <v>8.0</v>
      </c>
      <c r="N177" s="123">
        <v>1.0</v>
      </c>
      <c r="O177" s="128" t="s">
        <v>3242</v>
      </c>
      <c r="P177" s="123">
        <v>13.0</v>
      </c>
      <c r="Q177" s="125" t="s">
        <v>3243</v>
      </c>
      <c r="R177" s="124"/>
    </row>
    <row r="178" ht="15.75" customHeight="1">
      <c r="A178" s="127"/>
      <c r="B178" s="122" t="s">
        <v>3006</v>
      </c>
      <c r="C178" s="128">
        <v>39.0</v>
      </c>
      <c r="D178" s="128">
        <v>1.0</v>
      </c>
      <c r="E178" s="129">
        <v>0.4444444444444444</v>
      </c>
      <c r="F178" s="129">
        <v>0.4736111111111111</v>
      </c>
      <c r="G178" s="34" t="s">
        <v>3244</v>
      </c>
      <c r="H178" s="20" t="s">
        <v>2965</v>
      </c>
      <c r="I178" s="128">
        <v>88.0</v>
      </c>
      <c r="J178" s="128">
        <v>41.0</v>
      </c>
      <c r="K178" s="128">
        <v>41.0</v>
      </c>
      <c r="L178" s="128">
        <v>2.0</v>
      </c>
      <c r="M178" s="128">
        <v>5.0</v>
      </c>
      <c r="N178" s="123">
        <v>4.0</v>
      </c>
      <c r="O178" s="128">
        <v>40.0</v>
      </c>
      <c r="P178" s="123">
        <v>39.0</v>
      </c>
      <c r="Q178" s="125"/>
      <c r="R178" s="124"/>
    </row>
    <row r="179" ht="15.75" customHeight="1">
      <c r="A179" s="127"/>
      <c r="B179" s="122" t="s">
        <v>3008</v>
      </c>
      <c r="C179" s="128">
        <v>37.0</v>
      </c>
      <c r="D179" s="128">
        <v>1.0</v>
      </c>
      <c r="E179" s="129">
        <v>0.47847222222222224</v>
      </c>
      <c r="F179" s="129">
        <v>0.5180555555555556</v>
      </c>
      <c r="G179" s="34" t="s">
        <v>3245</v>
      </c>
      <c r="H179" s="20" t="s">
        <v>2965</v>
      </c>
      <c r="I179" s="128">
        <v>98.0</v>
      </c>
      <c r="J179" s="128">
        <v>37.0</v>
      </c>
      <c r="K179" s="128">
        <v>58.0</v>
      </c>
      <c r="L179" s="128">
        <v>1.0</v>
      </c>
      <c r="M179" s="128">
        <v>10.0</v>
      </c>
      <c r="N179" s="123">
        <v>2.0</v>
      </c>
      <c r="O179" s="128">
        <v>46.0</v>
      </c>
      <c r="P179" s="123">
        <v>44.0</v>
      </c>
      <c r="Q179" s="125"/>
      <c r="R179" s="124"/>
    </row>
    <row r="180" ht="15.75" customHeight="1">
      <c r="A180" s="127"/>
      <c r="B180" s="122" t="s">
        <v>3009</v>
      </c>
      <c r="C180" s="128">
        <v>40.0</v>
      </c>
      <c r="D180" s="128">
        <v>2.0</v>
      </c>
      <c r="E180" s="129">
        <v>0.525</v>
      </c>
      <c r="F180" s="129">
        <v>0.04583333333333333</v>
      </c>
      <c r="G180" s="34" t="s">
        <v>3246</v>
      </c>
      <c r="H180" s="20" t="s">
        <v>3247</v>
      </c>
      <c r="I180" s="128">
        <v>7.0</v>
      </c>
      <c r="J180" s="128">
        <v>3.0</v>
      </c>
      <c r="K180" s="128">
        <v>4.0</v>
      </c>
      <c r="L180" s="128">
        <v>0.0</v>
      </c>
      <c r="M180" s="128">
        <v>3.0</v>
      </c>
      <c r="N180" s="123">
        <v>0.0</v>
      </c>
      <c r="O180" s="128" t="s">
        <v>3242</v>
      </c>
      <c r="P180" s="123">
        <v>3.0</v>
      </c>
      <c r="Q180" s="125" t="s">
        <v>3243</v>
      </c>
      <c r="R180" s="124"/>
    </row>
    <row r="181" ht="15.75" customHeight="1">
      <c r="A181" s="127"/>
      <c r="B181" s="122" t="s">
        <v>3006</v>
      </c>
      <c r="C181" s="128">
        <v>40.0</v>
      </c>
      <c r="D181" s="128">
        <v>2.0</v>
      </c>
      <c r="E181" s="129">
        <v>0.05138888888888889</v>
      </c>
      <c r="F181" s="129">
        <v>0.08333333333333333</v>
      </c>
      <c r="G181" s="34" t="s">
        <v>3248</v>
      </c>
      <c r="H181" s="20" t="s">
        <v>3249</v>
      </c>
      <c r="I181" s="128">
        <v>95.0</v>
      </c>
      <c r="J181" s="128">
        <v>23.0</v>
      </c>
      <c r="K181" s="128">
        <v>47.0</v>
      </c>
      <c r="L181" s="128">
        <v>0.0</v>
      </c>
      <c r="M181" s="128">
        <v>2.0</v>
      </c>
      <c r="N181" s="123">
        <v>24.0</v>
      </c>
      <c r="O181" s="128">
        <v>23.0</v>
      </c>
      <c r="P181" s="123">
        <v>45.0</v>
      </c>
      <c r="Q181" s="125"/>
      <c r="R181" s="124"/>
    </row>
    <row r="182" ht="15.75" customHeight="1">
      <c r="A182" s="127"/>
      <c r="B182" s="122" t="s">
        <v>3008</v>
      </c>
      <c r="C182" s="128">
        <v>38.0</v>
      </c>
      <c r="D182" s="128">
        <v>2.0</v>
      </c>
      <c r="E182" s="129">
        <v>0.08680555555555555</v>
      </c>
      <c r="F182" s="129">
        <v>0.1125</v>
      </c>
      <c r="G182" s="34" t="s">
        <v>3250</v>
      </c>
      <c r="H182" s="20" t="s">
        <v>2959</v>
      </c>
      <c r="I182" s="128">
        <v>69.0</v>
      </c>
      <c r="J182" s="128">
        <v>32.0</v>
      </c>
      <c r="K182" s="128">
        <v>37.0</v>
      </c>
      <c r="L182" s="128">
        <v>0.0</v>
      </c>
      <c r="M182" s="128">
        <v>7.0</v>
      </c>
      <c r="N182" s="123">
        <v>0.0</v>
      </c>
      <c r="O182" s="128">
        <v>31.0</v>
      </c>
      <c r="P182" s="123">
        <v>34.0</v>
      </c>
      <c r="Q182" s="125"/>
      <c r="R182" s="124"/>
    </row>
    <row r="183" ht="15.75" customHeight="1">
      <c r="A183" s="127"/>
      <c r="B183" s="122" t="s">
        <v>3009</v>
      </c>
      <c r="C183" s="128">
        <v>41.0</v>
      </c>
      <c r="D183" s="128">
        <v>3.0</v>
      </c>
      <c r="E183" s="129">
        <v>0.11597222222222223</v>
      </c>
      <c r="F183" s="129">
        <v>0.14027777777777778</v>
      </c>
      <c r="G183" s="34" t="s">
        <v>3251</v>
      </c>
      <c r="H183" s="20" t="s">
        <v>3252</v>
      </c>
      <c r="I183" s="128">
        <v>9.0</v>
      </c>
      <c r="J183" s="128">
        <v>4.0</v>
      </c>
      <c r="K183" s="128">
        <v>4.0</v>
      </c>
      <c r="L183" s="128">
        <v>0.0</v>
      </c>
      <c r="M183" s="128">
        <v>3.0</v>
      </c>
      <c r="N183" s="123">
        <v>0.0</v>
      </c>
      <c r="O183" s="128" t="s">
        <v>3253</v>
      </c>
      <c r="P183" s="123">
        <v>4.0</v>
      </c>
      <c r="Q183" s="125" t="s">
        <v>3254</v>
      </c>
      <c r="R183" s="124"/>
    </row>
    <row r="184" ht="15.75" customHeight="1">
      <c r="A184" s="127"/>
      <c r="B184" s="122"/>
      <c r="C184" s="128"/>
      <c r="D184" s="128"/>
      <c r="E184" s="129"/>
      <c r="F184" s="129"/>
      <c r="G184" s="20"/>
      <c r="H184" s="20"/>
      <c r="I184" s="128"/>
      <c r="J184" s="128"/>
      <c r="K184" s="128"/>
      <c r="L184" s="128"/>
      <c r="M184" s="128"/>
      <c r="N184" s="123"/>
      <c r="O184" s="128"/>
      <c r="P184" s="123"/>
      <c r="Q184" s="125"/>
      <c r="R184" s="124"/>
    </row>
    <row r="185" ht="15.75" customHeight="1">
      <c r="A185" s="127">
        <v>45541.0</v>
      </c>
      <c r="B185" s="122" t="s">
        <v>3009</v>
      </c>
      <c r="C185" s="128">
        <v>42.0</v>
      </c>
      <c r="D185" s="128">
        <v>1.0</v>
      </c>
      <c r="E185" s="129">
        <v>0.44166666666666665</v>
      </c>
      <c r="F185" s="129">
        <v>0.4930555555555556</v>
      </c>
      <c r="G185" s="34" t="s">
        <v>3255</v>
      </c>
      <c r="H185" s="20" t="s">
        <v>3256</v>
      </c>
      <c r="I185" s="128">
        <v>52.0</v>
      </c>
      <c r="J185" s="128">
        <v>20.0</v>
      </c>
      <c r="K185" s="128">
        <v>25.0</v>
      </c>
      <c r="L185" s="128">
        <v>1.0</v>
      </c>
      <c r="M185" s="128">
        <v>13.0</v>
      </c>
      <c r="N185" s="123">
        <v>6.0</v>
      </c>
      <c r="O185" s="128">
        <v>15.0</v>
      </c>
      <c r="P185" s="123">
        <v>18.0</v>
      </c>
      <c r="Q185" s="125"/>
      <c r="R185" s="124"/>
    </row>
    <row r="186" ht="15.75" customHeight="1">
      <c r="A186" s="127"/>
      <c r="B186" s="122" t="s">
        <v>3006</v>
      </c>
      <c r="C186" s="128">
        <v>41.0</v>
      </c>
      <c r="D186" s="128">
        <v>1.0</v>
      </c>
      <c r="E186" s="129">
        <v>0.49930555555555556</v>
      </c>
      <c r="F186" s="129">
        <v>0.5298611111111111</v>
      </c>
      <c r="G186" s="34" t="s">
        <v>3257</v>
      </c>
      <c r="H186" s="20" t="s">
        <v>3258</v>
      </c>
      <c r="I186" s="128">
        <v>77.0</v>
      </c>
      <c r="J186" s="128">
        <v>23.0</v>
      </c>
      <c r="K186" s="128">
        <v>25.0</v>
      </c>
      <c r="L186" s="128">
        <v>0.0</v>
      </c>
      <c r="M186" s="128">
        <v>4.0</v>
      </c>
      <c r="N186" s="123">
        <v>28.0</v>
      </c>
      <c r="O186" s="128">
        <v>15.0</v>
      </c>
      <c r="P186" s="123">
        <v>31.0</v>
      </c>
      <c r="Q186" s="125"/>
      <c r="R186" s="124"/>
    </row>
    <row r="187" ht="15.75" customHeight="1">
      <c r="A187" s="127"/>
      <c r="B187" s="122" t="s">
        <v>3008</v>
      </c>
      <c r="C187" s="128">
        <v>39.0</v>
      </c>
      <c r="D187" s="128">
        <v>1.0</v>
      </c>
      <c r="E187" s="129">
        <v>0.5333333333333333</v>
      </c>
      <c r="F187" s="129">
        <v>0.06319444444444444</v>
      </c>
      <c r="G187" s="34" t="s">
        <v>3259</v>
      </c>
      <c r="H187" s="20" t="s">
        <v>3260</v>
      </c>
      <c r="I187" s="128">
        <v>83.0</v>
      </c>
      <c r="J187" s="128">
        <v>41.0</v>
      </c>
      <c r="K187" s="128">
        <v>40.0</v>
      </c>
      <c r="L187" s="128">
        <v>1.0</v>
      </c>
      <c r="M187" s="128">
        <v>5.0</v>
      </c>
      <c r="N187" s="123">
        <v>1.0</v>
      </c>
      <c r="O187" s="128">
        <v>45.0</v>
      </c>
      <c r="P187" s="123">
        <v>35.0</v>
      </c>
      <c r="Q187" s="125"/>
      <c r="R187" s="124"/>
    </row>
    <row r="188" ht="15.75" customHeight="1">
      <c r="A188" s="127"/>
      <c r="B188" s="122" t="s">
        <v>3009</v>
      </c>
      <c r="C188" s="128">
        <v>43.0</v>
      </c>
      <c r="D188" s="128">
        <v>2.0</v>
      </c>
      <c r="E188" s="129">
        <v>0.06597222222222222</v>
      </c>
      <c r="F188" s="129">
        <v>0.1076388888888889</v>
      </c>
      <c r="G188" s="34" t="s">
        <v>3261</v>
      </c>
      <c r="H188" s="20" t="s">
        <v>3262</v>
      </c>
      <c r="I188" s="128">
        <v>53.0</v>
      </c>
      <c r="J188" s="128">
        <v>27.0</v>
      </c>
      <c r="K188" s="128">
        <v>25.0</v>
      </c>
      <c r="L188" s="128">
        <v>1.0</v>
      </c>
      <c r="M188" s="128">
        <v>6.0</v>
      </c>
      <c r="N188" s="123">
        <v>0.0</v>
      </c>
      <c r="O188" s="128">
        <v>28.0</v>
      </c>
      <c r="P188" s="123">
        <v>19.0</v>
      </c>
      <c r="Q188" s="125"/>
      <c r="R188" s="124"/>
    </row>
    <row r="189" ht="15.75" customHeight="1">
      <c r="A189" s="127"/>
      <c r="B189" s="122" t="s">
        <v>3006</v>
      </c>
      <c r="C189" s="128">
        <v>42.0</v>
      </c>
      <c r="D189" s="128">
        <v>2.0</v>
      </c>
      <c r="E189" s="129">
        <v>0.1125</v>
      </c>
      <c r="F189" s="129">
        <v>0.14722222222222223</v>
      </c>
      <c r="G189" s="34" t="s">
        <v>3263</v>
      </c>
      <c r="H189" s="20" t="s">
        <v>3264</v>
      </c>
      <c r="I189" s="128">
        <v>80.0</v>
      </c>
      <c r="J189" s="128">
        <v>20.0</v>
      </c>
      <c r="K189" s="128">
        <v>21.0</v>
      </c>
      <c r="L189" s="128">
        <v>1.0</v>
      </c>
      <c r="M189" s="128">
        <v>4.0</v>
      </c>
      <c r="N189" s="123">
        <v>38.0</v>
      </c>
      <c r="O189" s="128">
        <v>10.0</v>
      </c>
      <c r="P189" s="123">
        <v>28.0</v>
      </c>
      <c r="Q189" s="125"/>
      <c r="R189" s="124"/>
    </row>
    <row r="190" ht="15.75" customHeight="1">
      <c r="A190" s="127"/>
      <c r="B190" s="122" t="s">
        <v>3008</v>
      </c>
      <c r="C190" s="128">
        <v>40.0</v>
      </c>
      <c r="D190" s="128">
        <v>2.0</v>
      </c>
      <c r="E190" s="129">
        <v>0.1527777777777778</v>
      </c>
      <c r="F190" s="129">
        <v>0.18541666666666667</v>
      </c>
      <c r="G190" s="34" t="s">
        <v>3265</v>
      </c>
      <c r="H190" s="20" t="s">
        <v>3266</v>
      </c>
      <c r="I190" s="128">
        <v>92.0</v>
      </c>
      <c r="J190" s="128">
        <v>48.0</v>
      </c>
      <c r="K190" s="128">
        <v>43.0</v>
      </c>
      <c r="L190" s="128">
        <v>0.0</v>
      </c>
      <c r="M190" s="128">
        <v>7.0</v>
      </c>
      <c r="N190" s="123">
        <v>1.0</v>
      </c>
      <c r="O190" s="128">
        <v>26.0</v>
      </c>
      <c r="P190" s="123">
        <v>59.0</v>
      </c>
      <c r="Q190" s="125"/>
      <c r="R190" s="124"/>
    </row>
    <row r="191" ht="15.75" customHeight="1">
      <c r="A191" s="127"/>
      <c r="B191" s="122" t="s">
        <v>3009</v>
      </c>
      <c r="C191" s="128">
        <v>44.0</v>
      </c>
      <c r="D191" s="128">
        <v>3.0</v>
      </c>
      <c r="E191" s="129">
        <v>0.18888888888888888</v>
      </c>
      <c r="F191" s="129">
        <v>0.22847222222222222</v>
      </c>
      <c r="G191" s="34" t="s">
        <v>3267</v>
      </c>
      <c r="H191" s="20" t="s">
        <v>3268</v>
      </c>
      <c r="I191" s="128">
        <v>48.0</v>
      </c>
      <c r="J191" s="128">
        <v>27.0</v>
      </c>
      <c r="K191" s="128">
        <v>21.0</v>
      </c>
      <c r="L191" s="128">
        <v>0.0</v>
      </c>
      <c r="M191" s="128">
        <v>6.0</v>
      </c>
      <c r="N191" s="123">
        <v>0.0</v>
      </c>
      <c r="O191" s="128">
        <v>30.0</v>
      </c>
      <c r="P191" s="123">
        <v>14.0</v>
      </c>
      <c r="Q191" s="125"/>
      <c r="R191" s="124"/>
    </row>
    <row r="192" ht="15.75" customHeight="1">
      <c r="A192" s="127"/>
      <c r="B192" s="122"/>
      <c r="C192" s="128"/>
      <c r="D192" s="128"/>
      <c r="E192" s="129"/>
      <c r="F192" s="129"/>
      <c r="G192" s="20"/>
      <c r="H192" s="20"/>
      <c r="I192" s="128"/>
      <c r="J192" s="128"/>
      <c r="K192" s="128"/>
      <c r="L192" s="128"/>
      <c r="M192" s="128"/>
      <c r="N192" s="123"/>
      <c r="O192" s="128"/>
      <c r="P192" s="123"/>
      <c r="Q192" s="125"/>
      <c r="R192" s="124"/>
    </row>
    <row r="193" ht="15.75" customHeight="1">
      <c r="A193" s="127">
        <v>45544.0</v>
      </c>
      <c r="B193" s="122" t="s">
        <v>3009</v>
      </c>
      <c r="C193" s="128">
        <v>45.0</v>
      </c>
      <c r="D193" s="128">
        <v>1.0</v>
      </c>
      <c r="E193" s="129">
        <v>0.4305555555555556</v>
      </c>
      <c r="F193" s="129">
        <v>0.4756944444444444</v>
      </c>
      <c r="G193" s="34" t="s">
        <v>3269</v>
      </c>
      <c r="H193" s="20" t="s">
        <v>3270</v>
      </c>
      <c r="I193" s="128">
        <v>63.0</v>
      </c>
      <c r="J193" s="128">
        <v>23.0</v>
      </c>
      <c r="K193" s="128">
        <v>28.0</v>
      </c>
      <c r="L193" s="128">
        <v>0.0</v>
      </c>
      <c r="M193" s="128">
        <v>15.0</v>
      </c>
      <c r="N193" s="123">
        <v>11.0</v>
      </c>
      <c r="O193" s="128">
        <v>16.0</v>
      </c>
      <c r="P193" s="123">
        <v>22.0</v>
      </c>
      <c r="Q193" s="125"/>
      <c r="R193" s="124"/>
    </row>
    <row r="194" ht="15.75" customHeight="1">
      <c r="A194" s="127"/>
      <c r="B194" s="122" t="s">
        <v>3006</v>
      </c>
      <c r="C194" s="128">
        <v>43.0</v>
      </c>
      <c r="D194" s="128">
        <v>1.0</v>
      </c>
      <c r="E194" s="129">
        <v>0.4791666666666667</v>
      </c>
      <c r="F194" s="129">
        <v>0.5125</v>
      </c>
      <c r="G194" s="34" t="s">
        <v>3271</v>
      </c>
      <c r="H194" s="20" t="s">
        <v>3272</v>
      </c>
      <c r="I194" s="128">
        <v>65.0</v>
      </c>
      <c r="J194" s="128">
        <v>6.0</v>
      </c>
      <c r="K194" s="128">
        <v>11.0</v>
      </c>
      <c r="L194" s="128">
        <v>0.0</v>
      </c>
      <c r="M194" s="128">
        <v>4.0</v>
      </c>
      <c r="N194" s="123">
        <v>47.0</v>
      </c>
      <c r="O194" s="128">
        <v>9.0</v>
      </c>
      <c r="P194" s="123">
        <v>5.0</v>
      </c>
      <c r="Q194" s="125"/>
      <c r="R194" s="124"/>
    </row>
    <row r="195" ht="15.75" customHeight="1">
      <c r="A195" s="127"/>
      <c r="B195" s="122" t="s">
        <v>3008</v>
      </c>
      <c r="C195" s="128">
        <v>41.0</v>
      </c>
      <c r="D195" s="128">
        <v>1.0</v>
      </c>
      <c r="E195" s="129">
        <v>0.5159722222222223</v>
      </c>
      <c r="F195" s="129">
        <v>0.04861111111111111</v>
      </c>
      <c r="G195" s="34" t="s">
        <v>3273</v>
      </c>
      <c r="H195" s="20" t="s">
        <v>3274</v>
      </c>
      <c r="I195" s="128">
        <v>88.0</v>
      </c>
      <c r="J195" s="128">
        <v>43.0</v>
      </c>
      <c r="K195" s="128">
        <v>43.0</v>
      </c>
      <c r="L195" s="128">
        <v>0.0</v>
      </c>
      <c r="M195" s="128">
        <v>9.0</v>
      </c>
      <c r="N195" s="123">
        <v>2.0</v>
      </c>
      <c r="O195" s="128">
        <v>44.0</v>
      </c>
      <c r="P195" s="123">
        <v>34.0</v>
      </c>
      <c r="Q195" s="125"/>
      <c r="R195" s="124"/>
    </row>
    <row r="196" ht="15.75" customHeight="1">
      <c r="A196" s="127"/>
      <c r="B196" s="122" t="s">
        <v>3009</v>
      </c>
      <c r="C196" s="128">
        <v>46.0</v>
      </c>
      <c r="D196" s="128">
        <v>2.0</v>
      </c>
      <c r="E196" s="129">
        <v>0.05277777777777778</v>
      </c>
      <c r="F196" s="129">
        <v>0.10138888888888889</v>
      </c>
      <c r="G196" s="34" t="s">
        <v>3275</v>
      </c>
      <c r="H196" s="20" t="s">
        <v>3276</v>
      </c>
      <c r="I196" s="128">
        <v>76.0</v>
      </c>
      <c r="J196" s="128">
        <v>35.0</v>
      </c>
      <c r="K196" s="128">
        <v>26.0</v>
      </c>
      <c r="L196" s="128">
        <v>0.0</v>
      </c>
      <c r="M196" s="123">
        <v>7.0</v>
      </c>
      <c r="N196" s="128">
        <v>15.0</v>
      </c>
      <c r="O196" s="123">
        <v>28.0</v>
      </c>
      <c r="P196" s="13">
        <v>26.0</v>
      </c>
      <c r="Q196" s="125"/>
      <c r="R196" s="124"/>
    </row>
    <row r="197" ht="15.75" customHeight="1">
      <c r="A197" s="127"/>
      <c r="B197" s="122" t="s">
        <v>3006</v>
      </c>
      <c r="C197" s="128">
        <v>44.0</v>
      </c>
      <c r="D197" s="128">
        <v>2.0</v>
      </c>
      <c r="E197" s="129">
        <v>0.10694444444444444</v>
      </c>
      <c r="F197" s="129">
        <v>0.14027777777777778</v>
      </c>
      <c r="G197" s="34" t="s">
        <v>3277</v>
      </c>
      <c r="H197" s="20"/>
      <c r="I197" s="128">
        <v>86.0</v>
      </c>
      <c r="J197" s="128">
        <v>22.0</v>
      </c>
      <c r="K197" s="128">
        <v>30.0</v>
      </c>
      <c r="L197" s="128">
        <v>0.0</v>
      </c>
      <c r="M197" s="128">
        <v>5.0</v>
      </c>
      <c r="N197" s="123">
        <v>34.0</v>
      </c>
      <c r="O197" s="128">
        <v>20.0</v>
      </c>
      <c r="P197" s="123">
        <v>28.0</v>
      </c>
      <c r="Q197" s="125"/>
      <c r="R197" s="124"/>
    </row>
    <row r="198" ht="15.75" customHeight="1">
      <c r="A198" s="127"/>
      <c r="B198" s="122" t="s">
        <v>3008</v>
      </c>
      <c r="C198" s="128">
        <v>42.0</v>
      </c>
      <c r="D198" s="128">
        <v>2.0</v>
      </c>
      <c r="E198" s="129">
        <v>0.14444444444444443</v>
      </c>
      <c r="F198" s="129">
        <v>0.17569444444444443</v>
      </c>
      <c r="G198" s="34" t="s">
        <v>3278</v>
      </c>
      <c r="H198" s="20" t="s">
        <v>3225</v>
      </c>
      <c r="I198" s="128">
        <v>90.0</v>
      </c>
      <c r="J198" s="128">
        <v>43.0</v>
      </c>
      <c r="K198" s="128">
        <v>45.0</v>
      </c>
      <c r="L198" s="128">
        <v>0.0</v>
      </c>
      <c r="M198" s="128">
        <v>9.0</v>
      </c>
      <c r="N198" s="123">
        <v>2.0</v>
      </c>
      <c r="O198" s="128">
        <v>30.0</v>
      </c>
      <c r="P198" s="123">
        <v>50.0</v>
      </c>
      <c r="Q198" s="125"/>
      <c r="R198" s="124"/>
    </row>
    <row r="199" ht="15.75" customHeight="1">
      <c r="A199" s="127"/>
      <c r="B199" s="122" t="s">
        <v>3009</v>
      </c>
      <c r="C199" s="128">
        <v>47.0</v>
      </c>
      <c r="D199" s="128">
        <v>3.0</v>
      </c>
      <c r="E199" s="129">
        <v>0.17916666666666667</v>
      </c>
      <c r="F199" s="129">
        <v>0.22777777777777777</v>
      </c>
      <c r="G199" s="34" t="s">
        <v>3279</v>
      </c>
      <c r="H199" s="20" t="s">
        <v>3280</v>
      </c>
      <c r="I199" s="128">
        <v>81.0</v>
      </c>
      <c r="J199" s="128">
        <v>32.0</v>
      </c>
      <c r="K199" s="128">
        <v>32.0</v>
      </c>
      <c r="L199" s="128">
        <v>5.0</v>
      </c>
      <c r="M199" s="128">
        <v>4.0</v>
      </c>
      <c r="N199" s="123">
        <v>11.0</v>
      </c>
      <c r="O199" s="128">
        <v>38.0</v>
      </c>
      <c r="P199" s="123">
        <v>22.0</v>
      </c>
      <c r="Q199" s="125"/>
      <c r="R199" s="124"/>
    </row>
    <row r="200" ht="15.75" customHeight="1">
      <c r="A200" s="127"/>
      <c r="B200" s="122"/>
      <c r="C200" s="128"/>
      <c r="D200" s="128"/>
      <c r="E200" s="129"/>
      <c r="F200" s="129"/>
      <c r="G200" s="20"/>
      <c r="H200" s="20"/>
      <c r="I200" s="128"/>
      <c r="J200" s="128"/>
      <c r="K200" s="128"/>
      <c r="L200" s="128"/>
      <c r="M200" s="128"/>
      <c r="N200" s="123"/>
      <c r="O200" s="128"/>
      <c r="P200" s="123"/>
      <c r="Q200" s="125"/>
      <c r="R200" s="124"/>
    </row>
    <row r="201" ht="15.75" customHeight="1">
      <c r="A201" s="127">
        <v>45545.0</v>
      </c>
      <c r="B201" s="122" t="s">
        <v>3009</v>
      </c>
      <c r="C201" s="128">
        <v>48.0</v>
      </c>
      <c r="D201" s="128">
        <v>1.0</v>
      </c>
      <c r="E201" s="129">
        <v>0.43680555555555556</v>
      </c>
      <c r="F201" s="129">
        <v>0.47847222222222224</v>
      </c>
      <c r="G201" s="34" t="s">
        <v>3281</v>
      </c>
      <c r="H201" s="20" t="s">
        <v>3282</v>
      </c>
      <c r="I201" s="128">
        <v>61.0</v>
      </c>
      <c r="J201" s="128">
        <v>27.0</v>
      </c>
      <c r="K201" s="128">
        <v>30.0</v>
      </c>
      <c r="L201" s="128">
        <v>1.0</v>
      </c>
      <c r="M201" s="128">
        <v>21.0</v>
      </c>
      <c r="N201" s="123">
        <v>2.0</v>
      </c>
      <c r="O201" s="128">
        <v>16.0</v>
      </c>
      <c r="P201" s="123">
        <v>21.0</v>
      </c>
      <c r="Q201" s="125"/>
      <c r="R201" s="124"/>
    </row>
    <row r="202" ht="15.75" customHeight="1">
      <c r="A202" s="127"/>
      <c r="B202" s="122" t="s">
        <v>3006</v>
      </c>
      <c r="C202" s="128">
        <v>45.0</v>
      </c>
      <c r="D202" s="128">
        <v>1.0</v>
      </c>
      <c r="E202" s="129">
        <v>0.48333333333333334</v>
      </c>
      <c r="F202" s="129">
        <v>0.5194444444444445</v>
      </c>
      <c r="G202" s="34" t="s">
        <v>3283</v>
      </c>
      <c r="H202" s="13" t="s">
        <v>3284</v>
      </c>
      <c r="I202" s="128">
        <v>93.0</v>
      </c>
      <c r="J202" s="128">
        <v>19.0</v>
      </c>
      <c r="K202" s="128">
        <v>34.0</v>
      </c>
      <c r="L202" s="128">
        <v>1.0</v>
      </c>
      <c r="M202" s="128">
        <v>6.0</v>
      </c>
      <c r="N202" s="123">
        <v>38.0</v>
      </c>
      <c r="O202" s="128">
        <v>15.0</v>
      </c>
      <c r="P202" s="123">
        <v>33.0</v>
      </c>
      <c r="Q202" s="125"/>
      <c r="R202" s="124"/>
    </row>
    <row r="203" ht="15.75" customHeight="1">
      <c r="A203" s="127"/>
      <c r="B203" s="122" t="s">
        <v>3008</v>
      </c>
      <c r="C203" s="128">
        <v>43.0</v>
      </c>
      <c r="D203" s="128">
        <v>1.0</v>
      </c>
      <c r="E203" s="129">
        <v>0.5222222222222223</v>
      </c>
      <c r="F203" s="129">
        <v>0.058333333333333334</v>
      </c>
      <c r="G203" s="34" t="s">
        <v>3285</v>
      </c>
      <c r="H203" s="20" t="s">
        <v>3286</v>
      </c>
      <c r="I203" s="128">
        <v>103.0</v>
      </c>
      <c r="J203" s="128">
        <v>46.0</v>
      </c>
      <c r="K203" s="128">
        <v>52.0</v>
      </c>
      <c r="L203" s="128">
        <v>1.0</v>
      </c>
      <c r="M203" s="128">
        <v>8.0</v>
      </c>
      <c r="N203" s="123">
        <v>4.0</v>
      </c>
      <c r="O203" s="128">
        <v>55.0</v>
      </c>
      <c r="P203" s="123">
        <v>37.0</v>
      </c>
      <c r="Q203" s="125"/>
      <c r="R203" s="124"/>
    </row>
    <row r="204" ht="15.75" customHeight="1">
      <c r="A204" s="127"/>
      <c r="B204" s="122" t="s">
        <v>3009</v>
      </c>
      <c r="C204" s="128">
        <v>49.0</v>
      </c>
      <c r="D204" s="128">
        <v>2.0</v>
      </c>
      <c r="E204" s="129">
        <v>0.0625</v>
      </c>
      <c r="F204" s="129">
        <v>0.11041666666666666</v>
      </c>
      <c r="G204" s="34" t="s">
        <v>3287</v>
      </c>
      <c r="H204" s="20" t="s">
        <v>3288</v>
      </c>
      <c r="I204" s="128">
        <v>70.0</v>
      </c>
      <c r="J204" s="128">
        <v>33.0</v>
      </c>
      <c r="K204" s="128">
        <v>28.0</v>
      </c>
      <c r="L204" s="128">
        <v>2.0</v>
      </c>
      <c r="M204" s="128">
        <v>6.0</v>
      </c>
      <c r="N204" s="123">
        <v>6.0</v>
      </c>
      <c r="O204" s="128">
        <v>32.0</v>
      </c>
      <c r="P204" s="123">
        <v>24.0</v>
      </c>
      <c r="Q204" s="125"/>
      <c r="R204" s="124"/>
    </row>
    <row r="205" ht="15.75" customHeight="1">
      <c r="A205" s="127"/>
      <c r="B205" s="122" t="s">
        <v>3006</v>
      </c>
      <c r="C205" s="128">
        <v>46.0</v>
      </c>
      <c r="D205" s="128">
        <v>2.0</v>
      </c>
      <c r="E205" s="129">
        <v>0.11458333333333333</v>
      </c>
      <c r="F205" s="129">
        <v>0.1423611111111111</v>
      </c>
      <c r="G205" s="34" t="s">
        <v>3289</v>
      </c>
      <c r="H205" s="20" t="s">
        <v>3290</v>
      </c>
      <c r="I205" s="128">
        <v>72.0</v>
      </c>
      <c r="J205" s="128">
        <v>14.0</v>
      </c>
      <c r="K205" s="128">
        <v>22.0</v>
      </c>
      <c r="L205" s="128">
        <v>1.0</v>
      </c>
      <c r="M205" s="128">
        <v>0.0</v>
      </c>
      <c r="N205" s="123">
        <v>34.0</v>
      </c>
      <c r="O205" s="128">
        <v>15.0</v>
      </c>
      <c r="P205" s="123">
        <v>21.0</v>
      </c>
      <c r="Q205" s="125"/>
      <c r="R205" s="124"/>
    </row>
    <row r="206" ht="15.75" customHeight="1">
      <c r="A206" s="127"/>
      <c r="B206" s="122" t="s">
        <v>3008</v>
      </c>
      <c r="C206" s="128">
        <v>44.0</v>
      </c>
      <c r="D206" s="128">
        <v>2.0</v>
      </c>
      <c r="E206" s="129">
        <v>0.10347222222222222</v>
      </c>
      <c r="F206" s="129">
        <v>0.175</v>
      </c>
      <c r="G206" s="34" t="s">
        <v>3291</v>
      </c>
      <c r="H206" s="20" t="s">
        <v>3274</v>
      </c>
      <c r="I206" s="128">
        <v>85.0</v>
      </c>
      <c r="J206" s="128">
        <v>37.0</v>
      </c>
      <c r="K206" s="128">
        <v>33.0</v>
      </c>
      <c r="L206" s="128">
        <v>2.0</v>
      </c>
      <c r="M206" s="128">
        <v>4.0</v>
      </c>
      <c r="N206" s="123">
        <v>12.0</v>
      </c>
      <c r="O206" s="128">
        <v>31.0</v>
      </c>
      <c r="P206" s="123">
        <v>36.0</v>
      </c>
      <c r="Q206" s="125"/>
      <c r="R206" s="124"/>
    </row>
    <row r="207" ht="15.75" customHeight="1">
      <c r="A207" s="127"/>
      <c r="B207" s="122" t="s">
        <v>3009</v>
      </c>
      <c r="C207" s="128">
        <v>50.0</v>
      </c>
      <c r="D207" s="128">
        <v>3.0</v>
      </c>
      <c r="E207" s="129">
        <v>0.17916666666666667</v>
      </c>
      <c r="F207" s="129">
        <v>0.2326388888888889</v>
      </c>
      <c r="G207" s="34" t="s">
        <v>3292</v>
      </c>
      <c r="H207" s="20" t="s">
        <v>3293</v>
      </c>
      <c r="I207" s="128">
        <v>73.0</v>
      </c>
      <c r="J207" s="128">
        <v>30.0</v>
      </c>
      <c r="K207" s="128">
        <v>38.0</v>
      </c>
      <c r="L207" s="128">
        <v>4.0</v>
      </c>
      <c r="M207" s="128">
        <v>9.0</v>
      </c>
      <c r="N207" s="123">
        <v>10.0</v>
      </c>
      <c r="O207" s="128">
        <v>30.0</v>
      </c>
      <c r="P207" s="123">
        <v>20.0</v>
      </c>
      <c r="Q207" s="125"/>
      <c r="R207" s="124"/>
    </row>
    <row r="208" ht="15.75" customHeight="1">
      <c r="A208" s="127"/>
      <c r="B208" s="122"/>
      <c r="C208" s="128"/>
      <c r="D208" s="128"/>
      <c r="E208" s="129"/>
      <c r="F208" s="129"/>
      <c r="G208" s="20"/>
      <c r="H208" s="20"/>
      <c r="I208" s="128"/>
      <c r="J208" s="128"/>
      <c r="K208" s="128"/>
      <c r="L208" s="128"/>
      <c r="M208" s="128"/>
      <c r="N208" s="123"/>
      <c r="O208" s="128"/>
      <c r="P208" s="123"/>
      <c r="Q208" s="125"/>
      <c r="R208" s="124"/>
    </row>
    <row r="209" ht="15.75" customHeight="1">
      <c r="A209" s="127">
        <v>45546.0</v>
      </c>
      <c r="B209" s="122" t="s">
        <v>3009</v>
      </c>
      <c r="C209" s="128">
        <v>51.0</v>
      </c>
      <c r="D209" s="128">
        <v>1.0</v>
      </c>
      <c r="E209" s="129">
        <v>0.42916666666666664</v>
      </c>
      <c r="F209" s="129">
        <v>0.4736111111111111</v>
      </c>
      <c r="G209" s="34" t="s">
        <v>3294</v>
      </c>
      <c r="H209" s="20" t="s">
        <v>3295</v>
      </c>
      <c r="I209" s="128">
        <v>54.0</v>
      </c>
      <c r="J209" s="128">
        <v>25.0</v>
      </c>
      <c r="K209" s="128">
        <v>29.0</v>
      </c>
      <c r="L209" s="128">
        <v>0.0</v>
      </c>
      <c r="M209" s="128">
        <v>17.0</v>
      </c>
      <c r="N209" s="123">
        <v>0.0</v>
      </c>
      <c r="O209" s="128">
        <v>17.0</v>
      </c>
      <c r="P209" s="123">
        <v>21.0</v>
      </c>
      <c r="Q209" s="125"/>
      <c r="R209" s="124"/>
    </row>
    <row r="210" ht="15.75" customHeight="1">
      <c r="A210" s="127"/>
      <c r="B210" s="122" t="s">
        <v>3006</v>
      </c>
      <c r="C210" s="128">
        <v>47.0</v>
      </c>
      <c r="D210" s="128">
        <v>1.0</v>
      </c>
      <c r="E210" s="129">
        <v>0.47708333333333336</v>
      </c>
      <c r="F210" s="129">
        <v>0.5138888888888888</v>
      </c>
      <c r="G210" s="34" t="s">
        <v>3296</v>
      </c>
      <c r="H210" s="20" t="s">
        <v>3297</v>
      </c>
      <c r="I210" s="128">
        <v>79.0</v>
      </c>
      <c r="J210" s="128">
        <v>20.0</v>
      </c>
      <c r="K210" s="128">
        <v>22.0</v>
      </c>
      <c r="L210" s="128">
        <v>0.0</v>
      </c>
      <c r="M210" s="128">
        <v>8.0</v>
      </c>
      <c r="N210" s="123">
        <v>37.0</v>
      </c>
      <c r="O210" s="128">
        <v>5.0</v>
      </c>
      <c r="P210" s="123">
        <v>31.0</v>
      </c>
      <c r="Q210" s="125"/>
      <c r="R210" s="124"/>
    </row>
    <row r="211" ht="15.75" customHeight="1">
      <c r="A211" s="127"/>
      <c r="B211" s="122" t="s">
        <v>3008</v>
      </c>
      <c r="C211" s="128">
        <v>45.0</v>
      </c>
      <c r="D211" s="128">
        <v>1.0</v>
      </c>
      <c r="E211" s="129">
        <v>0.5166666666666667</v>
      </c>
      <c r="F211" s="129">
        <v>0.04791666666666667</v>
      </c>
      <c r="G211" s="34" t="s">
        <v>3298</v>
      </c>
      <c r="H211" s="20"/>
      <c r="I211" s="128">
        <v>81.0</v>
      </c>
      <c r="J211" s="128">
        <v>35.0</v>
      </c>
      <c r="K211" s="128">
        <v>31.0</v>
      </c>
      <c r="L211" s="128">
        <v>0.0</v>
      </c>
      <c r="M211" s="128">
        <v>6.0</v>
      </c>
      <c r="N211" s="123">
        <v>14.0</v>
      </c>
      <c r="O211" s="128">
        <v>29.0</v>
      </c>
      <c r="P211" s="123">
        <v>33.0</v>
      </c>
      <c r="Q211" s="125"/>
      <c r="R211" s="124"/>
    </row>
    <row r="212" ht="15.75" customHeight="1">
      <c r="A212" s="127"/>
      <c r="B212" s="122" t="s">
        <v>3009</v>
      </c>
      <c r="C212" s="128">
        <v>52.0</v>
      </c>
      <c r="D212" s="128">
        <v>2.0</v>
      </c>
      <c r="E212" s="129">
        <v>0.05416666666666667</v>
      </c>
      <c r="F212" s="129">
        <v>0.09722222222222222</v>
      </c>
      <c r="G212" s="34" t="s">
        <v>3299</v>
      </c>
      <c r="H212" s="20" t="s">
        <v>3300</v>
      </c>
      <c r="I212" s="128">
        <v>63.0</v>
      </c>
      <c r="J212" s="128">
        <v>28.0</v>
      </c>
      <c r="K212" s="128">
        <v>29.0</v>
      </c>
      <c r="L212" s="128">
        <v>1.0</v>
      </c>
      <c r="M212" s="128">
        <v>4.0</v>
      </c>
      <c r="N212" s="123">
        <v>5.0</v>
      </c>
      <c r="O212" s="128">
        <v>31.0</v>
      </c>
      <c r="P212" s="123">
        <v>22.0</v>
      </c>
      <c r="Q212" s="125"/>
      <c r="R212" s="124"/>
    </row>
    <row r="213" ht="15.75" customHeight="1">
      <c r="A213" s="127"/>
      <c r="B213" s="122" t="s">
        <v>3006</v>
      </c>
      <c r="C213" s="128">
        <v>48.0</v>
      </c>
      <c r="D213" s="128">
        <v>2.0</v>
      </c>
      <c r="E213" s="129">
        <v>0.10138888888888889</v>
      </c>
      <c r="F213" s="129">
        <v>0.1326388888888889</v>
      </c>
      <c r="G213" s="34" t="s">
        <v>3301</v>
      </c>
      <c r="H213" s="20" t="s">
        <v>3302</v>
      </c>
      <c r="I213" s="128">
        <v>71.0</v>
      </c>
      <c r="J213" s="128">
        <v>18.0</v>
      </c>
      <c r="K213" s="128">
        <v>23.0</v>
      </c>
      <c r="L213" s="128">
        <v>0.0</v>
      </c>
      <c r="M213" s="128">
        <v>3.0</v>
      </c>
      <c r="N213" s="123">
        <v>30.0</v>
      </c>
      <c r="O213" s="128">
        <v>9.0</v>
      </c>
      <c r="P213" s="123">
        <v>30.0</v>
      </c>
      <c r="Q213" s="125"/>
      <c r="R213" s="124"/>
    </row>
    <row r="214" ht="15.75" customHeight="1">
      <c r="A214" s="127"/>
      <c r="B214" s="122" t="s">
        <v>3008</v>
      </c>
      <c r="C214" s="128">
        <v>46.0</v>
      </c>
      <c r="D214" s="128">
        <v>2.0</v>
      </c>
      <c r="E214" s="129">
        <v>0.13541666666666666</v>
      </c>
      <c r="F214" s="129">
        <v>0.16875</v>
      </c>
      <c r="G214" s="34" t="s">
        <v>3303</v>
      </c>
      <c r="H214" s="20" t="s">
        <v>3280</v>
      </c>
      <c r="I214" s="128">
        <v>90.0</v>
      </c>
      <c r="J214" s="128">
        <v>38.0</v>
      </c>
      <c r="K214" s="128">
        <v>31.0</v>
      </c>
      <c r="L214" s="128">
        <v>0.0</v>
      </c>
      <c r="M214" s="128">
        <v>3.0</v>
      </c>
      <c r="N214" s="123">
        <v>20.0</v>
      </c>
      <c r="O214" s="128">
        <v>33.0</v>
      </c>
      <c r="P214" s="123">
        <v>35.0</v>
      </c>
      <c r="Q214" s="125"/>
      <c r="R214" s="124"/>
    </row>
    <row r="215" ht="15.75" customHeight="1">
      <c r="A215" s="127"/>
      <c r="B215" s="122" t="s">
        <v>3009</v>
      </c>
      <c r="C215" s="128">
        <v>53.0</v>
      </c>
      <c r="D215" s="128">
        <v>3.0</v>
      </c>
      <c r="E215" s="129">
        <v>0.17222222222222222</v>
      </c>
      <c r="F215" s="129">
        <v>0.21458333333333332</v>
      </c>
      <c r="G215" s="34" t="s">
        <v>3304</v>
      </c>
      <c r="H215" s="20" t="s">
        <v>3305</v>
      </c>
      <c r="I215" s="128">
        <v>35.0</v>
      </c>
      <c r="J215" s="128">
        <v>15.0</v>
      </c>
      <c r="K215" s="128">
        <v>16.0</v>
      </c>
      <c r="L215" s="128">
        <v>0.0</v>
      </c>
      <c r="M215" s="128">
        <v>7.0</v>
      </c>
      <c r="N215" s="123">
        <v>3.0</v>
      </c>
      <c r="O215" s="128">
        <v>15.0</v>
      </c>
      <c r="P215" s="123">
        <v>9.0</v>
      </c>
      <c r="Q215" s="125"/>
      <c r="R215" s="124"/>
    </row>
    <row r="216" ht="15.75" customHeight="1">
      <c r="A216" s="127"/>
      <c r="B216" s="122"/>
      <c r="C216" s="128"/>
      <c r="D216" s="128"/>
      <c r="E216" s="129"/>
      <c r="F216" s="129"/>
      <c r="G216" s="20"/>
      <c r="H216" s="20"/>
      <c r="I216" s="128"/>
      <c r="J216" s="128"/>
      <c r="K216" s="128"/>
      <c r="L216" s="128"/>
      <c r="M216" s="128"/>
      <c r="N216" s="123"/>
      <c r="O216" s="128"/>
      <c r="P216" s="123"/>
      <c r="Q216" s="125"/>
      <c r="R216" s="124"/>
    </row>
    <row r="217" ht="15.75" customHeight="1">
      <c r="A217" s="127">
        <v>45559.0</v>
      </c>
      <c r="B217" s="122" t="s">
        <v>3009</v>
      </c>
      <c r="C217" s="128">
        <v>54.0</v>
      </c>
      <c r="D217" s="128">
        <v>1.0</v>
      </c>
      <c r="E217" s="129">
        <v>0.4895833333333333</v>
      </c>
      <c r="F217" s="129">
        <v>0.5069444444444444</v>
      </c>
      <c r="G217" s="34" t="s">
        <v>3306</v>
      </c>
      <c r="H217" s="20" t="s">
        <v>3307</v>
      </c>
      <c r="I217" s="128">
        <v>2.0</v>
      </c>
      <c r="J217" s="128">
        <v>0.0</v>
      </c>
      <c r="K217" s="128">
        <v>1.0</v>
      </c>
      <c r="L217" s="128">
        <v>0.0</v>
      </c>
      <c r="M217" s="128">
        <v>1.0</v>
      </c>
      <c r="N217" s="123">
        <v>0.0</v>
      </c>
      <c r="O217" s="128">
        <v>0.0</v>
      </c>
      <c r="P217" s="123">
        <v>1.0</v>
      </c>
      <c r="Q217" s="125"/>
      <c r="R217" s="124"/>
    </row>
    <row r="218" ht="15.75" customHeight="1">
      <c r="A218" s="127"/>
      <c r="B218" s="122" t="s">
        <v>3009</v>
      </c>
      <c r="C218" s="128">
        <v>55.0</v>
      </c>
      <c r="D218" s="128">
        <v>2.0</v>
      </c>
      <c r="E218" s="129">
        <v>0.06597222222222222</v>
      </c>
      <c r="F218" s="129">
        <v>0.07847222222222222</v>
      </c>
      <c r="G218" s="34" t="s">
        <v>3308</v>
      </c>
      <c r="H218" s="20" t="s">
        <v>3309</v>
      </c>
      <c r="I218" s="128">
        <v>3.0</v>
      </c>
      <c r="J218" s="128">
        <v>0.0</v>
      </c>
      <c r="K218" s="128">
        <v>3.0</v>
      </c>
      <c r="L218" s="128">
        <v>0.0</v>
      </c>
      <c r="M218" s="128">
        <v>2.0</v>
      </c>
      <c r="N218" s="123">
        <v>0.0</v>
      </c>
      <c r="O218" s="128">
        <v>0.0</v>
      </c>
      <c r="P218" s="123">
        <v>1.0</v>
      </c>
      <c r="Q218" s="125"/>
      <c r="R218" s="124"/>
    </row>
    <row r="219" ht="15.75" customHeight="1">
      <c r="A219" s="127"/>
      <c r="B219" s="122"/>
      <c r="C219" s="128"/>
      <c r="D219" s="128"/>
      <c r="E219" s="129"/>
      <c r="F219" s="129"/>
      <c r="G219" s="20"/>
      <c r="H219" s="20"/>
      <c r="I219" s="128"/>
      <c r="J219" s="128"/>
      <c r="K219" s="128"/>
      <c r="L219" s="128"/>
      <c r="M219" s="128"/>
      <c r="N219" s="123"/>
      <c r="O219" s="128"/>
      <c r="P219" s="123"/>
      <c r="Q219" s="125"/>
      <c r="R219" s="124"/>
    </row>
    <row r="220" ht="15.75" customHeight="1">
      <c r="A220" s="127"/>
      <c r="B220" s="122"/>
      <c r="C220" s="128"/>
      <c r="D220" s="128"/>
      <c r="E220" s="129"/>
      <c r="F220" s="129"/>
      <c r="G220" s="20"/>
      <c r="H220" s="20"/>
      <c r="I220" s="128"/>
      <c r="J220" s="128"/>
      <c r="K220" s="128"/>
      <c r="L220" s="128"/>
      <c r="M220" s="128"/>
      <c r="N220" s="123"/>
      <c r="O220" s="128"/>
      <c r="P220" s="123"/>
      <c r="Q220" s="125"/>
      <c r="R220" s="124"/>
    </row>
    <row r="221" ht="15.75" customHeight="1">
      <c r="A221" s="127"/>
      <c r="B221" s="122"/>
      <c r="C221" s="128"/>
      <c r="D221" s="128"/>
      <c r="E221" s="129"/>
      <c r="F221" s="129"/>
      <c r="G221" s="20"/>
      <c r="H221" s="20"/>
      <c r="I221" s="128"/>
      <c r="J221" s="128"/>
      <c r="K221" s="128"/>
      <c r="L221" s="128"/>
      <c r="M221" s="128"/>
      <c r="N221" s="123"/>
      <c r="O221" s="128"/>
      <c r="P221" s="123"/>
      <c r="Q221" s="125"/>
      <c r="R221" s="124"/>
    </row>
    <row r="222" ht="15.75" customHeight="1">
      <c r="B222" s="122"/>
      <c r="C222" s="128"/>
      <c r="D222" s="128"/>
      <c r="E222" s="129"/>
      <c r="F222" s="129"/>
      <c r="G222" s="141" t="s">
        <v>3310</v>
      </c>
      <c r="H222" s="20"/>
      <c r="I222" s="128"/>
      <c r="J222" s="128"/>
      <c r="K222" s="128"/>
      <c r="L222" s="128"/>
      <c r="M222" s="128"/>
      <c r="N222" s="123"/>
      <c r="O222" s="128"/>
      <c r="P222" s="123"/>
      <c r="Q222" s="125"/>
      <c r="R222" s="124"/>
    </row>
    <row r="223" ht="15.75" customHeight="1">
      <c r="A223" s="127"/>
      <c r="B223" s="122"/>
      <c r="C223" s="128"/>
      <c r="D223" s="128"/>
      <c r="E223" s="129"/>
      <c r="F223" s="129"/>
      <c r="G223" s="20"/>
      <c r="H223" s="20"/>
      <c r="I223" s="128"/>
      <c r="J223" s="128"/>
      <c r="K223" s="128"/>
      <c r="L223" s="128"/>
      <c r="M223" s="128"/>
      <c r="N223" s="123"/>
      <c r="O223" s="128"/>
      <c r="P223" s="123"/>
      <c r="Q223" s="125"/>
      <c r="R223" s="124"/>
    </row>
    <row r="224" ht="15.75" customHeight="1">
      <c r="A224" s="27">
        <v>45572.0</v>
      </c>
      <c r="B224" s="122" t="s">
        <v>3008</v>
      </c>
      <c r="C224" s="13">
        <v>47.0</v>
      </c>
      <c r="D224" s="13">
        <v>1.0</v>
      </c>
      <c r="E224" s="28">
        <v>0.17430555555555555</v>
      </c>
      <c r="F224" s="28">
        <v>0.21666666666666667</v>
      </c>
      <c r="G224" s="34" t="s">
        <v>3311</v>
      </c>
      <c r="H224" s="10" t="s">
        <v>3312</v>
      </c>
      <c r="I224" s="13">
        <v>121.0</v>
      </c>
      <c r="J224" s="13">
        <v>49.0</v>
      </c>
      <c r="K224" s="13">
        <v>57.0</v>
      </c>
      <c r="L224" s="13">
        <v>0.0</v>
      </c>
      <c r="M224" s="13">
        <v>9.0</v>
      </c>
      <c r="N224" s="123">
        <v>15.0</v>
      </c>
      <c r="O224" s="13">
        <v>47.0</v>
      </c>
      <c r="P224" s="123">
        <v>51.0</v>
      </c>
      <c r="Q224" s="132"/>
    </row>
    <row r="225" ht="15.75" customHeight="1">
      <c r="A225" s="27"/>
      <c r="B225" s="135"/>
      <c r="C225" s="13"/>
      <c r="D225" s="13"/>
      <c r="E225" s="28"/>
      <c r="F225" s="28"/>
      <c r="G225" s="20"/>
      <c r="H225" s="10"/>
      <c r="I225" s="13"/>
      <c r="J225" s="13"/>
      <c r="K225" s="13"/>
      <c r="L225" s="13"/>
      <c r="M225" s="13"/>
      <c r="N225" s="123"/>
      <c r="O225" s="13"/>
      <c r="P225" s="123"/>
      <c r="Q225" s="132"/>
    </row>
    <row r="226" ht="15.75" customHeight="1">
      <c r="A226" s="27">
        <v>45573.0</v>
      </c>
      <c r="B226" s="135" t="s">
        <v>3008</v>
      </c>
      <c r="C226" s="13">
        <v>48.0</v>
      </c>
      <c r="D226" s="13">
        <v>1.0</v>
      </c>
      <c r="E226" s="28">
        <v>0.09722222222222222</v>
      </c>
      <c r="F226" s="28">
        <v>0.14583333333333334</v>
      </c>
      <c r="G226" s="34" t="s">
        <v>3313</v>
      </c>
      <c r="H226" s="10" t="s">
        <v>3314</v>
      </c>
      <c r="I226" s="13">
        <v>125.0</v>
      </c>
      <c r="J226" s="13">
        <v>58.0</v>
      </c>
      <c r="K226" s="13">
        <v>52.0</v>
      </c>
      <c r="L226" s="13">
        <v>2.0</v>
      </c>
      <c r="M226" s="13">
        <v>3.0</v>
      </c>
      <c r="N226" s="123">
        <v>13.0</v>
      </c>
      <c r="O226" s="13">
        <v>59.0</v>
      </c>
      <c r="P226" s="123">
        <v>48.0</v>
      </c>
      <c r="Q226" s="132"/>
    </row>
    <row r="227" ht="15.75" customHeight="1">
      <c r="A227" s="27"/>
      <c r="B227" s="135"/>
      <c r="E227" s="28"/>
      <c r="F227" s="28"/>
      <c r="G227" s="20"/>
      <c r="H227" s="10"/>
      <c r="N227" s="123"/>
      <c r="P227" s="123"/>
      <c r="Q227" s="132"/>
    </row>
    <row r="228" ht="15.75" customHeight="1">
      <c r="A228" s="27">
        <v>45574.0</v>
      </c>
      <c r="B228" s="135" t="s">
        <v>3008</v>
      </c>
      <c r="C228" s="13">
        <v>49.0</v>
      </c>
      <c r="D228" s="13">
        <v>1.0</v>
      </c>
      <c r="E228" s="28">
        <v>0.13680555555555557</v>
      </c>
      <c r="F228" s="28">
        <v>0.1701388888888889</v>
      </c>
      <c r="G228" s="34" t="s">
        <v>3315</v>
      </c>
      <c r="H228" s="10" t="s">
        <v>3316</v>
      </c>
      <c r="I228" s="13">
        <v>93.0</v>
      </c>
      <c r="J228" s="13">
        <v>49.0</v>
      </c>
      <c r="K228" s="13">
        <v>39.0</v>
      </c>
      <c r="L228" s="13">
        <v>0.0</v>
      </c>
      <c r="M228" s="13">
        <v>6.0</v>
      </c>
      <c r="N228" s="123">
        <v>5.0</v>
      </c>
      <c r="O228" s="13">
        <v>33.0</v>
      </c>
      <c r="P228" s="123">
        <v>50.0</v>
      </c>
      <c r="Q228" s="132"/>
    </row>
    <row r="229" ht="15.75" customHeight="1">
      <c r="A229" s="10"/>
      <c r="B229" s="135"/>
      <c r="E229" s="28"/>
      <c r="F229" s="28"/>
      <c r="G229" s="20"/>
      <c r="H229" s="10"/>
      <c r="N229" s="123"/>
      <c r="P229" s="123"/>
      <c r="Q229" s="132"/>
    </row>
    <row r="230" ht="15.75" customHeight="1">
      <c r="A230" s="24">
        <v>45575.0</v>
      </c>
      <c r="B230" s="135" t="s">
        <v>3008</v>
      </c>
      <c r="C230" s="13">
        <v>50.0</v>
      </c>
      <c r="D230" s="13">
        <v>1.0</v>
      </c>
      <c r="E230" s="28">
        <v>0.1763888888888889</v>
      </c>
      <c r="F230" s="28">
        <v>0.225</v>
      </c>
      <c r="G230" s="34" t="s">
        <v>3317</v>
      </c>
      <c r="H230" s="10" t="s">
        <v>3318</v>
      </c>
      <c r="I230" s="13">
        <v>124.0</v>
      </c>
      <c r="J230" s="13">
        <v>40.0</v>
      </c>
      <c r="K230" s="13">
        <v>45.0</v>
      </c>
      <c r="L230" s="13">
        <v>2.0</v>
      </c>
      <c r="M230" s="13">
        <v>4.0</v>
      </c>
      <c r="N230" s="123">
        <v>37.0</v>
      </c>
      <c r="O230" s="13">
        <v>15.0</v>
      </c>
      <c r="P230" s="123">
        <v>66.0</v>
      </c>
      <c r="Q230" s="132"/>
    </row>
    <row r="231" ht="15.75" customHeight="1">
      <c r="A231" s="10"/>
      <c r="B231" s="135"/>
      <c r="G231" s="10"/>
      <c r="H231" s="10"/>
      <c r="N231" s="123"/>
      <c r="P231" s="123"/>
      <c r="Q231" s="132"/>
    </row>
    <row r="232" ht="64.5" customHeight="1">
      <c r="A232" s="27">
        <v>45576.0</v>
      </c>
      <c r="B232" s="135" t="s">
        <v>3008</v>
      </c>
      <c r="C232" s="13">
        <v>51.0</v>
      </c>
      <c r="D232" s="13">
        <v>1.0</v>
      </c>
      <c r="E232" s="28">
        <v>0.16319444444444445</v>
      </c>
      <c r="F232" s="28">
        <v>0.2048611111111111</v>
      </c>
      <c r="G232" s="34" t="s">
        <v>3319</v>
      </c>
      <c r="H232" s="10" t="s">
        <v>3320</v>
      </c>
      <c r="I232" s="13">
        <v>104.0</v>
      </c>
      <c r="J232" s="13">
        <v>48.0</v>
      </c>
      <c r="K232" s="13">
        <v>40.0</v>
      </c>
      <c r="L232" s="13">
        <v>0.0</v>
      </c>
      <c r="M232" s="13">
        <v>6.0</v>
      </c>
      <c r="N232" s="123">
        <v>16.0</v>
      </c>
      <c r="O232" s="13">
        <v>38.0</v>
      </c>
      <c r="P232" s="123">
        <v>46.0</v>
      </c>
      <c r="Q232" s="132"/>
    </row>
    <row r="233" ht="15.75" customHeight="1">
      <c r="A233" s="10"/>
      <c r="B233" s="135"/>
      <c r="E233" s="28"/>
      <c r="F233" s="28"/>
      <c r="G233" s="10"/>
      <c r="H233" s="10"/>
      <c r="N233" s="123"/>
      <c r="P233" s="123"/>
      <c r="Q233" s="132"/>
    </row>
    <row r="234" ht="15.75" customHeight="1">
      <c r="A234" s="10"/>
      <c r="B234" s="135"/>
      <c r="E234" s="28"/>
      <c r="G234" s="10"/>
      <c r="H234" s="10"/>
      <c r="N234" s="123"/>
      <c r="P234" s="123"/>
      <c r="Q234" s="132"/>
    </row>
    <row r="235" ht="42.75" customHeight="1">
      <c r="A235" s="10"/>
      <c r="B235" s="135"/>
      <c r="E235" s="28"/>
      <c r="F235" s="28"/>
      <c r="G235" s="10"/>
      <c r="H235" s="10"/>
      <c r="N235" s="123"/>
      <c r="P235" s="123"/>
      <c r="Q235" s="132"/>
    </row>
    <row r="236" ht="30.0" customHeight="1">
      <c r="A236" s="10"/>
      <c r="B236" s="135"/>
      <c r="E236" s="28"/>
      <c r="F236" s="28"/>
      <c r="G236" s="10"/>
      <c r="H236" s="10"/>
      <c r="N236" s="123"/>
      <c r="P236" s="123"/>
      <c r="Q236" s="132"/>
    </row>
    <row r="237" ht="15.75" customHeight="1">
      <c r="A237" s="10"/>
      <c r="B237" s="135"/>
      <c r="G237" s="10"/>
      <c r="H237" s="10"/>
      <c r="N237" s="123"/>
      <c r="P237" s="123"/>
      <c r="Q237" s="132"/>
    </row>
    <row r="238" ht="15.75" customHeight="1">
      <c r="A238" s="27"/>
      <c r="B238" s="135"/>
      <c r="E238" s="28"/>
      <c r="F238" s="28"/>
      <c r="G238" s="10"/>
      <c r="H238" s="10"/>
      <c r="N238" s="123"/>
      <c r="P238" s="123"/>
      <c r="Q238" s="132"/>
    </row>
    <row r="239" ht="15.75" customHeight="1">
      <c r="A239" s="10"/>
      <c r="B239" s="135"/>
      <c r="E239" s="28"/>
      <c r="F239" s="28"/>
      <c r="G239" s="10"/>
      <c r="H239" s="10"/>
      <c r="N239" s="123"/>
      <c r="P239" s="123"/>
      <c r="Q239" s="132"/>
    </row>
    <row r="240" ht="15.75" customHeight="1">
      <c r="A240" s="10"/>
      <c r="B240" s="135"/>
      <c r="E240" s="28"/>
      <c r="F240" s="28"/>
      <c r="G240" s="10"/>
      <c r="H240" s="10"/>
      <c r="N240" s="123"/>
      <c r="P240" s="123"/>
      <c r="Q240" s="132"/>
    </row>
    <row r="241" ht="15.75" customHeight="1">
      <c r="A241" s="10"/>
      <c r="B241" s="135"/>
      <c r="E241" s="28"/>
      <c r="F241" s="28"/>
      <c r="G241" s="10"/>
      <c r="H241" s="10"/>
      <c r="N241" s="123"/>
      <c r="P241" s="123"/>
      <c r="Q241" s="132"/>
    </row>
    <row r="242" ht="15.75" customHeight="1">
      <c r="A242" s="10"/>
      <c r="B242" s="135"/>
      <c r="E242" s="28"/>
      <c r="F242" s="28"/>
      <c r="G242" s="10"/>
      <c r="H242" s="10"/>
      <c r="N242" s="123"/>
      <c r="P242" s="123"/>
      <c r="Q242" s="132"/>
    </row>
    <row r="243" ht="15.75" customHeight="1">
      <c r="A243" s="10"/>
      <c r="B243" s="135"/>
      <c r="E243" s="28"/>
      <c r="F243" s="28"/>
      <c r="G243" s="10"/>
      <c r="H243" s="10"/>
      <c r="N243" s="123"/>
      <c r="P243" s="123"/>
      <c r="Q243" s="132"/>
    </row>
    <row r="244" ht="15.75" customHeight="1">
      <c r="A244" s="10"/>
      <c r="B244" s="135"/>
      <c r="G244" s="10"/>
      <c r="H244" s="10"/>
      <c r="N244" s="123"/>
      <c r="P244" s="123"/>
      <c r="Q244" s="132"/>
    </row>
    <row r="245" ht="15.75" customHeight="1">
      <c r="A245" s="27"/>
      <c r="B245" s="135"/>
      <c r="E245" s="28"/>
      <c r="F245" s="28"/>
      <c r="G245" s="10"/>
      <c r="H245" s="10"/>
      <c r="N245" s="123"/>
      <c r="P245" s="123"/>
      <c r="Q245" s="132"/>
    </row>
    <row r="246" ht="15.75" customHeight="1">
      <c r="A246" s="10"/>
      <c r="B246" s="135"/>
      <c r="E246" s="28"/>
      <c r="F246" s="28"/>
      <c r="G246" s="10"/>
      <c r="H246" s="10"/>
      <c r="N246" s="123"/>
      <c r="P246" s="123"/>
      <c r="Q246" s="132"/>
    </row>
    <row r="247" ht="15.75" customHeight="1">
      <c r="A247" s="10"/>
      <c r="B247" s="135"/>
      <c r="E247" s="28"/>
      <c r="F247" s="28"/>
      <c r="G247" s="10"/>
      <c r="H247" s="10"/>
      <c r="N247" s="123"/>
      <c r="P247" s="123"/>
      <c r="Q247" s="132"/>
    </row>
    <row r="248" ht="15.75" customHeight="1">
      <c r="A248" s="10"/>
      <c r="B248" s="135"/>
      <c r="E248" s="28"/>
      <c r="F248" s="28"/>
      <c r="G248" s="10"/>
      <c r="H248" s="10"/>
      <c r="N248" s="123"/>
      <c r="P248" s="123"/>
      <c r="Q248" s="132"/>
    </row>
    <row r="249" ht="15.75" customHeight="1">
      <c r="A249" s="10"/>
      <c r="B249" s="135"/>
      <c r="E249" s="28"/>
      <c r="F249" s="28"/>
      <c r="G249" s="10"/>
      <c r="H249" s="10"/>
      <c r="N249" s="123"/>
      <c r="P249" s="123"/>
      <c r="Q249" s="132"/>
    </row>
    <row r="250" ht="15.75" customHeight="1">
      <c r="A250" s="10"/>
      <c r="B250" s="135"/>
      <c r="E250" s="28"/>
      <c r="F250" s="28"/>
      <c r="G250" s="10"/>
      <c r="H250" s="10"/>
      <c r="N250" s="123"/>
      <c r="P250" s="123"/>
      <c r="Q250" s="132"/>
    </row>
    <row r="251" ht="15.75" customHeight="1">
      <c r="A251" s="10"/>
      <c r="B251" s="135"/>
      <c r="G251" s="10"/>
      <c r="H251" s="10"/>
      <c r="N251" s="123"/>
      <c r="P251" s="123"/>
      <c r="Q251" s="132"/>
    </row>
    <row r="252" ht="15.75" customHeight="1">
      <c r="A252" s="27"/>
      <c r="B252" s="135"/>
      <c r="E252" s="28"/>
      <c r="F252" s="28"/>
      <c r="G252" s="10"/>
      <c r="H252" s="10"/>
      <c r="N252" s="123"/>
      <c r="P252" s="123"/>
      <c r="Q252" s="132"/>
    </row>
    <row r="253" ht="15.75" customHeight="1">
      <c r="A253" s="10"/>
      <c r="B253" s="135"/>
      <c r="E253" s="28"/>
      <c r="F253" s="28"/>
      <c r="G253" s="10"/>
      <c r="H253" s="10"/>
      <c r="N253" s="123"/>
      <c r="P253" s="123"/>
      <c r="Q253" s="132"/>
    </row>
    <row r="254" ht="15.75" customHeight="1">
      <c r="A254" s="10"/>
      <c r="B254" s="135"/>
      <c r="E254" s="28"/>
      <c r="F254" s="28"/>
      <c r="G254" s="10"/>
      <c r="H254" s="10"/>
      <c r="N254" s="123"/>
      <c r="P254" s="123"/>
      <c r="Q254" s="132"/>
    </row>
    <row r="255" ht="15.75" customHeight="1">
      <c r="A255" s="10"/>
      <c r="B255" s="135"/>
      <c r="E255" s="28"/>
      <c r="F255" s="28"/>
      <c r="G255" s="10"/>
      <c r="H255" s="10"/>
      <c r="N255" s="123"/>
      <c r="P255" s="123"/>
      <c r="Q255" s="132"/>
    </row>
    <row r="256" ht="15.75" customHeight="1">
      <c r="A256" s="10"/>
      <c r="B256" s="135"/>
      <c r="E256" s="28"/>
      <c r="F256" s="28"/>
      <c r="G256" s="10"/>
      <c r="H256" s="10"/>
      <c r="N256" s="123"/>
      <c r="P256" s="123"/>
      <c r="Q256" s="132"/>
    </row>
    <row r="257" ht="15.75" customHeight="1">
      <c r="A257" s="10"/>
      <c r="B257" s="135"/>
      <c r="E257" s="28"/>
      <c r="F257" s="28"/>
      <c r="G257" s="10"/>
      <c r="H257" s="10"/>
      <c r="N257" s="123"/>
      <c r="P257" s="123"/>
      <c r="Q257" s="132"/>
    </row>
    <row r="258" ht="15.75" customHeight="1">
      <c r="A258" s="10"/>
      <c r="B258" s="135"/>
      <c r="G258" s="10"/>
      <c r="H258" s="10"/>
      <c r="N258" s="123"/>
      <c r="P258" s="123"/>
      <c r="Q258" s="132"/>
    </row>
    <row r="259" ht="15.75" customHeight="1">
      <c r="A259" s="27"/>
      <c r="B259" s="135"/>
      <c r="E259" s="28"/>
      <c r="F259" s="28"/>
      <c r="G259" s="10"/>
      <c r="H259" s="10"/>
      <c r="N259" s="123"/>
      <c r="P259" s="123"/>
      <c r="Q259" s="132"/>
    </row>
    <row r="260" ht="15.75" customHeight="1">
      <c r="A260" s="10"/>
      <c r="B260" s="135"/>
      <c r="E260" s="28"/>
      <c r="F260" s="28"/>
      <c r="G260" s="10"/>
      <c r="H260" s="10"/>
      <c r="N260" s="123"/>
      <c r="P260" s="123"/>
      <c r="Q260" s="132"/>
    </row>
    <row r="261" ht="15.75" customHeight="1">
      <c r="A261" s="10"/>
      <c r="B261" s="135"/>
      <c r="E261" s="28"/>
      <c r="F261" s="28"/>
      <c r="G261" s="10"/>
      <c r="H261" s="10"/>
      <c r="N261" s="123"/>
      <c r="P261" s="123"/>
      <c r="Q261" s="132"/>
    </row>
    <row r="262" ht="15.75" customHeight="1">
      <c r="A262" s="10"/>
      <c r="B262" s="135"/>
      <c r="E262" s="28"/>
      <c r="F262" s="28"/>
      <c r="G262" s="10"/>
      <c r="H262" s="10"/>
      <c r="N262" s="123"/>
      <c r="P262" s="123"/>
      <c r="Q262" s="132"/>
    </row>
    <row r="263" ht="15.75" customHeight="1">
      <c r="A263" s="10"/>
      <c r="B263" s="135"/>
      <c r="E263" s="28"/>
      <c r="F263" s="28"/>
      <c r="G263" s="10"/>
      <c r="H263" s="10"/>
      <c r="N263" s="123"/>
      <c r="P263" s="123"/>
      <c r="Q263" s="132"/>
    </row>
    <row r="264" ht="15.75" customHeight="1">
      <c r="A264" s="10"/>
      <c r="B264" s="135"/>
      <c r="E264" s="28"/>
      <c r="F264" s="28"/>
      <c r="G264" s="10"/>
      <c r="H264" s="10"/>
      <c r="N264" s="123"/>
      <c r="P264" s="123"/>
      <c r="Q264" s="132"/>
    </row>
    <row r="265" ht="15.75" customHeight="1">
      <c r="A265" s="10"/>
      <c r="B265" s="135"/>
      <c r="G265" s="10"/>
      <c r="H265" s="10"/>
      <c r="N265" s="123"/>
      <c r="P265" s="123"/>
      <c r="Q265" s="132"/>
    </row>
    <row r="266" ht="15.75" customHeight="1">
      <c r="A266" s="27"/>
      <c r="B266" s="135"/>
      <c r="E266" s="28"/>
      <c r="F266" s="28"/>
      <c r="G266" s="10"/>
      <c r="H266" s="10"/>
      <c r="N266" s="123"/>
      <c r="P266" s="123"/>
      <c r="Q266" s="132"/>
    </row>
    <row r="267" ht="15.75" customHeight="1">
      <c r="A267" s="10"/>
      <c r="B267" s="135"/>
      <c r="E267" s="28"/>
      <c r="F267" s="28"/>
      <c r="G267" s="10"/>
      <c r="H267" s="10"/>
      <c r="N267" s="123"/>
      <c r="P267" s="123"/>
      <c r="Q267" s="132"/>
    </row>
    <row r="268" ht="15.75" customHeight="1">
      <c r="A268" s="10"/>
      <c r="B268" s="135"/>
      <c r="E268" s="28"/>
      <c r="F268" s="28"/>
      <c r="G268" s="10"/>
      <c r="H268" s="10"/>
      <c r="N268" s="123"/>
      <c r="P268" s="123"/>
      <c r="Q268" s="132"/>
    </row>
    <row r="269" ht="27.0" customHeight="1">
      <c r="A269" s="10"/>
      <c r="B269" s="135"/>
      <c r="E269" s="28"/>
      <c r="F269" s="28"/>
      <c r="G269" s="10"/>
      <c r="H269" s="10"/>
      <c r="N269" s="123"/>
      <c r="P269" s="123"/>
      <c r="Q269" s="132"/>
    </row>
    <row r="270" ht="15.75" customHeight="1">
      <c r="A270" s="10"/>
      <c r="B270" s="135"/>
      <c r="E270" s="28"/>
      <c r="F270" s="28"/>
      <c r="G270" s="10"/>
      <c r="H270" s="10"/>
      <c r="N270" s="123"/>
      <c r="P270" s="123"/>
      <c r="Q270" s="132"/>
    </row>
    <row r="271" ht="15.75" customHeight="1">
      <c r="A271" s="10"/>
      <c r="B271" s="135"/>
      <c r="E271" s="28"/>
      <c r="F271" s="28"/>
      <c r="G271" s="10"/>
      <c r="H271" s="10"/>
      <c r="N271" s="123"/>
      <c r="P271" s="123"/>
      <c r="Q271" s="132"/>
    </row>
    <row r="272" ht="15.75" customHeight="1">
      <c r="A272" s="10"/>
      <c r="B272" s="135"/>
      <c r="G272" s="10"/>
      <c r="H272" s="10"/>
      <c r="N272" s="123"/>
      <c r="P272" s="123"/>
      <c r="Q272" s="132"/>
    </row>
    <row r="273" ht="15.75" customHeight="1">
      <c r="A273" s="27"/>
      <c r="B273" s="135"/>
      <c r="E273" s="28"/>
      <c r="F273" s="28"/>
      <c r="G273" s="10"/>
      <c r="H273" s="10"/>
      <c r="N273" s="123"/>
      <c r="P273" s="123"/>
      <c r="Q273" s="132"/>
    </row>
    <row r="274" ht="15.75" customHeight="1">
      <c r="A274" s="10"/>
      <c r="B274" s="135"/>
      <c r="E274" s="28"/>
      <c r="F274" s="28"/>
      <c r="G274" s="10"/>
      <c r="H274" s="10"/>
      <c r="N274" s="123"/>
      <c r="P274" s="123"/>
      <c r="Q274" s="132"/>
    </row>
    <row r="275" ht="15.75" customHeight="1">
      <c r="A275" s="10"/>
      <c r="B275" s="135"/>
      <c r="E275" s="28"/>
      <c r="F275" s="28"/>
      <c r="G275" s="10"/>
      <c r="H275" s="10"/>
      <c r="N275" s="123"/>
      <c r="P275" s="123"/>
      <c r="Q275" s="132"/>
    </row>
    <row r="276" ht="15.75" customHeight="1">
      <c r="A276" s="10"/>
      <c r="B276" s="135"/>
      <c r="E276" s="28"/>
      <c r="F276" s="28"/>
      <c r="G276" s="10"/>
      <c r="H276" s="10"/>
      <c r="N276" s="123"/>
      <c r="P276" s="123"/>
      <c r="Q276" s="132"/>
    </row>
    <row r="277" ht="15.75" customHeight="1">
      <c r="A277" s="10"/>
      <c r="B277" s="135"/>
      <c r="E277" s="28"/>
      <c r="F277" s="28"/>
      <c r="G277" s="10"/>
      <c r="H277" s="10"/>
      <c r="N277" s="123"/>
      <c r="P277" s="123"/>
      <c r="Q277" s="132"/>
    </row>
    <row r="278" ht="15.75" customHeight="1">
      <c r="A278" s="10"/>
      <c r="B278" s="135"/>
      <c r="E278" s="28"/>
      <c r="F278" s="28"/>
      <c r="G278" s="10"/>
      <c r="H278" s="10"/>
      <c r="N278" s="123"/>
      <c r="P278" s="123"/>
      <c r="Q278" s="132"/>
    </row>
    <row r="279" ht="15.75" customHeight="1">
      <c r="A279" s="10"/>
      <c r="B279" s="135"/>
      <c r="G279" s="10"/>
      <c r="H279" s="10"/>
      <c r="N279" s="123"/>
      <c r="P279" s="123"/>
      <c r="Q279" s="132"/>
    </row>
    <row r="280" ht="15.75" customHeight="1">
      <c r="A280" s="27"/>
      <c r="B280" s="135"/>
      <c r="E280" s="28"/>
      <c r="F280" s="28"/>
      <c r="G280" s="10"/>
      <c r="H280" s="10"/>
      <c r="N280" s="123"/>
      <c r="P280" s="123"/>
      <c r="Q280" s="132"/>
    </row>
    <row r="281" ht="15.75" customHeight="1">
      <c r="A281" s="10"/>
      <c r="B281" s="135"/>
      <c r="E281" s="28"/>
      <c r="F281" s="28"/>
      <c r="G281" s="10"/>
      <c r="H281" s="10"/>
      <c r="N281" s="123"/>
      <c r="P281" s="123"/>
      <c r="Q281" s="132"/>
    </row>
    <row r="282" ht="15.75" customHeight="1">
      <c r="A282" s="10"/>
      <c r="B282" s="135"/>
      <c r="E282" s="28"/>
      <c r="F282" s="28"/>
      <c r="G282" s="10"/>
      <c r="H282" s="10"/>
      <c r="N282" s="123"/>
      <c r="P282" s="123"/>
      <c r="Q282" s="132"/>
    </row>
    <row r="283" ht="15.75" customHeight="1">
      <c r="A283" s="10"/>
      <c r="B283" s="135"/>
      <c r="E283" s="28"/>
      <c r="F283" s="28"/>
      <c r="G283" s="10"/>
      <c r="H283" s="10"/>
      <c r="N283" s="123"/>
      <c r="P283" s="123"/>
      <c r="Q283" s="132"/>
    </row>
    <row r="284" ht="15.75" customHeight="1">
      <c r="A284" s="10"/>
      <c r="B284" s="135"/>
      <c r="G284" s="10"/>
      <c r="H284" s="10"/>
      <c r="N284" s="123"/>
      <c r="P284" s="123"/>
      <c r="Q284" s="132"/>
    </row>
    <row r="285" ht="15.75" customHeight="1">
      <c r="A285" s="27"/>
      <c r="B285" s="135"/>
      <c r="E285" s="28"/>
      <c r="F285" s="28"/>
      <c r="G285" s="10"/>
      <c r="H285" s="10"/>
      <c r="N285" s="123"/>
      <c r="P285" s="123"/>
      <c r="Q285" s="132"/>
    </row>
    <row r="286" ht="15.75" customHeight="1">
      <c r="A286" s="10"/>
      <c r="B286" s="135"/>
      <c r="E286" s="28"/>
      <c r="F286" s="28"/>
      <c r="G286" s="10"/>
      <c r="H286" s="10"/>
      <c r="N286" s="123"/>
      <c r="P286" s="123"/>
      <c r="Q286" s="132"/>
    </row>
    <row r="287" ht="15.75" customHeight="1">
      <c r="A287" s="10"/>
      <c r="B287" s="135"/>
      <c r="E287" s="28"/>
      <c r="F287" s="28"/>
      <c r="G287" s="10"/>
      <c r="H287" s="10"/>
      <c r="N287" s="123"/>
      <c r="P287" s="123"/>
      <c r="Q287" s="132"/>
    </row>
    <row r="288" ht="15.75" customHeight="1">
      <c r="A288" s="10"/>
      <c r="B288" s="135"/>
      <c r="E288" s="28"/>
      <c r="F288" s="28"/>
      <c r="G288" s="10"/>
      <c r="H288" s="10"/>
      <c r="N288" s="123"/>
      <c r="P288" s="123"/>
      <c r="Q288" s="132"/>
    </row>
    <row r="289" ht="15.75" customHeight="1">
      <c r="A289" s="10"/>
      <c r="B289" s="135"/>
      <c r="E289" s="28"/>
      <c r="F289" s="28"/>
      <c r="G289" s="10"/>
      <c r="H289" s="10"/>
      <c r="N289" s="123"/>
      <c r="P289" s="123"/>
      <c r="Q289" s="132"/>
    </row>
    <row r="290" ht="15.75" customHeight="1">
      <c r="A290" s="10"/>
      <c r="B290" s="135"/>
      <c r="E290" s="28"/>
      <c r="F290" s="28"/>
      <c r="G290" s="10"/>
      <c r="H290" s="10"/>
      <c r="N290" s="123"/>
      <c r="P290" s="123"/>
      <c r="Q290" s="132"/>
    </row>
    <row r="291" ht="15.75" customHeight="1">
      <c r="A291" s="10"/>
      <c r="B291" s="135"/>
      <c r="G291" s="10"/>
      <c r="H291" s="10"/>
      <c r="N291" s="123"/>
      <c r="P291" s="123"/>
      <c r="Q291" s="132"/>
    </row>
    <row r="292" ht="15.75" customHeight="1">
      <c r="A292" s="27"/>
      <c r="B292" s="135"/>
      <c r="E292" s="28"/>
      <c r="F292" s="28"/>
      <c r="G292" s="10"/>
      <c r="H292" s="10"/>
      <c r="N292" s="123"/>
      <c r="P292" s="123"/>
      <c r="Q292" s="132"/>
    </row>
    <row r="293" ht="15.75" customHeight="1">
      <c r="A293" s="10"/>
      <c r="B293" s="135"/>
      <c r="E293" s="28"/>
      <c r="F293" s="28"/>
      <c r="G293" s="10"/>
      <c r="H293" s="10"/>
      <c r="N293" s="123"/>
      <c r="P293" s="123"/>
      <c r="Q293" s="132"/>
    </row>
    <row r="294" ht="15.75" customHeight="1">
      <c r="A294" s="10"/>
      <c r="B294" s="135"/>
      <c r="E294" s="28"/>
      <c r="F294" s="28"/>
      <c r="G294" s="10"/>
      <c r="H294" s="10"/>
      <c r="N294" s="123"/>
      <c r="P294" s="123"/>
      <c r="Q294" s="132"/>
    </row>
    <row r="295" ht="15.75" customHeight="1">
      <c r="A295" s="10"/>
      <c r="B295" s="135"/>
      <c r="E295" s="28"/>
      <c r="F295" s="28"/>
      <c r="G295" s="10"/>
      <c r="H295" s="10"/>
      <c r="N295" s="123"/>
      <c r="P295" s="123"/>
      <c r="Q295" s="132"/>
    </row>
    <row r="296" ht="15.75" customHeight="1">
      <c r="A296" s="10"/>
      <c r="B296" s="135"/>
      <c r="E296" s="28"/>
      <c r="F296" s="28"/>
      <c r="G296" s="10"/>
      <c r="H296" s="10"/>
      <c r="N296" s="123"/>
      <c r="P296" s="123"/>
      <c r="Q296" s="132"/>
    </row>
    <row r="297" ht="15.75" customHeight="1">
      <c r="A297" s="10"/>
      <c r="B297" s="135"/>
      <c r="E297" s="28"/>
      <c r="F297" s="28"/>
      <c r="G297" s="10"/>
      <c r="H297" s="10"/>
      <c r="N297" s="123"/>
      <c r="P297" s="123"/>
      <c r="Q297" s="132"/>
    </row>
    <row r="298" ht="15.75" customHeight="1">
      <c r="A298" s="10"/>
      <c r="B298" s="135"/>
      <c r="E298" s="28"/>
      <c r="F298" s="28"/>
      <c r="G298" s="20"/>
      <c r="H298" s="10"/>
      <c r="N298" s="123"/>
      <c r="P298" s="123"/>
      <c r="Q298" s="132"/>
    </row>
    <row r="299" ht="15.75" customHeight="1">
      <c r="A299" s="27"/>
      <c r="B299" s="135"/>
      <c r="E299" s="28"/>
      <c r="F299" s="28"/>
      <c r="G299" s="10"/>
      <c r="H299" s="10"/>
      <c r="N299" s="123"/>
      <c r="P299" s="123"/>
      <c r="Q299" s="132"/>
    </row>
    <row r="300" ht="15.75" customHeight="1">
      <c r="A300" s="10"/>
      <c r="B300" s="135"/>
      <c r="E300" s="28"/>
      <c r="F300" s="28"/>
      <c r="G300" s="10"/>
      <c r="H300" s="10"/>
      <c r="N300" s="123"/>
      <c r="P300" s="123"/>
      <c r="Q300" s="132"/>
    </row>
    <row r="301" ht="15.75" customHeight="1">
      <c r="A301" s="10"/>
      <c r="B301" s="135"/>
      <c r="E301" s="28"/>
      <c r="F301" s="28"/>
      <c r="G301" s="10"/>
      <c r="H301" s="10"/>
      <c r="N301" s="123"/>
      <c r="P301" s="123"/>
      <c r="Q301" s="132"/>
    </row>
    <row r="302" ht="15.75" customHeight="1">
      <c r="A302" s="10"/>
      <c r="B302" s="135"/>
      <c r="E302" s="28"/>
      <c r="F302" s="28"/>
      <c r="G302" s="10"/>
      <c r="H302" s="10"/>
      <c r="N302" s="123"/>
      <c r="P302" s="123"/>
      <c r="Q302" s="132"/>
    </row>
    <row r="303" ht="15.75" customHeight="1">
      <c r="A303" s="10"/>
      <c r="B303" s="135"/>
      <c r="E303" s="28"/>
      <c r="F303" s="28"/>
      <c r="G303" s="10"/>
      <c r="H303" s="10"/>
      <c r="N303" s="123"/>
      <c r="P303" s="123"/>
      <c r="Q303" s="132"/>
    </row>
    <row r="304" ht="15.75" customHeight="1">
      <c r="A304" s="10"/>
      <c r="B304" s="135"/>
      <c r="E304" s="28"/>
      <c r="F304" s="28"/>
      <c r="G304" s="10"/>
      <c r="H304" s="10"/>
      <c r="N304" s="123"/>
      <c r="P304" s="123"/>
      <c r="Q304" s="132"/>
    </row>
    <row r="305" ht="15.75" customHeight="1">
      <c r="A305" s="10"/>
      <c r="B305" s="135"/>
      <c r="E305" s="28"/>
      <c r="F305" s="28"/>
      <c r="G305" s="20"/>
      <c r="H305" s="10"/>
      <c r="N305" s="123"/>
      <c r="P305" s="123"/>
      <c r="Q305" s="132"/>
    </row>
    <row r="306" ht="15.75" customHeight="1">
      <c r="A306" s="27"/>
      <c r="B306" s="135"/>
      <c r="E306" s="28"/>
      <c r="F306" s="28"/>
      <c r="G306" s="10"/>
      <c r="H306" s="10"/>
      <c r="N306" s="123"/>
      <c r="P306" s="123"/>
      <c r="Q306" s="132"/>
    </row>
    <row r="307" ht="15.75" customHeight="1">
      <c r="A307" s="10"/>
      <c r="B307" s="135"/>
      <c r="E307" s="28"/>
      <c r="F307" s="28"/>
      <c r="G307" s="10"/>
      <c r="H307" s="10"/>
      <c r="N307" s="123"/>
      <c r="P307" s="123"/>
      <c r="Q307" s="132"/>
    </row>
    <row r="308" ht="15.75" customHeight="1">
      <c r="A308" s="10"/>
      <c r="B308" s="135"/>
      <c r="E308" s="28"/>
      <c r="F308" s="28"/>
      <c r="G308" s="10"/>
      <c r="H308" s="10"/>
      <c r="N308" s="123"/>
      <c r="P308" s="123"/>
      <c r="Q308" s="132"/>
    </row>
    <row r="309" ht="15.75" customHeight="1">
      <c r="A309" s="10"/>
      <c r="B309" s="135"/>
      <c r="E309" s="28"/>
      <c r="F309" s="28"/>
      <c r="G309" s="10"/>
      <c r="H309" s="10"/>
      <c r="N309" s="123"/>
      <c r="P309" s="123"/>
      <c r="Q309" s="132"/>
    </row>
    <row r="310" ht="15.75" customHeight="1">
      <c r="A310" s="10"/>
      <c r="B310" s="135"/>
      <c r="E310" s="28"/>
      <c r="F310" s="28"/>
      <c r="G310" s="10"/>
      <c r="H310" s="10"/>
      <c r="N310" s="123"/>
      <c r="P310" s="123"/>
      <c r="Q310" s="132"/>
    </row>
    <row r="311" ht="15.75" customHeight="1">
      <c r="A311" s="10"/>
      <c r="B311" s="135"/>
      <c r="E311" s="28"/>
      <c r="F311" s="28"/>
      <c r="G311" s="10"/>
      <c r="H311" s="10"/>
      <c r="N311" s="123"/>
      <c r="P311" s="123"/>
      <c r="Q311" s="132"/>
    </row>
    <row r="312" ht="15.75" customHeight="1">
      <c r="A312" s="10"/>
      <c r="B312" s="135"/>
      <c r="E312" s="28"/>
      <c r="F312" s="28"/>
      <c r="G312" s="20"/>
      <c r="H312" s="10"/>
      <c r="N312" s="123"/>
      <c r="P312" s="123"/>
      <c r="Q312" s="132"/>
    </row>
    <row r="313" ht="15.75" customHeight="1">
      <c r="A313" s="27"/>
      <c r="B313" s="135"/>
      <c r="E313" s="28"/>
      <c r="F313" s="28"/>
      <c r="G313" s="10"/>
      <c r="H313" s="10"/>
      <c r="N313" s="123"/>
      <c r="P313" s="123"/>
      <c r="Q313" s="132"/>
    </row>
    <row r="314" ht="15.75" customHeight="1">
      <c r="A314" s="10"/>
      <c r="B314" s="135"/>
      <c r="E314" s="28"/>
      <c r="F314" s="28"/>
      <c r="G314" s="10"/>
      <c r="H314" s="10"/>
      <c r="N314" s="123"/>
      <c r="P314" s="123"/>
      <c r="Q314" s="132"/>
    </row>
    <row r="315" ht="15.75" customHeight="1">
      <c r="A315" s="10"/>
      <c r="B315" s="135"/>
      <c r="E315" s="28"/>
      <c r="F315" s="28"/>
      <c r="G315" s="10"/>
      <c r="H315" s="10"/>
      <c r="N315" s="123"/>
      <c r="P315" s="123"/>
      <c r="Q315" s="132"/>
    </row>
    <row r="316" ht="15.75" customHeight="1">
      <c r="A316" s="10"/>
      <c r="B316" s="135"/>
      <c r="E316" s="28"/>
      <c r="F316" s="28"/>
      <c r="G316" s="10"/>
      <c r="H316" s="10"/>
      <c r="N316" s="123"/>
      <c r="P316" s="123"/>
      <c r="Q316" s="132"/>
    </row>
    <row r="317" ht="15.75" customHeight="1">
      <c r="A317" s="10"/>
      <c r="B317" s="135"/>
      <c r="E317" s="28"/>
      <c r="F317" s="28"/>
      <c r="G317" s="10"/>
      <c r="H317" s="10"/>
      <c r="N317" s="123"/>
      <c r="P317" s="123"/>
      <c r="Q317" s="132"/>
    </row>
    <row r="318" ht="15.75" customHeight="1">
      <c r="A318" s="10"/>
      <c r="B318" s="135"/>
      <c r="E318" s="28"/>
      <c r="F318" s="28"/>
      <c r="G318" s="10"/>
      <c r="H318" s="10"/>
      <c r="N318" s="123"/>
      <c r="P318" s="123"/>
      <c r="Q318" s="132"/>
    </row>
    <row r="319" ht="15.75" customHeight="1">
      <c r="A319" s="10"/>
      <c r="B319" s="135"/>
      <c r="E319" s="28"/>
      <c r="F319" s="28"/>
      <c r="G319" s="20"/>
      <c r="H319" s="10"/>
      <c r="N319" s="123"/>
      <c r="P319" s="123"/>
      <c r="Q319" s="132"/>
    </row>
    <row r="320" ht="15.75" customHeight="1">
      <c r="A320" s="27"/>
      <c r="B320" s="135"/>
      <c r="E320" s="28"/>
      <c r="F320" s="28"/>
      <c r="G320" s="10"/>
      <c r="H320" s="10"/>
      <c r="N320" s="123"/>
      <c r="P320" s="123"/>
      <c r="Q320" s="132"/>
    </row>
    <row r="321" ht="15.75" customHeight="1">
      <c r="A321" s="10"/>
      <c r="B321" s="135"/>
      <c r="E321" s="28"/>
      <c r="F321" s="28"/>
      <c r="G321" s="10"/>
      <c r="H321" s="10"/>
      <c r="N321" s="123"/>
      <c r="P321" s="123"/>
      <c r="Q321" s="132"/>
    </row>
    <row r="322" ht="15.75" customHeight="1">
      <c r="A322" s="10"/>
      <c r="B322" s="135"/>
      <c r="E322" s="28"/>
      <c r="F322" s="28"/>
      <c r="G322" s="10"/>
      <c r="H322" s="10"/>
      <c r="N322" s="123"/>
      <c r="P322" s="123"/>
      <c r="Q322" s="132"/>
    </row>
    <row r="323" ht="15.75" customHeight="1">
      <c r="A323" s="10"/>
      <c r="B323" s="135"/>
      <c r="E323" s="28"/>
      <c r="F323" s="28"/>
      <c r="G323" s="10"/>
      <c r="H323" s="10"/>
      <c r="N323" s="123"/>
      <c r="P323" s="123"/>
      <c r="Q323" s="132"/>
    </row>
    <row r="324" ht="15.75" customHeight="1">
      <c r="A324" s="10"/>
      <c r="B324" s="135"/>
      <c r="E324" s="28"/>
      <c r="F324" s="28"/>
      <c r="G324" s="10"/>
      <c r="H324" s="10"/>
      <c r="N324" s="123"/>
      <c r="P324" s="123"/>
      <c r="Q324" s="132"/>
    </row>
    <row r="325" ht="15.75" customHeight="1">
      <c r="A325" s="10"/>
      <c r="B325" s="135"/>
      <c r="E325" s="28"/>
      <c r="F325" s="28"/>
      <c r="G325" s="10"/>
      <c r="H325" s="10"/>
      <c r="N325" s="123"/>
      <c r="P325" s="123"/>
      <c r="Q325" s="132"/>
    </row>
    <row r="326" ht="15.75" customHeight="1">
      <c r="A326" s="10"/>
      <c r="B326" s="135"/>
      <c r="E326" s="28"/>
      <c r="F326" s="28"/>
      <c r="G326" s="20"/>
      <c r="H326" s="10"/>
      <c r="N326" s="123"/>
      <c r="P326" s="123"/>
      <c r="Q326" s="132"/>
    </row>
    <row r="327" ht="15.75" customHeight="1">
      <c r="A327" s="27"/>
      <c r="B327" s="135"/>
      <c r="E327" s="28"/>
      <c r="F327" s="28"/>
      <c r="G327" s="10"/>
      <c r="H327" s="10"/>
      <c r="N327" s="123"/>
      <c r="P327" s="123"/>
      <c r="Q327" s="132"/>
    </row>
    <row r="328" ht="15.75" customHeight="1">
      <c r="A328" s="10"/>
      <c r="B328" s="135"/>
      <c r="E328" s="28"/>
      <c r="F328" s="28"/>
      <c r="G328" s="10"/>
      <c r="H328" s="10"/>
      <c r="N328" s="123"/>
      <c r="P328" s="123"/>
      <c r="Q328" s="132"/>
    </row>
    <row r="329" ht="15.75" customHeight="1">
      <c r="A329" s="10"/>
      <c r="B329" s="135"/>
      <c r="E329" s="28"/>
      <c r="F329" s="28"/>
      <c r="G329" s="10"/>
      <c r="H329" s="10"/>
      <c r="N329" s="123"/>
      <c r="P329" s="123"/>
      <c r="Q329" s="132"/>
    </row>
    <row r="330" ht="15.75" customHeight="1">
      <c r="A330" s="10"/>
      <c r="B330" s="135"/>
      <c r="E330" s="28"/>
      <c r="F330" s="28"/>
      <c r="G330" s="10"/>
      <c r="H330" s="10"/>
      <c r="N330" s="123"/>
      <c r="P330" s="123"/>
      <c r="Q330" s="132"/>
    </row>
    <row r="331" ht="15.75" customHeight="1">
      <c r="A331" s="10"/>
      <c r="B331" s="135"/>
      <c r="E331" s="28"/>
      <c r="F331" s="28"/>
      <c r="G331" s="10"/>
      <c r="H331" s="10"/>
      <c r="N331" s="123"/>
      <c r="P331" s="123"/>
      <c r="Q331" s="132"/>
    </row>
    <row r="332" ht="15.75" customHeight="1">
      <c r="A332" s="10"/>
      <c r="B332" s="135"/>
      <c r="E332" s="28"/>
      <c r="F332" s="28"/>
      <c r="G332" s="10"/>
      <c r="H332" s="10"/>
      <c r="N332" s="123"/>
      <c r="P332" s="123"/>
      <c r="Q332" s="132"/>
    </row>
    <row r="333" ht="15.75" customHeight="1">
      <c r="A333" s="10"/>
      <c r="B333" s="135"/>
      <c r="E333" s="28"/>
      <c r="F333" s="28"/>
      <c r="G333" s="20"/>
      <c r="H333" s="10"/>
      <c r="N333" s="123"/>
      <c r="P333" s="123"/>
      <c r="Q333" s="132"/>
    </row>
    <row r="334" ht="15.75" customHeight="1">
      <c r="A334" s="27"/>
      <c r="B334" s="135"/>
      <c r="E334" s="28"/>
      <c r="F334" s="28"/>
      <c r="G334" s="10"/>
      <c r="H334" s="10"/>
      <c r="N334" s="123"/>
      <c r="P334" s="123"/>
      <c r="Q334" s="132"/>
    </row>
    <row r="335" ht="15.75" customHeight="1">
      <c r="A335" s="10"/>
      <c r="B335" s="135"/>
      <c r="E335" s="28"/>
      <c r="F335" s="28"/>
      <c r="G335" s="10"/>
      <c r="H335" s="10"/>
      <c r="N335" s="123"/>
      <c r="P335" s="123"/>
      <c r="Q335" s="132"/>
    </row>
    <row r="336" ht="15.75" customHeight="1">
      <c r="A336" s="10"/>
      <c r="B336" s="135"/>
      <c r="E336" s="28"/>
      <c r="F336" s="28"/>
      <c r="G336" s="10"/>
      <c r="H336" s="10"/>
      <c r="N336" s="123"/>
      <c r="P336" s="123"/>
      <c r="Q336" s="132"/>
    </row>
    <row r="337" ht="15.75" customHeight="1">
      <c r="A337" s="10"/>
      <c r="B337" s="135"/>
      <c r="E337" s="28"/>
      <c r="F337" s="28"/>
      <c r="G337" s="10"/>
      <c r="H337" s="10"/>
      <c r="N337" s="123"/>
      <c r="P337" s="123"/>
      <c r="Q337" s="132"/>
    </row>
    <row r="338" ht="15.75" customHeight="1">
      <c r="A338" s="10"/>
      <c r="B338" s="135"/>
      <c r="E338" s="28"/>
      <c r="F338" s="28"/>
      <c r="G338" s="10"/>
      <c r="H338" s="10"/>
      <c r="N338" s="123"/>
      <c r="P338" s="123"/>
      <c r="Q338" s="132"/>
    </row>
    <row r="339" ht="15.75" customHeight="1">
      <c r="A339" s="10"/>
      <c r="B339" s="135"/>
      <c r="E339" s="28"/>
      <c r="F339" s="28"/>
      <c r="G339" s="10"/>
      <c r="H339" s="10"/>
      <c r="N339" s="123"/>
      <c r="P339" s="123"/>
      <c r="Q339" s="132"/>
    </row>
    <row r="340" ht="15.75" customHeight="1">
      <c r="A340" s="10"/>
      <c r="B340" s="135"/>
      <c r="E340" s="28"/>
      <c r="F340" s="28"/>
      <c r="G340" s="20"/>
      <c r="H340" s="10"/>
      <c r="N340" s="123"/>
      <c r="P340" s="123"/>
      <c r="Q340" s="132"/>
    </row>
    <row r="341" ht="15.75" customHeight="1">
      <c r="A341" s="27"/>
      <c r="B341" s="135"/>
      <c r="E341" s="28"/>
      <c r="F341" s="28"/>
      <c r="G341" s="10"/>
      <c r="H341" s="10"/>
      <c r="N341" s="123"/>
      <c r="P341" s="123"/>
      <c r="Q341" s="132"/>
    </row>
    <row r="342" ht="15.75" customHeight="1">
      <c r="A342" s="10"/>
      <c r="B342" s="135"/>
      <c r="E342" s="28"/>
      <c r="F342" s="28"/>
      <c r="G342" s="10"/>
      <c r="H342" s="10"/>
      <c r="N342" s="123"/>
      <c r="P342" s="123"/>
      <c r="Q342" s="132"/>
    </row>
    <row r="343" ht="15.75" customHeight="1">
      <c r="A343" s="10"/>
      <c r="B343" s="135"/>
      <c r="E343" s="28"/>
      <c r="F343" s="28"/>
      <c r="G343" s="10"/>
      <c r="H343" s="10"/>
      <c r="N343" s="123"/>
      <c r="P343" s="123"/>
      <c r="Q343" s="132"/>
    </row>
    <row r="344" ht="15.75" customHeight="1">
      <c r="A344" s="10"/>
      <c r="B344" s="135"/>
      <c r="E344" s="28"/>
      <c r="F344" s="28"/>
      <c r="G344" s="10"/>
      <c r="H344" s="10"/>
      <c r="N344" s="123"/>
      <c r="P344" s="123"/>
      <c r="Q344" s="132"/>
    </row>
    <row r="345" ht="15.75" customHeight="1">
      <c r="A345" s="10"/>
      <c r="B345" s="135"/>
      <c r="E345" s="28"/>
      <c r="F345" s="28"/>
      <c r="G345" s="10"/>
      <c r="H345" s="10"/>
      <c r="N345" s="123"/>
      <c r="P345" s="123"/>
      <c r="Q345" s="132"/>
    </row>
    <row r="346" ht="15.75" customHeight="1">
      <c r="A346" s="10"/>
      <c r="B346" s="135"/>
      <c r="E346" s="28"/>
      <c r="F346" s="28"/>
      <c r="G346" s="10"/>
      <c r="H346" s="10"/>
      <c r="N346" s="123"/>
      <c r="P346" s="123"/>
      <c r="Q346" s="132"/>
    </row>
    <row r="347" ht="15.75" customHeight="1">
      <c r="A347" s="10"/>
      <c r="B347" s="135"/>
      <c r="E347" s="28"/>
      <c r="F347" s="28"/>
      <c r="H347" s="10"/>
      <c r="N347" s="123"/>
      <c r="P347" s="123"/>
      <c r="Q347" s="132"/>
    </row>
    <row r="348" ht="15.75" customHeight="1">
      <c r="A348" s="27"/>
      <c r="B348" s="135"/>
      <c r="E348" s="28"/>
      <c r="F348" s="28"/>
      <c r="G348" s="10"/>
      <c r="H348" s="10"/>
      <c r="N348" s="123"/>
      <c r="P348" s="123"/>
      <c r="Q348" s="132"/>
    </row>
    <row r="349" ht="15.75" customHeight="1">
      <c r="A349" s="10"/>
      <c r="B349" s="135"/>
      <c r="E349" s="28"/>
      <c r="F349" s="28"/>
      <c r="G349" s="10"/>
      <c r="H349" s="10"/>
      <c r="N349" s="123"/>
      <c r="P349" s="123"/>
      <c r="Q349" s="132"/>
    </row>
    <row r="350" ht="15.75" customHeight="1">
      <c r="A350" s="10"/>
      <c r="B350" s="135"/>
      <c r="E350" s="28"/>
      <c r="F350" s="28"/>
      <c r="G350" s="10"/>
      <c r="H350" s="10"/>
      <c r="N350" s="123"/>
      <c r="P350" s="123"/>
      <c r="Q350" s="132"/>
    </row>
    <row r="351" ht="15.75" customHeight="1">
      <c r="A351" s="10"/>
      <c r="B351" s="135"/>
      <c r="E351" s="28"/>
      <c r="F351" s="28"/>
      <c r="G351" s="10"/>
      <c r="H351" s="10"/>
      <c r="N351" s="123"/>
      <c r="P351" s="123"/>
      <c r="Q351" s="132"/>
    </row>
    <row r="352" ht="15.75" customHeight="1">
      <c r="A352" s="10"/>
      <c r="B352" s="135"/>
      <c r="E352" s="28"/>
      <c r="F352" s="28"/>
      <c r="G352" s="10"/>
      <c r="H352" s="10"/>
      <c r="N352" s="123"/>
      <c r="P352" s="123"/>
      <c r="Q352" s="132"/>
    </row>
    <row r="353" ht="15.75" customHeight="1">
      <c r="A353" s="10"/>
      <c r="B353" s="135"/>
      <c r="E353" s="28"/>
      <c r="F353" s="28"/>
      <c r="G353" s="10"/>
      <c r="H353" s="10"/>
      <c r="N353" s="123"/>
      <c r="P353" s="123"/>
      <c r="Q353" s="132"/>
    </row>
    <row r="354" ht="15.75" customHeight="1">
      <c r="A354" s="10"/>
      <c r="B354" s="135"/>
      <c r="E354" s="28"/>
      <c r="F354" s="28"/>
      <c r="G354" s="20"/>
      <c r="H354" s="10"/>
      <c r="N354" s="123"/>
      <c r="P354" s="123"/>
      <c r="Q354" s="132"/>
    </row>
    <row r="355" ht="15.75" customHeight="1">
      <c r="A355" s="27"/>
      <c r="B355" s="135"/>
      <c r="E355" s="28"/>
      <c r="F355" s="28"/>
      <c r="G355" s="10"/>
      <c r="H355" s="10"/>
      <c r="N355" s="123"/>
      <c r="P355" s="123"/>
      <c r="Q355" s="132"/>
    </row>
    <row r="356" ht="15.75" customHeight="1">
      <c r="A356" s="10"/>
      <c r="B356" s="135"/>
      <c r="E356" s="28"/>
      <c r="F356" s="28"/>
      <c r="G356" s="10"/>
      <c r="H356" s="10"/>
      <c r="N356" s="123"/>
      <c r="P356" s="123"/>
      <c r="Q356" s="132"/>
    </row>
    <row r="357" ht="15.75" customHeight="1">
      <c r="A357" s="10"/>
      <c r="B357" s="135"/>
      <c r="E357" s="28"/>
      <c r="F357" s="28"/>
      <c r="G357" s="10"/>
      <c r="H357" s="10"/>
      <c r="N357" s="123"/>
      <c r="P357" s="123"/>
      <c r="Q357" s="132"/>
    </row>
    <row r="358" ht="15.75" customHeight="1">
      <c r="A358" s="10"/>
      <c r="B358" s="135"/>
      <c r="E358" s="28"/>
      <c r="F358" s="28"/>
      <c r="G358" s="10"/>
      <c r="H358" s="10"/>
      <c r="N358" s="123"/>
      <c r="P358" s="123"/>
      <c r="Q358" s="132"/>
    </row>
    <row r="359" ht="15.75" customHeight="1">
      <c r="A359" s="10"/>
      <c r="B359" s="135"/>
      <c r="E359" s="28"/>
      <c r="F359" s="28"/>
      <c r="G359" s="10"/>
      <c r="H359" s="10"/>
      <c r="N359" s="123"/>
      <c r="P359" s="123"/>
      <c r="Q359" s="132"/>
    </row>
    <row r="360" ht="15.75" customHeight="1">
      <c r="A360" s="10"/>
      <c r="B360" s="135"/>
      <c r="E360" s="28"/>
      <c r="F360" s="28"/>
      <c r="G360" s="10"/>
      <c r="H360" s="10"/>
      <c r="N360" s="123"/>
      <c r="P360" s="123"/>
      <c r="Q360" s="132"/>
    </row>
    <row r="361" ht="15.75" customHeight="1">
      <c r="A361" s="10"/>
      <c r="B361" s="135"/>
      <c r="E361" s="28"/>
      <c r="F361" s="28"/>
      <c r="G361" s="20"/>
      <c r="H361" s="10"/>
      <c r="N361" s="123"/>
      <c r="P361" s="123"/>
      <c r="Q361" s="132"/>
    </row>
    <row r="362" ht="15.75" customHeight="1">
      <c r="A362" s="136"/>
      <c r="B362" s="135"/>
      <c r="C362" s="123"/>
      <c r="D362" s="123"/>
      <c r="E362" s="137"/>
      <c r="F362" s="137"/>
      <c r="G362" s="10"/>
      <c r="H362" s="10"/>
      <c r="I362" s="123"/>
      <c r="J362" s="123"/>
      <c r="K362" s="123"/>
      <c r="L362" s="123"/>
      <c r="M362" s="123"/>
      <c r="N362" s="123"/>
      <c r="O362" s="123"/>
      <c r="P362" s="123"/>
      <c r="Q362" s="125"/>
      <c r="R362" s="123"/>
      <c r="S362" s="123"/>
      <c r="T362" s="123"/>
      <c r="U362" s="123"/>
      <c r="V362" s="123"/>
      <c r="W362" s="123"/>
      <c r="X362" s="123"/>
      <c r="Y362" s="123"/>
      <c r="Z362" s="123"/>
      <c r="AA362" s="123"/>
    </row>
    <row r="363" ht="15.75" customHeight="1">
      <c r="A363" s="123"/>
      <c r="B363" s="135"/>
      <c r="C363" s="123"/>
      <c r="D363" s="123"/>
      <c r="E363" s="137"/>
      <c r="F363" s="137"/>
      <c r="G363" s="10"/>
      <c r="H363" s="10"/>
      <c r="I363" s="123"/>
      <c r="J363" s="123"/>
      <c r="K363" s="123"/>
      <c r="L363" s="123"/>
      <c r="M363" s="123"/>
      <c r="N363" s="123"/>
      <c r="O363" s="123"/>
      <c r="P363" s="123"/>
      <c r="Q363" s="125"/>
      <c r="R363" s="123"/>
      <c r="S363" s="123"/>
      <c r="T363" s="123"/>
      <c r="U363" s="123"/>
      <c r="V363" s="123"/>
      <c r="W363" s="123"/>
      <c r="X363" s="123"/>
      <c r="Y363" s="123"/>
      <c r="Z363" s="123"/>
      <c r="AA363" s="123"/>
    </row>
    <row r="364" ht="15.75" customHeight="1">
      <c r="A364" s="123"/>
      <c r="B364" s="135"/>
      <c r="C364" s="123"/>
      <c r="D364" s="123"/>
      <c r="E364" s="137"/>
      <c r="F364" s="137"/>
      <c r="G364" s="10"/>
      <c r="H364" s="10"/>
      <c r="I364" s="123"/>
      <c r="J364" s="123"/>
      <c r="K364" s="123"/>
      <c r="L364" s="123"/>
      <c r="M364" s="123"/>
      <c r="N364" s="123"/>
      <c r="O364" s="123"/>
      <c r="P364" s="123"/>
      <c r="Q364" s="125"/>
      <c r="R364" s="123"/>
      <c r="S364" s="123"/>
      <c r="T364" s="123"/>
      <c r="U364" s="123"/>
      <c r="V364" s="123"/>
      <c r="W364" s="123"/>
      <c r="X364" s="123"/>
      <c r="Y364" s="123"/>
      <c r="Z364" s="123"/>
      <c r="AA364" s="123"/>
    </row>
    <row r="365" ht="15.75" customHeight="1">
      <c r="A365" s="123"/>
      <c r="B365" s="135"/>
      <c r="C365" s="123"/>
      <c r="D365" s="123"/>
      <c r="E365" s="137"/>
      <c r="F365" s="137"/>
      <c r="G365" s="10"/>
      <c r="H365" s="10"/>
      <c r="I365" s="123"/>
      <c r="J365" s="123"/>
      <c r="K365" s="123"/>
      <c r="L365" s="123"/>
      <c r="M365" s="123"/>
      <c r="N365" s="123"/>
      <c r="O365" s="123"/>
      <c r="P365" s="123"/>
      <c r="Q365" s="125"/>
      <c r="R365" s="123"/>
      <c r="S365" s="123"/>
      <c r="T365" s="123"/>
      <c r="U365" s="123"/>
      <c r="V365" s="123"/>
      <c r="W365" s="123"/>
      <c r="X365" s="123"/>
      <c r="Y365" s="123"/>
      <c r="Z365" s="123"/>
      <c r="AA365" s="123"/>
    </row>
    <row r="366" ht="15.75" customHeight="1">
      <c r="A366" s="123"/>
      <c r="B366" s="135"/>
      <c r="C366" s="123"/>
      <c r="D366" s="123"/>
      <c r="E366" s="137"/>
      <c r="F366" s="137"/>
      <c r="G366" s="10"/>
      <c r="H366" s="123"/>
      <c r="I366" s="123"/>
      <c r="J366" s="123"/>
      <c r="K366" s="123"/>
      <c r="L366" s="123"/>
      <c r="M366" s="123"/>
      <c r="N366" s="123"/>
      <c r="O366" s="123"/>
      <c r="P366" s="123"/>
      <c r="Q366" s="125"/>
      <c r="R366" s="123"/>
      <c r="S366" s="123"/>
      <c r="T366" s="123"/>
      <c r="U366" s="123"/>
      <c r="V366" s="123"/>
      <c r="W366" s="123"/>
      <c r="X366" s="123"/>
      <c r="Y366" s="123"/>
      <c r="Z366" s="123"/>
      <c r="AA366" s="123"/>
    </row>
    <row r="367" ht="15.75" customHeight="1">
      <c r="A367" s="123"/>
      <c r="B367" s="135"/>
      <c r="C367" s="123"/>
      <c r="D367" s="123"/>
      <c r="E367" s="137"/>
      <c r="F367" s="137"/>
      <c r="G367" s="10"/>
      <c r="H367" s="123"/>
      <c r="I367" s="123"/>
      <c r="J367" s="123"/>
      <c r="K367" s="123"/>
      <c r="L367" s="123"/>
      <c r="M367" s="123"/>
      <c r="N367" s="123"/>
      <c r="O367" s="123"/>
      <c r="P367" s="123"/>
      <c r="Q367" s="125"/>
      <c r="R367" s="123"/>
      <c r="S367" s="123"/>
      <c r="T367" s="123"/>
      <c r="U367" s="123"/>
      <c r="V367" s="123"/>
      <c r="W367" s="123"/>
      <c r="X367" s="123"/>
      <c r="Y367" s="123"/>
      <c r="Z367" s="123"/>
      <c r="AA367" s="123"/>
    </row>
    <row r="368" ht="15.75" customHeight="1">
      <c r="A368" s="10"/>
      <c r="B368" s="135"/>
      <c r="E368" s="28"/>
      <c r="F368" s="28"/>
      <c r="G368" s="20"/>
      <c r="H368" s="10"/>
      <c r="N368" s="123"/>
      <c r="P368" s="123"/>
      <c r="Q368" s="132"/>
    </row>
    <row r="369" ht="15.75" customHeight="1">
      <c r="A369" s="27"/>
      <c r="B369" s="135"/>
      <c r="E369" s="28"/>
      <c r="F369" s="28"/>
      <c r="G369" s="10"/>
      <c r="H369" s="10"/>
      <c r="N369" s="123"/>
      <c r="P369" s="123"/>
      <c r="Q369" s="132"/>
    </row>
    <row r="370" ht="15.75" customHeight="1">
      <c r="A370" s="10"/>
      <c r="B370" s="135"/>
      <c r="E370" s="28"/>
      <c r="F370" s="28"/>
      <c r="G370" s="10"/>
      <c r="H370" s="10"/>
      <c r="N370" s="123"/>
      <c r="P370" s="123"/>
      <c r="Q370" s="132"/>
    </row>
    <row r="371" ht="15.75" customHeight="1">
      <c r="A371" s="10"/>
      <c r="B371" s="135"/>
      <c r="E371" s="28"/>
      <c r="F371" s="28"/>
      <c r="G371" s="10"/>
      <c r="H371" s="10"/>
      <c r="N371" s="123"/>
      <c r="P371" s="123"/>
      <c r="Q371" s="132"/>
    </row>
    <row r="372" ht="15.75" customHeight="1">
      <c r="A372" s="10"/>
      <c r="B372" s="135"/>
      <c r="E372" s="28"/>
      <c r="F372" s="28"/>
      <c r="G372" s="10"/>
      <c r="H372" s="10"/>
      <c r="N372" s="123"/>
      <c r="P372" s="123"/>
      <c r="Q372" s="132"/>
    </row>
    <row r="373" ht="15.75" customHeight="1">
      <c r="A373" s="10"/>
      <c r="B373" s="135"/>
      <c r="E373" s="28"/>
      <c r="F373" s="28"/>
      <c r="G373" s="10"/>
      <c r="H373" s="10"/>
      <c r="N373" s="123"/>
      <c r="P373" s="123"/>
      <c r="Q373" s="132"/>
    </row>
    <row r="374" ht="15.75" customHeight="1">
      <c r="A374" s="10"/>
      <c r="B374" s="135"/>
      <c r="E374" s="28"/>
      <c r="F374" s="28"/>
      <c r="G374" s="10"/>
      <c r="H374" s="10"/>
      <c r="N374" s="123"/>
      <c r="P374" s="123"/>
      <c r="Q374" s="132"/>
    </row>
    <row r="375" ht="15.75" customHeight="1">
      <c r="A375" s="10"/>
      <c r="B375" s="135"/>
      <c r="E375" s="28"/>
      <c r="F375" s="28"/>
      <c r="G375" s="20"/>
      <c r="H375" s="10"/>
      <c r="N375" s="123"/>
      <c r="P375" s="123"/>
      <c r="Q375" s="132"/>
    </row>
    <row r="376" ht="15.75" customHeight="1">
      <c r="A376" s="27"/>
      <c r="B376" s="135"/>
      <c r="E376" s="28"/>
      <c r="F376" s="28"/>
      <c r="G376" s="10"/>
      <c r="H376" s="10"/>
      <c r="N376" s="123"/>
      <c r="P376" s="123"/>
      <c r="Q376" s="132"/>
    </row>
    <row r="377" ht="15.75" customHeight="1">
      <c r="A377" s="10"/>
      <c r="B377" s="135"/>
      <c r="E377" s="28"/>
      <c r="F377" s="28"/>
      <c r="G377" s="10"/>
      <c r="H377" s="10"/>
      <c r="N377" s="123"/>
      <c r="P377" s="123"/>
      <c r="Q377" s="132"/>
    </row>
    <row r="378" ht="15.75" customHeight="1">
      <c r="A378" s="10"/>
      <c r="B378" s="135"/>
      <c r="E378" s="28"/>
      <c r="F378" s="28"/>
      <c r="G378" s="10"/>
      <c r="H378" s="10"/>
      <c r="N378" s="123"/>
      <c r="P378" s="123"/>
      <c r="Q378" s="132"/>
    </row>
    <row r="379" ht="15.75" customHeight="1">
      <c r="A379" s="10"/>
      <c r="B379" s="135"/>
      <c r="E379" s="28"/>
      <c r="F379" s="28"/>
      <c r="G379" s="10"/>
      <c r="H379" s="10"/>
      <c r="N379" s="123"/>
      <c r="P379" s="123"/>
      <c r="Q379" s="132"/>
    </row>
    <row r="380" ht="15.75" customHeight="1">
      <c r="A380" s="10"/>
      <c r="B380" s="135"/>
      <c r="E380" s="28"/>
      <c r="F380" s="28"/>
      <c r="G380" s="10"/>
      <c r="H380" s="10"/>
      <c r="N380" s="123"/>
      <c r="P380" s="123"/>
      <c r="Q380" s="132"/>
    </row>
    <row r="381" ht="15.75" customHeight="1">
      <c r="A381" s="10"/>
      <c r="B381" s="135"/>
      <c r="E381" s="28"/>
      <c r="F381" s="28"/>
      <c r="G381" s="10"/>
      <c r="H381" s="10"/>
      <c r="N381" s="123"/>
      <c r="P381" s="123"/>
      <c r="Q381" s="132"/>
    </row>
    <row r="382" ht="15.75" customHeight="1">
      <c r="A382" s="10"/>
      <c r="B382" s="135"/>
      <c r="E382" s="28"/>
      <c r="F382" s="28"/>
      <c r="G382" s="20"/>
      <c r="H382" s="10"/>
      <c r="N382" s="123"/>
      <c r="P382" s="123"/>
      <c r="Q382" s="132"/>
    </row>
    <row r="383" ht="15.75" customHeight="1">
      <c r="A383" s="27"/>
      <c r="B383" s="135"/>
      <c r="E383" s="28"/>
      <c r="F383" s="28"/>
      <c r="G383" s="10"/>
      <c r="H383" s="10"/>
      <c r="N383" s="123"/>
      <c r="P383" s="123"/>
      <c r="Q383" s="132"/>
    </row>
    <row r="384" ht="15.75" customHeight="1">
      <c r="A384" s="10"/>
      <c r="B384" s="135"/>
      <c r="E384" s="28"/>
      <c r="F384" s="28"/>
      <c r="G384" s="10"/>
      <c r="H384" s="10"/>
      <c r="N384" s="123"/>
      <c r="P384" s="123"/>
      <c r="Q384" s="132"/>
    </row>
    <row r="385" ht="15.75" customHeight="1">
      <c r="A385" s="10"/>
      <c r="B385" s="135"/>
      <c r="E385" s="28"/>
      <c r="F385" s="28"/>
      <c r="G385" s="10"/>
      <c r="H385" s="10"/>
      <c r="N385" s="123"/>
      <c r="P385" s="123"/>
      <c r="Q385" s="132"/>
    </row>
    <row r="386" ht="15.75" customHeight="1">
      <c r="A386" s="10"/>
      <c r="B386" s="135"/>
      <c r="E386" s="28"/>
      <c r="F386" s="28"/>
      <c r="G386" s="10"/>
      <c r="H386" s="10"/>
      <c r="N386" s="123"/>
      <c r="P386" s="123"/>
      <c r="Q386" s="132"/>
    </row>
    <row r="387" ht="15.75" customHeight="1">
      <c r="A387" s="10"/>
      <c r="B387" s="135"/>
      <c r="E387" s="28"/>
      <c r="F387" s="28"/>
      <c r="G387" s="10"/>
      <c r="H387" s="10"/>
      <c r="N387" s="123"/>
      <c r="P387" s="123"/>
      <c r="Q387" s="132"/>
    </row>
    <row r="388" ht="15.75" customHeight="1">
      <c r="A388" s="10"/>
      <c r="B388" s="135"/>
      <c r="E388" s="28"/>
      <c r="F388" s="28"/>
      <c r="G388" s="10"/>
      <c r="H388" s="10"/>
      <c r="N388" s="123"/>
      <c r="P388" s="123"/>
      <c r="Q388" s="132"/>
    </row>
    <row r="389" ht="15.75" customHeight="1">
      <c r="A389" s="10"/>
      <c r="B389" s="135"/>
      <c r="E389" s="28"/>
      <c r="F389" s="28"/>
      <c r="G389" s="20"/>
      <c r="H389" s="10"/>
      <c r="N389" s="123"/>
      <c r="P389" s="123"/>
      <c r="Q389" s="132"/>
    </row>
    <row r="390" ht="15.75" customHeight="1">
      <c r="A390" s="10"/>
      <c r="B390" s="135"/>
      <c r="E390" s="28"/>
      <c r="F390" s="28"/>
      <c r="G390" s="20"/>
      <c r="H390" s="10"/>
      <c r="N390" s="123"/>
      <c r="P390" s="123"/>
      <c r="Q390" s="132"/>
    </row>
    <row r="391" ht="15.75" customHeight="1">
      <c r="A391" s="10"/>
      <c r="B391" s="135"/>
      <c r="E391" s="28"/>
      <c r="F391" s="28"/>
      <c r="G391" s="20"/>
      <c r="H391" s="10"/>
      <c r="N391" s="123"/>
      <c r="P391" s="123"/>
      <c r="Q391" s="132"/>
    </row>
    <row r="392" ht="15.75" customHeight="1">
      <c r="A392" s="10"/>
      <c r="B392" s="135"/>
      <c r="E392" s="28"/>
      <c r="F392" s="28"/>
      <c r="G392" s="20"/>
      <c r="H392" s="10"/>
      <c r="N392" s="123"/>
      <c r="P392" s="123"/>
      <c r="Q392" s="132"/>
    </row>
    <row r="393" ht="15.75" customHeight="1">
      <c r="A393" s="10"/>
      <c r="B393" s="135"/>
      <c r="C393" s="13"/>
      <c r="E393" s="28"/>
      <c r="F393" s="28"/>
      <c r="G393" s="20"/>
      <c r="H393" s="10"/>
      <c r="N393" s="123"/>
      <c r="P393" s="123"/>
      <c r="Q393" s="132"/>
    </row>
    <row r="394" ht="15.75" customHeight="1">
      <c r="A394" s="10"/>
      <c r="B394" s="135"/>
      <c r="G394" s="20"/>
      <c r="H394" s="10"/>
      <c r="N394" s="123"/>
      <c r="P394" s="123"/>
      <c r="Q394" s="132"/>
    </row>
    <row r="395" ht="15.75" customHeight="1">
      <c r="A395" s="27"/>
      <c r="B395" s="135"/>
      <c r="C395" s="13"/>
      <c r="E395" s="28"/>
      <c r="F395" s="28"/>
      <c r="G395" s="20"/>
      <c r="H395" s="10"/>
      <c r="N395" s="123"/>
      <c r="P395" s="123"/>
      <c r="Q395" s="132"/>
    </row>
    <row r="396" ht="15.75" customHeight="1">
      <c r="A396" s="10"/>
      <c r="B396" s="135"/>
      <c r="C396" s="13"/>
      <c r="E396" s="28"/>
      <c r="F396" s="28"/>
      <c r="G396" s="20"/>
      <c r="H396" s="10"/>
      <c r="N396" s="123"/>
      <c r="P396" s="123"/>
      <c r="Q396" s="132"/>
    </row>
    <row r="397" ht="15.75" customHeight="1">
      <c r="A397" s="10"/>
      <c r="B397" s="135"/>
      <c r="C397" s="13"/>
      <c r="E397" s="28"/>
      <c r="F397" s="28"/>
      <c r="G397" s="20"/>
      <c r="H397" s="10"/>
      <c r="N397" s="123"/>
      <c r="P397" s="123"/>
      <c r="Q397" s="132"/>
    </row>
    <row r="398" ht="15.75" customHeight="1">
      <c r="A398" s="10"/>
      <c r="B398" s="135"/>
      <c r="C398" s="13"/>
      <c r="E398" s="28"/>
      <c r="F398" s="28"/>
      <c r="G398" s="20"/>
      <c r="H398" s="10"/>
      <c r="N398" s="123"/>
      <c r="P398" s="123"/>
      <c r="Q398" s="132"/>
    </row>
    <row r="399" ht="15.75" customHeight="1">
      <c r="A399" s="10"/>
      <c r="B399" s="135"/>
      <c r="C399" s="13"/>
      <c r="E399" s="28"/>
      <c r="F399" s="28"/>
      <c r="G399" s="20"/>
      <c r="H399" s="10"/>
      <c r="N399" s="123"/>
      <c r="P399" s="123"/>
      <c r="Q399" s="132"/>
    </row>
    <row r="400" ht="15.75" customHeight="1">
      <c r="A400" s="10"/>
      <c r="B400" s="135"/>
      <c r="C400" s="13"/>
      <c r="E400" s="28"/>
      <c r="F400" s="28"/>
      <c r="G400" s="20"/>
      <c r="H400" s="10"/>
      <c r="N400" s="123"/>
      <c r="P400" s="123"/>
      <c r="Q400" s="132"/>
    </row>
    <row r="401" ht="15.75" customHeight="1">
      <c r="A401" s="10"/>
      <c r="B401" s="135"/>
      <c r="G401" s="10"/>
      <c r="H401" s="10"/>
      <c r="N401" s="123"/>
      <c r="P401" s="123"/>
      <c r="Q401" s="132"/>
    </row>
    <row r="402" ht="15.75" customHeight="1">
      <c r="A402" s="139"/>
      <c r="B402" s="135"/>
      <c r="C402" s="13"/>
      <c r="E402" s="28"/>
      <c r="F402" s="28"/>
      <c r="G402" s="20"/>
      <c r="H402" s="10"/>
      <c r="N402" s="123"/>
      <c r="P402" s="123"/>
      <c r="Q402" s="132"/>
    </row>
    <row r="403" ht="15.75" customHeight="1">
      <c r="A403" s="10"/>
      <c r="B403" s="135"/>
      <c r="C403" s="13"/>
      <c r="E403" s="28"/>
      <c r="F403" s="28"/>
      <c r="G403" s="20"/>
      <c r="H403" s="10"/>
      <c r="N403" s="123"/>
      <c r="P403" s="123"/>
      <c r="Q403" s="132"/>
    </row>
    <row r="404" ht="15.75" customHeight="1">
      <c r="A404" s="10"/>
      <c r="B404" s="135"/>
      <c r="C404" s="13"/>
      <c r="E404" s="28"/>
      <c r="F404" s="28"/>
      <c r="G404" s="10"/>
      <c r="H404" s="10"/>
      <c r="P404" s="123"/>
      <c r="Q404" s="132"/>
    </row>
    <row r="405" ht="15.75" customHeight="1">
      <c r="A405" s="10"/>
      <c r="B405" s="135"/>
      <c r="C405" s="13"/>
      <c r="E405" s="28"/>
      <c r="F405" s="28"/>
      <c r="G405" s="20"/>
      <c r="H405" s="10"/>
      <c r="N405" s="123"/>
      <c r="P405" s="123"/>
      <c r="Q405" s="132"/>
    </row>
    <row r="406" ht="15.75" customHeight="1">
      <c r="A406" s="10"/>
      <c r="B406" s="135"/>
      <c r="C406" s="13"/>
      <c r="E406" s="28"/>
      <c r="F406" s="28"/>
      <c r="G406" s="20"/>
      <c r="H406" s="10"/>
      <c r="N406" s="123"/>
      <c r="P406" s="123"/>
      <c r="Q406" s="132"/>
    </row>
    <row r="407" ht="15.75" customHeight="1">
      <c r="A407" s="10"/>
      <c r="B407" s="135"/>
      <c r="C407" s="13"/>
      <c r="E407" s="28"/>
      <c r="F407" s="28"/>
      <c r="G407" s="10"/>
      <c r="H407" s="10"/>
      <c r="P407" s="123"/>
      <c r="Q407" s="132"/>
    </row>
    <row r="408" ht="15.75" customHeight="1">
      <c r="A408" s="10"/>
      <c r="B408" s="135"/>
      <c r="G408" s="10"/>
      <c r="H408" s="10"/>
      <c r="P408" s="123"/>
      <c r="Q408" s="132"/>
    </row>
    <row r="409" ht="15.75" customHeight="1">
      <c r="A409" s="139"/>
      <c r="B409" s="135"/>
      <c r="C409" s="13"/>
      <c r="E409" s="28"/>
      <c r="F409" s="28"/>
      <c r="G409" s="20"/>
      <c r="H409" s="10"/>
      <c r="N409" s="13"/>
      <c r="P409" s="123"/>
      <c r="Q409" s="132"/>
    </row>
    <row r="410" ht="15.75" customHeight="1">
      <c r="A410" s="10"/>
      <c r="B410" s="135"/>
      <c r="C410" s="13"/>
      <c r="E410" s="28"/>
      <c r="F410" s="28"/>
      <c r="G410" s="20"/>
      <c r="H410" s="10"/>
      <c r="N410" s="13"/>
      <c r="P410" s="123"/>
      <c r="Q410" s="132"/>
    </row>
    <row r="411" ht="15.75" customHeight="1">
      <c r="A411" s="10"/>
      <c r="B411" s="135"/>
      <c r="C411" s="13"/>
      <c r="E411" s="28"/>
      <c r="F411" s="28"/>
      <c r="G411" s="10"/>
      <c r="H411" s="10"/>
      <c r="P411" s="123"/>
      <c r="Q411" s="132"/>
    </row>
    <row r="412" ht="15.75" customHeight="1">
      <c r="A412" s="10"/>
      <c r="B412" s="135"/>
      <c r="C412" s="13"/>
      <c r="E412" s="28"/>
      <c r="F412" s="28"/>
      <c r="G412" s="20"/>
      <c r="H412" s="10"/>
      <c r="N412" s="13"/>
      <c r="P412" s="123"/>
      <c r="Q412" s="132"/>
    </row>
    <row r="413" ht="15.75" customHeight="1">
      <c r="A413" s="10"/>
      <c r="B413" s="135"/>
      <c r="C413" s="13"/>
      <c r="E413" s="28"/>
      <c r="F413" s="28"/>
      <c r="G413" s="20"/>
      <c r="H413" s="10"/>
      <c r="N413" s="13"/>
      <c r="P413" s="123"/>
      <c r="Q413" s="132"/>
    </row>
    <row r="414" ht="15.75" customHeight="1">
      <c r="A414" s="10"/>
      <c r="B414" s="135"/>
      <c r="C414" s="13"/>
      <c r="E414" s="28"/>
      <c r="F414" s="28"/>
      <c r="G414" s="10"/>
      <c r="H414" s="10"/>
      <c r="P414" s="123"/>
      <c r="Q414" s="132"/>
    </row>
    <row r="415" ht="15.75" customHeight="1">
      <c r="A415" s="10"/>
      <c r="B415" s="135"/>
      <c r="G415" s="10"/>
      <c r="H415" s="10"/>
      <c r="P415" s="123"/>
      <c r="Q415" s="132"/>
    </row>
    <row r="416" ht="15.75" customHeight="1">
      <c r="A416" s="139"/>
      <c r="B416" s="135"/>
      <c r="C416" s="13"/>
      <c r="E416" s="28"/>
      <c r="F416" s="28"/>
      <c r="G416" s="10"/>
      <c r="H416" s="10"/>
      <c r="P416" s="123"/>
      <c r="Q416" s="132"/>
    </row>
    <row r="417" ht="15.75" customHeight="1">
      <c r="A417" s="10"/>
      <c r="B417" s="135"/>
      <c r="C417" s="13"/>
      <c r="E417" s="28"/>
      <c r="F417" s="28"/>
      <c r="G417" s="10"/>
      <c r="H417" s="10"/>
      <c r="P417" s="123"/>
      <c r="Q417" s="132"/>
    </row>
    <row r="418" ht="15.75" customHeight="1">
      <c r="A418" s="10"/>
      <c r="B418" s="135"/>
      <c r="C418" s="13"/>
      <c r="E418" s="28"/>
      <c r="F418" s="28"/>
      <c r="G418" s="10"/>
      <c r="H418" s="10"/>
      <c r="P418" s="123"/>
      <c r="Q418" s="132"/>
    </row>
    <row r="419" ht="15.75" customHeight="1">
      <c r="A419" s="10"/>
      <c r="B419" s="135"/>
      <c r="C419" s="13"/>
      <c r="E419" s="28"/>
      <c r="F419" s="28"/>
      <c r="G419" s="10"/>
      <c r="H419" s="10"/>
      <c r="P419" s="123"/>
      <c r="Q419" s="132"/>
    </row>
    <row r="420" ht="15.75" customHeight="1">
      <c r="A420" s="10"/>
      <c r="B420" s="135"/>
      <c r="C420" s="13"/>
      <c r="E420" s="28"/>
      <c r="F420" s="28"/>
      <c r="G420" s="10"/>
      <c r="H420" s="10"/>
      <c r="P420" s="123"/>
      <c r="Q420" s="132"/>
    </row>
    <row r="421" ht="15.75" customHeight="1">
      <c r="A421" s="10"/>
      <c r="B421" s="135"/>
      <c r="C421" s="13"/>
      <c r="E421" s="28"/>
      <c r="F421" s="28"/>
      <c r="G421" s="10"/>
      <c r="H421" s="10"/>
      <c r="P421" s="123"/>
      <c r="Q421" s="132"/>
    </row>
    <row r="422" ht="15.75" customHeight="1">
      <c r="A422" s="10"/>
      <c r="B422" s="135"/>
      <c r="C422" s="13"/>
      <c r="E422" s="28"/>
      <c r="F422" s="28"/>
      <c r="G422" s="10"/>
      <c r="H422" s="10"/>
      <c r="P422" s="123"/>
      <c r="Q422" s="132"/>
    </row>
    <row r="423" ht="15.75" customHeight="1">
      <c r="A423" s="10"/>
      <c r="B423" s="135"/>
      <c r="G423" s="10"/>
      <c r="H423" s="10"/>
      <c r="P423" s="123"/>
      <c r="Q423" s="132"/>
    </row>
    <row r="424" ht="15.75" customHeight="1">
      <c r="A424" s="24"/>
      <c r="B424" s="135"/>
      <c r="C424" s="13"/>
      <c r="E424" s="28"/>
      <c r="F424" s="28"/>
      <c r="G424" s="10"/>
      <c r="H424" s="10"/>
      <c r="P424" s="123"/>
      <c r="Q424" s="132"/>
    </row>
    <row r="425" ht="15.75" customHeight="1">
      <c r="A425" s="10"/>
      <c r="B425" s="135"/>
      <c r="C425" s="13"/>
      <c r="E425" s="28"/>
      <c r="F425" s="28"/>
      <c r="G425" s="10"/>
      <c r="H425" s="10"/>
      <c r="P425" s="123"/>
      <c r="Q425" s="132"/>
    </row>
    <row r="426" ht="15.75" customHeight="1">
      <c r="A426" s="10"/>
      <c r="B426" s="135"/>
      <c r="C426" s="13"/>
      <c r="E426" s="28"/>
      <c r="F426" s="28"/>
      <c r="G426" s="10"/>
      <c r="H426" s="10"/>
      <c r="P426" s="123"/>
      <c r="Q426" s="132"/>
    </row>
    <row r="427" ht="15.75" customHeight="1">
      <c r="A427" s="10"/>
      <c r="B427" s="135"/>
      <c r="C427" s="13"/>
      <c r="E427" s="28"/>
      <c r="F427" s="28"/>
      <c r="G427" s="10"/>
      <c r="H427" s="10"/>
      <c r="P427" s="123"/>
      <c r="Q427" s="132"/>
    </row>
    <row r="428" ht="15.75" customHeight="1">
      <c r="A428" s="10"/>
      <c r="B428" s="135"/>
      <c r="C428" s="13"/>
      <c r="E428" s="28"/>
      <c r="F428" s="28"/>
      <c r="G428" s="10"/>
      <c r="H428" s="10"/>
      <c r="P428" s="123"/>
      <c r="Q428" s="132"/>
    </row>
    <row r="429" ht="15.75" customHeight="1">
      <c r="A429" s="10"/>
      <c r="B429" s="135"/>
      <c r="C429" s="13"/>
      <c r="E429" s="28"/>
      <c r="F429" s="28"/>
      <c r="G429" s="10"/>
      <c r="H429" s="10"/>
      <c r="P429" s="123"/>
      <c r="Q429" s="132"/>
    </row>
    <row r="430" ht="15.75" customHeight="1">
      <c r="A430" s="10"/>
      <c r="B430" s="135"/>
      <c r="G430" s="10"/>
      <c r="H430" s="10"/>
      <c r="P430" s="123"/>
      <c r="Q430" s="132"/>
    </row>
    <row r="431" ht="15.75" customHeight="1">
      <c r="A431" s="139"/>
      <c r="B431" s="135"/>
      <c r="C431" s="13"/>
      <c r="E431" s="28"/>
      <c r="F431" s="28"/>
      <c r="G431" s="10"/>
      <c r="H431" s="10"/>
      <c r="P431" s="123"/>
      <c r="Q431" s="132"/>
    </row>
    <row r="432" ht="15.75" customHeight="1">
      <c r="A432" s="10"/>
      <c r="B432" s="135"/>
      <c r="C432" s="13"/>
      <c r="E432" s="28"/>
      <c r="F432" s="28"/>
      <c r="G432" s="10"/>
      <c r="H432" s="10"/>
      <c r="P432" s="123"/>
      <c r="Q432" s="132"/>
    </row>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6" width="12.63"/>
  </cols>
  <sheetData>
    <row r="1" ht="15.75" customHeight="1">
      <c r="A1" s="123" t="s">
        <v>117</v>
      </c>
      <c r="B1" s="123" t="s">
        <v>3321</v>
      </c>
      <c r="C1" s="123" t="s">
        <v>3322</v>
      </c>
      <c r="D1" s="123" t="s">
        <v>3323</v>
      </c>
      <c r="E1" s="123" t="s">
        <v>3324</v>
      </c>
      <c r="F1" s="123" t="s">
        <v>3325</v>
      </c>
      <c r="G1" s="20" t="s">
        <v>3326</v>
      </c>
    </row>
    <row r="2" ht="15.75" customHeight="1">
      <c r="A2" s="29">
        <v>45601.0</v>
      </c>
      <c r="B2" s="28">
        <v>0.475</v>
      </c>
      <c r="C2" s="28">
        <v>0.5027777777777778</v>
      </c>
      <c r="D2" s="13">
        <v>1.0</v>
      </c>
      <c r="E2" s="13">
        <v>7.0</v>
      </c>
      <c r="F2" s="13">
        <v>1.0</v>
      </c>
      <c r="G2" s="13" t="s">
        <v>3327</v>
      </c>
    </row>
    <row r="3" ht="15.75" customHeight="1">
      <c r="D3" s="13">
        <v>2.0</v>
      </c>
      <c r="E3" s="13">
        <v>6.0</v>
      </c>
      <c r="F3" s="13">
        <v>1.0</v>
      </c>
      <c r="G3" s="13" t="s">
        <v>3327</v>
      </c>
    </row>
    <row r="4" ht="15.75" customHeight="1">
      <c r="D4" s="13">
        <v>3.0</v>
      </c>
      <c r="E4" s="13">
        <v>1.0</v>
      </c>
      <c r="F4" s="13">
        <v>4.0</v>
      </c>
      <c r="G4" s="13" t="s">
        <v>3328</v>
      </c>
    </row>
    <row r="5" ht="15.75" customHeight="1">
      <c r="D5" s="13">
        <v>4.0</v>
      </c>
      <c r="E5" s="13">
        <v>2.0</v>
      </c>
      <c r="F5" s="13">
        <v>25.0</v>
      </c>
      <c r="G5" s="13" t="s">
        <v>3328</v>
      </c>
    </row>
    <row r="6" ht="15.75" customHeight="1">
      <c r="B6" s="28">
        <v>0.5131944444444444</v>
      </c>
      <c r="C6" s="28">
        <v>0.041666666666666664</v>
      </c>
      <c r="D6" s="13">
        <v>1.0</v>
      </c>
      <c r="E6" s="13">
        <v>9.0</v>
      </c>
      <c r="F6" s="13">
        <v>8.0</v>
      </c>
      <c r="G6" s="13" t="s">
        <v>3328</v>
      </c>
    </row>
    <row r="7" ht="15.75" customHeight="1">
      <c r="D7" s="13">
        <v>2.0</v>
      </c>
      <c r="E7" s="13">
        <v>8.0</v>
      </c>
      <c r="F7" s="13">
        <v>1.0</v>
      </c>
      <c r="G7" s="13" t="s">
        <v>3328</v>
      </c>
    </row>
    <row r="8" ht="15.75" customHeight="1">
      <c r="D8" s="13">
        <v>3.0</v>
      </c>
      <c r="E8" s="13">
        <v>4.0</v>
      </c>
      <c r="F8" s="13">
        <v>48.0</v>
      </c>
      <c r="G8" s="13" t="s">
        <v>3328</v>
      </c>
    </row>
    <row r="9" ht="15.75" customHeight="1">
      <c r="D9" s="13">
        <v>4.0</v>
      </c>
      <c r="E9" s="13">
        <v>3.0</v>
      </c>
      <c r="F9" s="13">
        <v>8.0</v>
      </c>
      <c r="G9" s="13" t="s">
        <v>3328</v>
      </c>
    </row>
    <row r="10" ht="15.75" customHeight="1">
      <c r="B10" s="28">
        <v>0.5826388888888889</v>
      </c>
      <c r="C10" s="28">
        <v>0.6152777777777778</v>
      </c>
      <c r="D10" s="13">
        <v>1.0</v>
      </c>
      <c r="E10" s="13">
        <v>1.0</v>
      </c>
      <c r="F10" s="13">
        <v>5.0</v>
      </c>
      <c r="G10" s="13" t="s">
        <v>3328</v>
      </c>
    </row>
    <row r="11" ht="15.75" customHeight="1">
      <c r="D11" s="13">
        <v>2.0</v>
      </c>
      <c r="E11" s="13">
        <v>2.0</v>
      </c>
      <c r="F11" s="13">
        <v>119.0</v>
      </c>
      <c r="G11" s="13" t="s">
        <v>3328</v>
      </c>
    </row>
    <row r="12" ht="15.75" customHeight="1">
      <c r="D12" s="13">
        <v>3.0</v>
      </c>
      <c r="E12" s="13">
        <v>6.0</v>
      </c>
      <c r="F12" s="13">
        <v>1.0</v>
      </c>
      <c r="G12" s="13" t="s">
        <v>3328</v>
      </c>
    </row>
    <row r="13" ht="15.75" customHeight="1">
      <c r="D13" s="13">
        <v>4.0</v>
      </c>
      <c r="E13" s="13">
        <v>7.0</v>
      </c>
      <c r="F13" s="13">
        <v>1.0</v>
      </c>
      <c r="G13" s="13" t="s">
        <v>3328</v>
      </c>
    </row>
    <row r="14" ht="15.75" customHeight="1">
      <c r="B14" s="28">
        <v>0.6222222222222222</v>
      </c>
      <c r="C14" s="28">
        <v>0.6569444444444444</v>
      </c>
      <c r="D14" s="13">
        <v>1.0</v>
      </c>
      <c r="E14" s="13">
        <v>3.0</v>
      </c>
      <c r="F14" s="13">
        <v>105.0</v>
      </c>
      <c r="G14" s="13" t="s">
        <v>3328</v>
      </c>
    </row>
    <row r="15" ht="15.75" customHeight="1">
      <c r="D15" s="13">
        <v>2.0</v>
      </c>
      <c r="E15" s="13">
        <v>4.0</v>
      </c>
      <c r="F15" s="13">
        <v>155.0</v>
      </c>
      <c r="G15" s="13" t="s">
        <v>3328</v>
      </c>
    </row>
    <row r="16" ht="15.75" customHeight="1">
      <c r="D16" s="13">
        <v>3.0</v>
      </c>
      <c r="E16" s="13">
        <v>8.0</v>
      </c>
      <c r="F16" s="13">
        <v>1.0</v>
      </c>
      <c r="G16" s="13" t="s">
        <v>3328</v>
      </c>
    </row>
    <row r="17" ht="15.75" customHeight="1">
      <c r="D17" s="13">
        <v>4.0</v>
      </c>
      <c r="E17" s="13">
        <v>9.0</v>
      </c>
      <c r="F17" s="13">
        <v>52.0</v>
      </c>
      <c r="G17" s="13" t="s">
        <v>3328</v>
      </c>
    </row>
    <row r="18" ht="15.75" customHeight="1">
      <c r="A18" s="30">
        <v>45602.0</v>
      </c>
      <c r="B18" s="28">
        <v>0.4375</v>
      </c>
      <c r="C18" s="28">
        <v>0.4652777777777778</v>
      </c>
      <c r="D18" s="13">
        <v>1.0</v>
      </c>
      <c r="E18" s="13">
        <v>2.0</v>
      </c>
      <c r="F18" s="13">
        <v>128.0</v>
      </c>
    </row>
    <row r="19" ht="15.75" customHeight="1">
      <c r="D19" s="13">
        <v>2.0</v>
      </c>
      <c r="E19" s="13">
        <v>1.0</v>
      </c>
      <c r="F19" s="13">
        <v>3.0</v>
      </c>
      <c r="G19" s="13" t="s">
        <v>3328</v>
      </c>
    </row>
    <row r="20" ht="15.75" customHeight="1">
      <c r="D20" s="13">
        <v>3.0</v>
      </c>
      <c r="E20" s="13">
        <v>7.0</v>
      </c>
      <c r="F20" s="13">
        <v>5.0</v>
      </c>
      <c r="G20" s="13" t="s">
        <v>3329</v>
      </c>
    </row>
    <row r="21" ht="15.75" customHeight="1">
      <c r="D21" s="13">
        <v>4.0</v>
      </c>
      <c r="E21" s="13">
        <v>6.0</v>
      </c>
      <c r="F21" s="13">
        <v>1.0</v>
      </c>
      <c r="G21" s="13" t="s">
        <v>3329</v>
      </c>
    </row>
    <row r="22" ht="15.75" customHeight="1">
      <c r="B22" s="28">
        <v>0.4708333333333333</v>
      </c>
      <c r="C22" s="28">
        <v>0.4986111111111111</v>
      </c>
      <c r="D22" s="13">
        <v>1.0</v>
      </c>
      <c r="E22" s="13">
        <v>4.0</v>
      </c>
      <c r="F22" s="13">
        <v>156.0</v>
      </c>
      <c r="G22" s="13" t="s">
        <v>3330</v>
      </c>
    </row>
    <row r="23" ht="15.75" customHeight="1">
      <c r="D23" s="13">
        <v>2.0</v>
      </c>
      <c r="E23" s="13">
        <v>3.0</v>
      </c>
      <c r="F23" s="13">
        <v>178.0</v>
      </c>
      <c r="G23" s="13" t="s">
        <v>3330</v>
      </c>
    </row>
    <row r="24" ht="15.75" customHeight="1">
      <c r="D24" s="13">
        <v>3.0</v>
      </c>
      <c r="E24" s="13">
        <v>9.0</v>
      </c>
      <c r="F24" s="13">
        <v>60.0</v>
      </c>
      <c r="G24" s="13" t="s">
        <v>3328</v>
      </c>
    </row>
    <row r="25" ht="15.75" customHeight="1">
      <c r="D25" s="13">
        <v>4.0</v>
      </c>
      <c r="E25" s="13">
        <v>8.0</v>
      </c>
      <c r="F25" s="13">
        <v>2.0</v>
      </c>
      <c r="G25" s="13" t="s">
        <v>3331</v>
      </c>
    </row>
    <row r="26" ht="15.75" customHeight="1">
      <c r="B26" s="28">
        <v>0.06736111111111111</v>
      </c>
      <c r="C26" s="28">
        <v>0.09027777777777778</v>
      </c>
      <c r="D26" s="13">
        <v>1.0</v>
      </c>
      <c r="E26" s="13">
        <v>10.0</v>
      </c>
      <c r="F26" s="13">
        <v>8.0</v>
      </c>
      <c r="G26" s="13" t="s">
        <v>3332</v>
      </c>
    </row>
    <row r="27" ht="15.75" customHeight="1">
      <c r="D27" s="13">
        <v>2.0</v>
      </c>
      <c r="E27" s="13">
        <v>7.0</v>
      </c>
      <c r="F27" s="13">
        <v>4.0</v>
      </c>
      <c r="G27" s="13" t="s">
        <v>3333</v>
      </c>
    </row>
    <row r="28" ht="15.75" customHeight="1">
      <c r="D28" s="13">
        <v>3.0</v>
      </c>
      <c r="E28" s="13">
        <v>1.0</v>
      </c>
      <c r="F28" s="13">
        <v>3.0</v>
      </c>
      <c r="G28" s="13" t="s">
        <v>3333</v>
      </c>
    </row>
    <row r="29" ht="15.75" customHeight="1">
      <c r="D29" s="13">
        <v>4.0</v>
      </c>
      <c r="E29" s="13">
        <v>6.0</v>
      </c>
      <c r="F29" s="13">
        <v>2.0</v>
      </c>
      <c r="G29" s="13" t="s">
        <v>3333</v>
      </c>
    </row>
    <row r="30" ht="15.75" customHeight="1">
      <c r="B30" s="28">
        <v>0.09722222222222222</v>
      </c>
      <c r="C30" s="28">
        <v>0.125</v>
      </c>
      <c r="D30" s="13">
        <v>1.0</v>
      </c>
      <c r="E30" s="13">
        <v>5.0</v>
      </c>
      <c r="F30" s="13">
        <v>6.0</v>
      </c>
      <c r="G30" s="13" t="s">
        <v>3333</v>
      </c>
    </row>
    <row r="31" ht="15.75" customHeight="1">
      <c r="D31" s="13">
        <v>2.0</v>
      </c>
      <c r="E31" s="13">
        <v>9.0</v>
      </c>
      <c r="F31" s="13">
        <v>43.0</v>
      </c>
      <c r="G31" s="13" t="s">
        <v>3333</v>
      </c>
    </row>
    <row r="32" ht="15.75" customHeight="1">
      <c r="D32" s="13">
        <v>3.0</v>
      </c>
      <c r="E32" s="13">
        <v>8.0</v>
      </c>
      <c r="F32" s="13">
        <v>30.0</v>
      </c>
      <c r="G32" s="13" t="s">
        <v>3333</v>
      </c>
    </row>
    <row r="33" ht="15.75" customHeight="1">
      <c r="D33" s="13">
        <v>4.0</v>
      </c>
    </row>
    <row r="34" ht="15.75" customHeight="1">
      <c r="A34" s="29">
        <v>45603.0</v>
      </c>
      <c r="B34" s="28">
        <v>0.4423611111111111</v>
      </c>
      <c r="C34" s="28">
        <v>0.4722222222222222</v>
      </c>
      <c r="D34" s="13">
        <v>1.0</v>
      </c>
      <c r="E34" s="13">
        <v>9.0</v>
      </c>
      <c r="F34" s="13">
        <v>83.0</v>
      </c>
      <c r="G34" s="13" t="s">
        <v>3333</v>
      </c>
    </row>
    <row r="35" ht="15.75" customHeight="1">
      <c r="D35" s="13">
        <v>2.0</v>
      </c>
      <c r="E35" s="13">
        <v>8.0</v>
      </c>
      <c r="F35" s="13">
        <v>69.0</v>
      </c>
      <c r="G35" s="13" t="s">
        <v>3333</v>
      </c>
    </row>
    <row r="36" ht="15.75" customHeight="1">
      <c r="D36" s="13">
        <v>3.0</v>
      </c>
      <c r="E36" s="13">
        <v>7.0</v>
      </c>
      <c r="F36" s="13">
        <v>2.0</v>
      </c>
      <c r="G36" s="13" t="s">
        <v>3334</v>
      </c>
    </row>
    <row r="37" ht="15.75" customHeight="1">
      <c r="D37" s="13">
        <v>4.0</v>
      </c>
      <c r="E37" s="13">
        <v>6.0</v>
      </c>
      <c r="F37" s="13">
        <v>6.0</v>
      </c>
      <c r="G37" s="13" t="s">
        <v>3334</v>
      </c>
    </row>
    <row r="38" ht="15.75" customHeight="1">
      <c r="B38" s="28">
        <v>0.47708333333333336</v>
      </c>
      <c r="C38" s="28">
        <v>0.5055555555555555</v>
      </c>
      <c r="D38" s="13">
        <v>1.0</v>
      </c>
      <c r="E38" s="13">
        <v>4.0</v>
      </c>
      <c r="F38" s="13">
        <v>153.0</v>
      </c>
      <c r="G38" s="13" t="s">
        <v>3335</v>
      </c>
    </row>
    <row r="39" ht="15.75" customHeight="1">
      <c r="D39" s="13">
        <v>2.0</v>
      </c>
      <c r="E39" s="13">
        <v>3.0</v>
      </c>
      <c r="F39" s="13">
        <v>176.0</v>
      </c>
      <c r="G39" s="13" t="s">
        <v>3336</v>
      </c>
    </row>
    <row r="40" ht="15.75" customHeight="1">
      <c r="D40" s="13">
        <v>3.0</v>
      </c>
      <c r="E40" s="13">
        <v>2.0</v>
      </c>
      <c r="F40" s="13">
        <v>133.0</v>
      </c>
      <c r="G40" s="13" t="s">
        <v>3337</v>
      </c>
    </row>
    <row r="41" ht="15.75" customHeight="1">
      <c r="D41" s="13">
        <v>4.0</v>
      </c>
      <c r="E41" s="13">
        <v>1.0</v>
      </c>
      <c r="F41" s="13">
        <v>6.0</v>
      </c>
      <c r="G41" s="13" t="s">
        <v>3338</v>
      </c>
    </row>
    <row r="42" ht="15.75" customHeight="1">
      <c r="B42" s="28">
        <v>0.5993055555555555</v>
      </c>
      <c r="C42" s="28">
        <v>0.6375</v>
      </c>
      <c r="D42" s="13">
        <v>1.0</v>
      </c>
      <c r="E42" s="13">
        <v>1.0</v>
      </c>
      <c r="F42" s="13">
        <v>10.0</v>
      </c>
      <c r="G42" s="13" t="s">
        <v>3333</v>
      </c>
    </row>
    <row r="43" ht="15.75" customHeight="1">
      <c r="D43" s="13">
        <v>2.0</v>
      </c>
      <c r="E43" s="13">
        <v>5.0</v>
      </c>
      <c r="F43" s="13">
        <v>79.0</v>
      </c>
      <c r="G43" s="13" t="s">
        <v>3333</v>
      </c>
    </row>
    <row r="44" ht="15.75" customHeight="1">
      <c r="D44" s="13">
        <v>3.0</v>
      </c>
      <c r="E44" s="13">
        <v>6.0</v>
      </c>
      <c r="F44" s="13">
        <v>13.0</v>
      </c>
      <c r="G44" s="13" t="s">
        <v>3333</v>
      </c>
    </row>
    <row r="45" ht="15.75" customHeight="1">
      <c r="D45" s="13">
        <v>4.0</v>
      </c>
      <c r="E45" s="13">
        <v>10.0</v>
      </c>
      <c r="F45" s="13">
        <v>42.0</v>
      </c>
      <c r="G45" s="13" t="s">
        <v>3333</v>
      </c>
    </row>
    <row r="46" ht="15.75" customHeight="1">
      <c r="B46" s="28">
        <v>0.64375</v>
      </c>
      <c r="C46" s="28">
        <v>0.6979166666666666</v>
      </c>
      <c r="D46" s="13">
        <v>1.0</v>
      </c>
      <c r="E46" s="13">
        <v>8.0</v>
      </c>
      <c r="F46" s="13">
        <v>119.0</v>
      </c>
    </row>
    <row r="47" ht="15.75" customHeight="1">
      <c r="B47" s="13" t="s">
        <v>3339</v>
      </c>
      <c r="D47" s="13">
        <v>2.0</v>
      </c>
      <c r="E47" s="13">
        <v>7.0</v>
      </c>
      <c r="F47" s="13">
        <v>15.0</v>
      </c>
      <c r="G47" s="13" t="s">
        <v>3340</v>
      </c>
      <c r="O47" s="13" t="s">
        <v>3341</v>
      </c>
    </row>
    <row r="48" ht="15.75" customHeight="1">
      <c r="D48" s="13">
        <v>3.0</v>
      </c>
      <c r="E48" s="13">
        <v>9.0</v>
      </c>
      <c r="F48" s="13">
        <v>110.0</v>
      </c>
    </row>
    <row r="49" ht="15.75" customHeight="1">
      <c r="D49" s="13">
        <v>4.0</v>
      </c>
      <c r="E49" s="13">
        <v>1.0</v>
      </c>
      <c r="F49" s="13">
        <v>25.0</v>
      </c>
      <c r="G49" s="13" t="s">
        <v>3342</v>
      </c>
    </row>
    <row r="50" ht="15.75" customHeight="1">
      <c r="A50" s="29">
        <v>45604.0</v>
      </c>
      <c r="B50" s="28">
        <v>0.46597222222222223</v>
      </c>
      <c r="C50" s="28">
        <v>0.4986111111111111</v>
      </c>
      <c r="D50" s="13">
        <v>1.0</v>
      </c>
      <c r="E50" s="13">
        <v>6.0</v>
      </c>
      <c r="F50" s="13">
        <v>144.0</v>
      </c>
      <c r="G50" s="13" t="s">
        <v>3328</v>
      </c>
    </row>
    <row r="51" ht="15.75" customHeight="1">
      <c r="D51" s="13">
        <v>2.0</v>
      </c>
      <c r="E51" s="13">
        <v>1.0</v>
      </c>
      <c r="F51" s="13">
        <v>11.0</v>
      </c>
      <c r="G51" s="13" t="s">
        <v>3343</v>
      </c>
    </row>
    <row r="52" ht="15.75" customHeight="1">
      <c r="D52" s="13">
        <v>3.0</v>
      </c>
      <c r="E52" s="13">
        <v>10.0</v>
      </c>
      <c r="F52" s="13">
        <v>94.0</v>
      </c>
      <c r="G52" s="13" t="s">
        <v>3328</v>
      </c>
    </row>
    <row r="53" ht="15.75" customHeight="1">
      <c r="D53" s="13">
        <v>4.0</v>
      </c>
      <c r="E53" s="13">
        <v>5.0</v>
      </c>
      <c r="F53" s="13">
        <v>126.0</v>
      </c>
      <c r="G53" s="13" t="s">
        <v>3328</v>
      </c>
    </row>
    <row r="54" ht="15.75" customHeight="1">
      <c r="A54" s="29">
        <v>45610.0</v>
      </c>
      <c r="B54" s="28">
        <v>0.5791666666666667</v>
      </c>
      <c r="C54" s="28">
        <v>0.5930555555555556</v>
      </c>
      <c r="D54" s="13">
        <v>1.0</v>
      </c>
      <c r="E54" s="13">
        <v>5.0</v>
      </c>
      <c r="F54" s="13">
        <v>129.0</v>
      </c>
    </row>
    <row r="55" ht="15.75" customHeight="1">
      <c r="D55" s="13">
        <v>2.0</v>
      </c>
      <c r="E55" s="13">
        <v>4.0</v>
      </c>
      <c r="F55" s="13">
        <v>142.0</v>
      </c>
    </row>
    <row r="56" ht="15.75" customHeight="1">
      <c r="D56" s="13">
        <v>3.0</v>
      </c>
      <c r="E56" s="13">
        <v>3.0</v>
      </c>
      <c r="F56" s="13">
        <v>142.0</v>
      </c>
    </row>
    <row r="57" ht="15.75" customHeight="1">
      <c r="D57" s="13">
        <v>4.0</v>
      </c>
      <c r="E57" s="13">
        <v>2.0</v>
      </c>
      <c r="F57" s="13">
        <v>74.0</v>
      </c>
      <c r="G57" s="13" t="s">
        <v>3344</v>
      </c>
    </row>
    <row r="58" ht="15.75" customHeight="1">
      <c r="B58" s="28">
        <v>0.5972222222222222</v>
      </c>
      <c r="C58" s="28">
        <v>0.6166666666666667</v>
      </c>
      <c r="D58" s="13">
        <v>1.0</v>
      </c>
      <c r="E58" s="13">
        <v>10.0</v>
      </c>
      <c r="F58" s="13">
        <v>113.0</v>
      </c>
    </row>
    <row r="59" ht="15.75" customHeight="1">
      <c r="D59" s="13">
        <v>2.0</v>
      </c>
      <c r="E59" s="13">
        <v>9.0</v>
      </c>
      <c r="F59" s="13">
        <v>90.0</v>
      </c>
    </row>
    <row r="60" ht="15.75" customHeight="1">
      <c r="D60" s="13">
        <v>3.0</v>
      </c>
      <c r="E60" s="13">
        <v>8.0</v>
      </c>
      <c r="F60" s="13">
        <v>79.0</v>
      </c>
    </row>
    <row r="61" ht="15.75" customHeight="1">
      <c r="D61" s="13">
        <v>4.0</v>
      </c>
      <c r="E61" s="13">
        <v>6.0</v>
      </c>
      <c r="F61" s="13">
        <v>120.0</v>
      </c>
      <c r="G61" s="13" t="s">
        <v>3345</v>
      </c>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6" width="12.63"/>
  </cols>
  <sheetData>
    <row r="1" ht="15.75" customHeight="1">
      <c r="A1" s="99"/>
      <c r="B1" s="100"/>
      <c r="C1" s="20"/>
      <c r="D1" s="20"/>
      <c r="E1" s="20"/>
      <c r="F1" s="20"/>
      <c r="G1" s="20"/>
      <c r="H1" s="37" t="s">
        <v>1051</v>
      </c>
      <c r="I1" s="101" t="s">
        <v>1052</v>
      </c>
      <c r="J1" s="39" t="s">
        <v>1053</v>
      </c>
      <c r="K1" s="20"/>
      <c r="L1" s="41"/>
      <c r="M1" s="20"/>
      <c r="N1" s="20"/>
      <c r="O1" s="20"/>
      <c r="P1" s="20"/>
      <c r="Q1" s="20"/>
      <c r="R1" s="42"/>
      <c r="S1" s="20"/>
      <c r="T1" s="20"/>
      <c r="U1" s="20"/>
      <c r="V1" s="142" t="s">
        <v>3346</v>
      </c>
      <c r="W1" s="20"/>
      <c r="X1" s="20"/>
      <c r="Y1" s="20"/>
      <c r="Z1" s="20"/>
      <c r="AA1" s="20"/>
      <c r="AB1" s="20"/>
      <c r="AC1" s="20"/>
      <c r="AD1" s="20"/>
      <c r="AE1" s="20"/>
      <c r="AF1" s="20"/>
      <c r="AG1" s="20"/>
      <c r="AH1" s="42"/>
      <c r="AI1" s="20"/>
      <c r="AJ1" s="20"/>
      <c r="AK1" s="20"/>
      <c r="AL1" s="20"/>
      <c r="AM1" s="20"/>
      <c r="AN1" s="20"/>
      <c r="AO1" s="20"/>
      <c r="AP1" s="20"/>
      <c r="AQ1" s="20"/>
      <c r="AR1" s="20"/>
      <c r="AS1" s="41"/>
      <c r="AT1" s="20"/>
      <c r="AU1" s="20"/>
      <c r="AV1" s="20"/>
      <c r="AW1" s="20"/>
      <c r="AX1" s="42"/>
      <c r="AY1" s="20"/>
      <c r="AZ1" s="20"/>
      <c r="BA1" s="20"/>
      <c r="BB1" s="20"/>
      <c r="BC1" s="20"/>
      <c r="BD1" s="20"/>
      <c r="BE1" s="20"/>
      <c r="BF1" s="20"/>
      <c r="BG1" s="20"/>
      <c r="BH1" s="20"/>
      <c r="BI1" s="20"/>
      <c r="BJ1" s="20"/>
      <c r="BK1" s="20"/>
      <c r="BL1" s="20"/>
      <c r="BM1" s="20"/>
      <c r="BN1" s="42"/>
    </row>
    <row r="2" ht="15.75" customHeight="1">
      <c r="A2" s="99"/>
      <c r="B2" s="102"/>
      <c r="C2" s="20"/>
      <c r="D2" s="20"/>
      <c r="E2" s="20"/>
      <c r="F2" s="20"/>
      <c r="G2" s="20"/>
      <c r="H2" s="46"/>
      <c r="I2" s="143"/>
      <c r="J2" s="46"/>
      <c r="K2" s="46"/>
      <c r="L2" s="20"/>
      <c r="M2" s="20"/>
      <c r="N2" s="20"/>
      <c r="O2" s="20"/>
      <c r="P2" s="20"/>
      <c r="Q2" s="20"/>
      <c r="R2" s="42" t="s">
        <v>3347</v>
      </c>
      <c r="S2" s="48"/>
      <c r="T2" s="48"/>
      <c r="U2" s="20"/>
      <c r="V2" s="142"/>
      <c r="W2" s="20" t="s">
        <v>3348</v>
      </c>
      <c r="X2" s="20"/>
      <c r="Y2" s="20"/>
      <c r="Z2" s="20"/>
      <c r="AA2" s="20"/>
      <c r="AB2" s="20"/>
      <c r="AC2" s="20"/>
      <c r="AD2" s="46" t="s">
        <v>3349</v>
      </c>
      <c r="AE2" s="20" t="s">
        <v>3350</v>
      </c>
      <c r="AF2" s="20"/>
      <c r="AG2" s="46"/>
      <c r="AH2" s="104"/>
      <c r="AI2" s="20"/>
      <c r="AJ2" s="46"/>
      <c r="AK2" s="46" t="s">
        <v>3351</v>
      </c>
      <c r="AL2" s="46"/>
      <c r="AM2" s="20"/>
      <c r="AN2" s="20" t="s">
        <v>3352</v>
      </c>
      <c r="AO2" s="46"/>
      <c r="AP2" s="46"/>
      <c r="AQ2" s="20"/>
      <c r="AR2" s="46"/>
      <c r="AS2" s="10"/>
      <c r="AT2" s="10"/>
      <c r="AU2" s="46"/>
      <c r="AV2" s="48"/>
      <c r="AW2" s="48"/>
      <c r="AX2" s="50" t="s">
        <v>3352</v>
      </c>
      <c r="AY2" s="46" t="s">
        <v>3353</v>
      </c>
      <c r="AZ2" s="46"/>
      <c r="BA2" s="20"/>
      <c r="BB2" s="20"/>
      <c r="BC2" s="46"/>
      <c r="BD2" s="46"/>
      <c r="BE2" s="20"/>
      <c r="BF2" s="46"/>
      <c r="BG2" s="46"/>
      <c r="BH2" s="46"/>
      <c r="BI2" s="20"/>
      <c r="BJ2" s="20"/>
      <c r="BK2" s="46"/>
      <c r="BL2" s="46"/>
      <c r="BM2" s="49"/>
      <c r="BN2" s="104"/>
    </row>
    <row r="3" ht="15.75" customHeight="1">
      <c r="A3" s="99" t="s">
        <v>117</v>
      </c>
      <c r="B3" s="102" t="s">
        <v>118</v>
      </c>
      <c r="C3" s="58">
        <v>1.0</v>
      </c>
      <c r="D3" s="54">
        <v>2.0</v>
      </c>
      <c r="E3" s="54">
        <v>3.0</v>
      </c>
      <c r="F3" s="55">
        <v>4.0</v>
      </c>
      <c r="G3" s="54">
        <v>5.0</v>
      </c>
      <c r="H3" s="54">
        <v>6.0</v>
      </c>
      <c r="I3" s="144">
        <v>7.0</v>
      </c>
      <c r="J3" s="54">
        <v>8.0</v>
      </c>
      <c r="K3" s="54">
        <v>9.0</v>
      </c>
      <c r="L3" s="58">
        <v>10.0</v>
      </c>
      <c r="M3" s="54">
        <v>11.0</v>
      </c>
      <c r="N3" s="54">
        <v>12.0</v>
      </c>
      <c r="O3" s="55">
        <v>13.0</v>
      </c>
      <c r="P3" s="54">
        <v>14.0</v>
      </c>
      <c r="Q3" s="54">
        <v>15.0</v>
      </c>
      <c r="R3" s="59" t="s">
        <v>120</v>
      </c>
      <c r="S3" s="60" t="s">
        <v>121</v>
      </c>
      <c r="T3" s="61" t="s">
        <v>122</v>
      </c>
      <c r="U3" s="54">
        <v>19.0</v>
      </c>
      <c r="V3" s="145">
        <v>20.0</v>
      </c>
      <c r="W3" s="54">
        <v>21.0</v>
      </c>
      <c r="X3" s="54">
        <v>22.0</v>
      </c>
      <c r="Y3" s="56">
        <v>23.0</v>
      </c>
      <c r="Z3" s="54">
        <v>24.0</v>
      </c>
      <c r="AA3" s="54">
        <v>25.0</v>
      </c>
      <c r="AB3" s="58">
        <v>26.0</v>
      </c>
      <c r="AC3" s="54">
        <v>27.0</v>
      </c>
      <c r="AD3" s="54">
        <v>28.0</v>
      </c>
      <c r="AE3" s="55">
        <v>29.0</v>
      </c>
      <c r="AF3" s="54">
        <v>30.0</v>
      </c>
      <c r="AG3" s="54">
        <v>31.0</v>
      </c>
      <c r="AH3" s="62">
        <v>32.0</v>
      </c>
      <c r="AI3" s="53">
        <v>33.0</v>
      </c>
      <c r="AJ3" s="54">
        <v>34.0</v>
      </c>
      <c r="AK3" s="54">
        <v>35.0</v>
      </c>
      <c r="AL3" s="55">
        <v>36.0</v>
      </c>
      <c r="AM3" s="54">
        <v>37.0</v>
      </c>
      <c r="AN3" s="54">
        <v>38.0</v>
      </c>
      <c r="AO3" s="56">
        <v>39.0</v>
      </c>
      <c r="AP3" s="54">
        <v>40.0</v>
      </c>
      <c r="AQ3" s="54">
        <v>41.0</v>
      </c>
      <c r="AR3" s="58">
        <v>42.0</v>
      </c>
      <c r="AS3" s="54">
        <v>43.0</v>
      </c>
      <c r="AT3" s="54">
        <v>44.0</v>
      </c>
      <c r="AU3" s="55">
        <v>45.0</v>
      </c>
      <c r="AV3" s="61" t="s">
        <v>123</v>
      </c>
      <c r="AW3" s="61" t="s">
        <v>124</v>
      </c>
      <c r="AX3" s="59" t="s">
        <v>125</v>
      </c>
      <c r="AY3" s="53">
        <v>49.0</v>
      </c>
      <c r="AZ3" s="54">
        <v>50.0</v>
      </c>
      <c r="BA3" s="54">
        <v>51.0</v>
      </c>
      <c r="BB3" s="55">
        <v>52.0</v>
      </c>
      <c r="BC3" s="54">
        <v>53.0</v>
      </c>
      <c r="BD3" s="54">
        <v>54.0</v>
      </c>
      <c r="BE3" s="56">
        <v>55.0</v>
      </c>
      <c r="BF3" s="54">
        <v>56.0</v>
      </c>
      <c r="BG3" s="54">
        <v>57.0</v>
      </c>
      <c r="BH3" s="58">
        <v>58.0</v>
      </c>
      <c r="BI3" s="54">
        <v>59.0</v>
      </c>
      <c r="BJ3" s="54">
        <v>60.0</v>
      </c>
      <c r="BK3" s="55">
        <v>61.0</v>
      </c>
      <c r="BL3" s="54">
        <v>62.0</v>
      </c>
      <c r="BM3" s="54">
        <v>63.0</v>
      </c>
      <c r="BN3" s="62">
        <v>64.0</v>
      </c>
    </row>
    <row r="4" ht="15.75" customHeight="1">
      <c r="A4" s="105">
        <v>45218.0</v>
      </c>
      <c r="B4" s="10" t="s">
        <v>3354</v>
      </c>
      <c r="C4" s="10" t="s">
        <v>3355</v>
      </c>
      <c r="D4" s="10" t="s">
        <v>3356</v>
      </c>
      <c r="E4" s="10" t="s">
        <v>3356</v>
      </c>
      <c r="F4" s="10" t="s">
        <v>3356</v>
      </c>
      <c r="G4" s="10" t="s">
        <v>3356</v>
      </c>
      <c r="H4" s="10" t="s">
        <v>3357</v>
      </c>
      <c r="I4" s="108" t="s">
        <v>3358</v>
      </c>
      <c r="J4" s="10" t="s">
        <v>3359</v>
      </c>
      <c r="K4" s="10" t="s">
        <v>3355</v>
      </c>
      <c r="L4" s="10" t="s">
        <v>3355</v>
      </c>
      <c r="M4" s="10" t="s">
        <v>3360</v>
      </c>
      <c r="N4" s="10" t="s">
        <v>3361</v>
      </c>
      <c r="O4" s="10" t="s">
        <v>3362</v>
      </c>
      <c r="P4" s="10" t="s">
        <v>3363</v>
      </c>
      <c r="Q4" s="10" t="s">
        <v>3364</v>
      </c>
      <c r="R4" s="68" t="s">
        <v>3365</v>
      </c>
      <c r="S4" s="10" t="s">
        <v>3366</v>
      </c>
      <c r="T4" s="10" t="s">
        <v>3367</v>
      </c>
      <c r="U4" s="10" t="s">
        <v>3368</v>
      </c>
      <c r="V4" s="108"/>
      <c r="W4" s="10" t="s">
        <v>3368</v>
      </c>
      <c r="X4" s="10" t="s">
        <v>3369</v>
      </c>
      <c r="Y4" s="10" t="s">
        <v>3370</v>
      </c>
      <c r="Z4" s="10" t="s">
        <v>3371</v>
      </c>
      <c r="AA4" s="10" t="s">
        <v>3372</v>
      </c>
      <c r="AB4" s="10" t="s">
        <v>3368</v>
      </c>
      <c r="AC4" s="10" t="s">
        <v>3373</v>
      </c>
      <c r="AD4" s="10" t="s">
        <v>3373</v>
      </c>
      <c r="AE4" s="10" t="s">
        <v>3374</v>
      </c>
      <c r="AF4" s="10" t="s">
        <v>3370</v>
      </c>
      <c r="AG4" s="10" t="s">
        <v>3370</v>
      </c>
      <c r="AH4" s="68" t="s">
        <v>3375</v>
      </c>
      <c r="AI4" s="10" t="s">
        <v>3376</v>
      </c>
      <c r="AJ4" s="10" t="s">
        <v>3377</v>
      </c>
      <c r="AK4" s="10" t="s">
        <v>3378</v>
      </c>
      <c r="AL4" s="10" t="s">
        <v>3379</v>
      </c>
      <c r="AM4" s="10" t="s">
        <v>3380</v>
      </c>
      <c r="AN4" s="10" t="s">
        <v>3381</v>
      </c>
      <c r="AO4" s="10" t="s">
        <v>3382</v>
      </c>
      <c r="AP4" s="10" t="s">
        <v>3383</v>
      </c>
      <c r="AQ4" s="10" t="s">
        <v>3380</v>
      </c>
      <c r="AR4" s="10" t="s">
        <v>3384</v>
      </c>
      <c r="AS4" s="10" t="s">
        <v>3361</v>
      </c>
      <c r="AT4" s="10" t="s">
        <v>3385</v>
      </c>
      <c r="AU4" s="10" t="s">
        <v>3385</v>
      </c>
      <c r="AV4" s="10" t="s">
        <v>3386</v>
      </c>
      <c r="AW4" s="10" t="s">
        <v>3387</v>
      </c>
      <c r="AX4" s="68" t="s">
        <v>3388</v>
      </c>
      <c r="AY4" s="10" t="s">
        <v>3361</v>
      </c>
      <c r="AZ4" s="10" t="s">
        <v>3389</v>
      </c>
      <c r="BA4" s="10" t="s">
        <v>3389</v>
      </c>
      <c r="BB4" s="10" t="s">
        <v>3390</v>
      </c>
      <c r="BC4" s="10" t="s">
        <v>3391</v>
      </c>
      <c r="BD4" s="10" t="s">
        <v>3392</v>
      </c>
      <c r="BE4" s="10" t="s">
        <v>3390</v>
      </c>
      <c r="BF4" s="10" t="s">
        <v>3361</v>
      </c>
      <c r="BG4" s="10" t="s">
        <v>3384</v>
      </c>
      <c r="BH4" s="10" t="s">
        <v>3393</v>
      </c>
      <c r="BI4" s="10" t="s">
        <v>3394</v>
      </c>
      <c r="BJ4" s="10" t="s">
        <v>3380</v>
      </c>
      <c r="BK4" s="10" t="s">
        <v>3381</v>
      </c>
      <c r="BL4" s="10" t="s">
        <v>3382</v>
      </c>
      <c r="BM4" s="10" t="s">
        <v>3388</v>
      </c>
      <c r="BN4" s="68" t="s">
        <v>3395</v>
      </c>
    </row>
    <row r="5" ht="15.75" customHeight="1">
      <c r="A5" s="106" t="s">
        <v>191</v>
      </c>
      <c r="B5" s="74"/>
      <c r="C5" s="74">
        <v>11.0</v>
      </c>
      <c r="D5" s="74">
        <v>11.0</v>
      </c>
      <c r="E5" s="74">
        <v>11.0</v>
      </c>
      <c r="F5" s="74">
        <v>11.0</v>
      </c>
      <c r="G5" s="74">
        <v>11.0</v>
      </c>
      <c r="H5" s="74">
        <v>11.0</v>
      </c>
      <c r="I5" s="146">
        <v>6.0</v>
      </c>
      <c r="J5" s="74">
        <v>6.0</v>
      </c>
      <c r="K5" s="74">
        <v>11.0</v>
      </c>
      <c r="L5" s="74">
        <v>11.0</v>
      </c>
      <c r="M5" s="74">
        <v>10.0</v>
      </c>
      <c r="N5" s="74">
        <v>6.0</v>
      </c>
      <c r="O5" s="74">
        <v>7.0</v>
      </c>
      <c r="P5" s="74">
        <v>10.0</v>
      </c>
      <c r="Q5" s="74">
        <v>9.0</v>
      </c>
      <c r="R5" s="73">
        <v>8.0</v>
      </c>
      <c r="S5" s="74">
        <v>6.0</v>
      </c>
      <c r="T5" s="74">
        <v>7.0</v>
      </c>
      <c r="U5" s="74">
        <v>10.0</v>
      </c>
      <c r="V5" s="146"/>
      <c r="W5" s="74">
        <v>10.0</v>
      </c>
      <c r="X5" s="74">
        <v>9.0</v>
      </c>
      <c r="Y5" s="74">
        <v>11.0</v>
      </c>
      <c r="Z5" s="74">
        <v>10.0</v>
      </c>
      <c r="AA5" s="74">
        <v>11.0</v>
      </c>
      <c r="AB5" s="74">
        <v>11.0</v>
      </c>
      <c r="AC5" s="74">
        <v>11.0</v>
      </c>
      <c r="AD5" s="74">
        <v>11.0</v>
      </c>
      <c r="AE5" s="74">
        <v>11.0</v>
      </c>
      <c r="AF5" s="74">
        <v>11.0</v>
      </c>
      <c r="AG5" s="74">
        <v>11.0</v>
      </c>
      <c r="AH5" s="73">
        <v>11.0</v>
      </c>
      <c r="AI5" s="74">
        <v>3.0</v>
      </c>
      <c r="AJ5" s="74">
        <v>4.0</v>
      </c>
      <c r="AK5" s="74">
        <v>4.0</v>
      </c>
      <c r="AL5" s="74">
        <v>4.0</v>
      </c>
      <c r="AM5" s="74">
        <v>6.0</v>
      </c>
      <c r="AN5" s="74">
        <v>5.0</v>
      </c>
      <c r="AO5" s="74">
        <v>5.0</v>
      </c>
      <c r="AP5" s="74">
        <v>6.0</v>
      </c>
      <c r="AQ5" s="74">
        <v>6.0</v>
      </c>
      <c r="AR5" s="74">
        <v>7.0</v>
      </c>
      <c r="AS5" s="74">
        <v>7.0</v>
      </c>
      <c r="AT5" s="74">
        <v>7.0</v>
      </c>
      <c r="AU5" s="74">
        <v>8.0</v>
      </c>
      <c r="AV5" s="74">
        <v>7.0</v>
      </c>
      <c r="AW5" s="74">
        <v>7.0</v>
      </c>
      <c r="AX5" s="73">
        <v>5.0</v>
      </c>
      <c r="AY5" s="74">
        <v>7.0</v>
      </c>
      <c r="AZ5" s="74">
        <v>7.0</v>
      </c>
      <c r="BA5" s="74">
        <v>7.0</v>
      </c>
      <c r="BB5" s="74">
        <v>7.0</v>
      </c>
      <c r="BC5" s="74">
        <v>7.0</v>
      </c>
      <c r="BD5" s="74">
        <v>7.0</v>
      </c>
      <c r="BE5" s="74">
        <v>7.0</v>
      </c>
      <c r="BF5" s="74">
        <v>7.0</v>
      </c>
      <c r="BG5" s="74">
        <v>7.0</v>
      </c>
      <c r="BH5" s="74">
        <v>6.0</v>
      </c>
      <c r="BI5" s="74">
        <v>5.0</v>
      </c>
      <c r="BJ5" s="74">
        <v>6.0</v>
      </c>
      <c r="BK5" s="74">
        <v>5.0</v>
      </c>
      <c r="BL5" s="74">
        <v>5.0</v>
      </c>
      <c r="BM5" s="74">
        <v>5.0</v>
      </c>
      <c r="BN5" s="73">
        <v>5.0</v>
      </c>
    </row>
    <row r="6" ht="49.5" customHeight="1">
      <c r="A6" s="105">
        <v>45219.0</v>
      </c>
      <c r="B6" s="10" t="s">
        <v>3396</v>
      </c>
      <c r="C6" s="10" t="s">
        <v>3397</v>
      </c>
      <c r="D6" s="10" t="s">
        <v>3398</v>
      </c>
      <c r="E6" s="10" t="s">
        <v>3399</v>
      </c>
      <c r="F6" s="10" t="s">
        <v>3400</v>
      </c>
      <c r="G6" s="10" t="s">
        <v>3401</v>
      </c>
      <c r="H6" s="10" t="s">
        <v>3402</v>
      </c>
      <c r="I6" s="108"/>
      <c r="J6" s="10" t="s">
        <v>3403</v>
      </c>
      <c r="K6" s="10" t="s">
        <v>3404</v>
      </c>
      <c r="L6" s="10" t="s">
        <v>3405</v>
      </c>
      <c r="M6" s="10" t="s">
        <v>3406</v>
      </c>
      <c r="N6" s="10" t="s">
        <v>3407</v>
      </c>
      <c r="O6" s="10" t="s">
        <v>3408</v>
      </c>
      <c r="P6" s="10" t="s">
        <v>3409</v>
      </c>
      <c r="Q6" s="10" t="s">
        <v>3410</v>
      </c>
      <c r="R6" s="10" t="s">
        <v>3411</v>
      </c>
      <c r="S6" s="10" t="s">
        <v>3412</v>
      </c>
      <c r="T6" s="10" t="s">
        <v>3413</v>
      </c>
      <c r="U6" s="10" t="s">
        <v>3414</v>
      </c>
      <c r="V6" s="108"/>
      <c r="W6" s="10" t="s">
        <v>3415</v>
      </c>
      <c r="X6" s="10" t="s">
        <v>3415</v>
      </c>
      <c r="Y6" s="10" t="s">
        <v>3416</v>
      </c>
      <c r="Z6" s="10" t="s">
        <v>3417</v>
      </c>
      <c r="AA6" s="10" t="s">
        <v>3418</v>
      </c>
      <c r="AB6" s="10" t="s">
        <v>3419</v>
      </c>
      <c r="AC6" s="10" t="s">
        <v>3420</v>
      </c>
      <c r="AD6" s="10" t="s">
        <v>3421</v>
      </c>
      <c r="AE6" s="10" t="s">
        <v>3421</v>
      </c>
      <c r="AF6" s="10" t="s">
        <v>3422</v>
      </c>
      <c r="AG6" s="10" t="s">
        <v>3423</v>
      </c>
      <c r="AH6" s="10" t="s">
        <v>3424</v>
      </c>
      <c r="AI6" s="10" t="s">
        <v>3425</v>
      </c>
      <c r="AJ6" s="10" t="s">
        <v>3426</v>
      </c>
      <c r="AK6" s="10" t="s">
        <v>3427</v>
      </c>
      <c r="AL6" s="10" t="s">
        <v>3428</v>
      </c>
      <c r="AM6" s="10" t="s">
        <v>3429</v>
      </c>
      <c r="AN6" s="147" t="s">
        <v>3430</v>
      </c>
      <c r="AO6" s="147" t="s">
        <v>3431</v>
      </c>
      <c r="AP6" s="147" t="s">
        <v>3432</v>
      </c>
      <c r="AQ6" s="147" t="s">
        <v>3433</v>
      </c>
      <c r="AR6" s="10" t="s">
        <v>3434</v>
      </c>
      <c r="AS6" s="10" t="s">
        <v>3435</v>
      </c>
      <c r="AT6" s="10" t="s">
        <v>3433</v>
      </c>
      <c r="AU6" s="10" t="s">
        <v>3436</v>
      </c>
      <c r="AV6" s="10" t="s">
        <v>3437</v>
      </c>
      <c r="AW6" s="10" t="s">
        <v>3438</v>
      </c>
      <c r="AX6" s="10" t="s">
        <v>3439</v>
      </c>
      <c r="AY6" s="10" t="s">
        <v>3440</v>
      </c>
      <c r="AZ6" s="10" t="s">
        <v>3441</v>
      </c>
      <c r="BA6" s="10" t="s">
        <v>653</v>
      </c>
      <c r="BB6" s="10" t="s">
        <v>653</v>
      </c>
      <c r="BC6" s="10" t="s">
        <v>3442</v>
      </c>
      <c r="BD6" s="10" t="s">
        <v>3439</v>
      </c>
      <c r="BE6" s="10" t="s">
        <v>3443</v>
      </c>
      <c r="BF6" s="10" t="s">
        <v>3433</v>
      </c>
      <c r="BG6" s="10" t="s">
        <v>3444</v>
      </c>
      <c r="BH6" s="147" t="s">
        <v>3433</v>
      </c>
      <c r="BI6" s="147" t="s">
        <v>3433</v>
      </c>
      <c r="BJ6" s="147" t="s">
        <v>3445</v>
      </c>
      <c r="BK6" s="10" t="s">
        <v>3433</v>
      </c>
      <c r="BL6" s="10" t="s">
        <v>3446</v>
      </c>
      <c r="BM6" s="10" t="s">
        <v>3447</v>
      </c>
      <c r="BN6" s="10" t="s">
        <v>3448</v>
      </c>
    </row>
    <row r="7" ht="15.75" customHeight="1">
      <c r="A7" s="18" t="s">
        <v>256</v>
      </c>
      <c r="B7" s="10"/>
      <c r="C7" s="10">
        <v>10.0</v>
      </c>
      <c r="D7" s="10">
        <v>10.0</v>
      </c>
      <c r="E7" s="10">
        <v>10.0</v>
      </c>
      <c r="F7" s="10">
        <v>10.0</v>
      </c>
      <c r="G7" s="10">
        <v>10.0</v>
      </c>
      <c r="H7" s="10">
        <v>10.0</v>
      </c>
      <c r="I7" s="108"/>
      <c r="J7" s="10">
        <v>5.0</v>
      </c>
      <c r="K7" s="10">
        <v>10.0</v>
      </c>
      <c r="L7" s="10">
        <v>10.0</v>
      </c>
      <c r="M7" s="10">
        <v>8.0</v>
      </c>
      <c r="N7" s="10">
        <v>5.0</v>
      </c>
      <c r="O7" s="10">
        <v>6.0</v>
      </c>
      <c r="P7" s="10">
        <v>9.0</v>
      </c>
      <c r="Q7" s="10">
        <v>7.0</v>
      </c>
      <c r="R7" s="10">
        <v>7.0</v>
      </c>
      <c r="S7" s="10">
        <v>5.0</v>
      </c>
      <c r="T7" s="10">
        <v>6.0</v>
      </c>
      <c r="U7" s="10">
        <v>9.0</v>
      </c>
      <c r="V7" s="108"/>
      <c r="W7" s="10">
        <v>9.0</v>
      </c>
      <c r="X7" s="10">
        <v>8.0</v>
      </c>
      <c r="Y7" s="10">
        <v>10.0</v>
      </c>
      <c r="Z7" s="10">
        <v>9.0</v>
      </c>
      <c r="AA7" s="10">
        <v>10.0</v>
      </c>
      <c r="AB7" s="10">
        <v>10.0</v>
      </c>
      <c r="AC7" s="10">
        <v>10.0</v>
      </c>
      <c r="AD7" s="10">
        <v>10.0</v>
      </c>
      <c r="AE7" s="10">
        <v>10.0</v>
      </c>
      <c r="AF7" s="10">
        <v>10.0</v>
      </c>
      <c r="AG7" s="10">
        <v>10.0</v>
      </c>
      <c r="AH7" s="10">
        <v>11.5</v>
      </c>
      <c r="AI7" s="10">
        <v>2.0</v>
      </c>
      <c r="AJ7" s="10">
        <v>3.0</v>
      </c>
      <c r="AK7" s="10">
        <v>3.0</v>
      </c>
      <c r="AL7" s="10">
        <v>3.0</v>
      </c>
      <c r="AM7" s="10">
        <v>5.0</v>
      </c>
      <c r="AN7" s="10" t="s">
        <v>3449</v>
      </c>
      <c r="AO7" s="10" t="s">
        <v>3450</v>
      </c>
      <c r="AP7" s="10" t="s">
        <v>3450</v>
      </c>
      <c r="AQ7" s="10" t="s">
        <v>3450</v>
      </c>
      <c r="AR7" s="10">
        <v>6.0</v>
      </c>
      <c r="AS7" s="10">
        <v>6.0</v>
      </c>
      <c r="AT7" s="10">
        <v>6.0</v>
      </c>
      <c r="AU7" s="10">
        <v>6.0</v>
      </c>
      <c r="AV7" s="10">
        <v>6.0</v>
      </c>
      <c r="AW7" s="10">
        <v>6.0</v>
      </c>
      <c r="AX7" s="10">
        <v>6.0</v>
      </c>
      <c r="AY7" s="10">
        <v>6.0</v>
      </c>
      <c r="AZ7" s="10">
        <v>6.0</v>
      </c>
      <c r="BA7" s="10">
        <v>6.0</v>
      </c>
      <c r="BB7" s="10">
        <v>6.0</v>
      </c>
      <c r="BC7" s="10">
        <v>6.0</v>
      </c>
      <c r="BD7" s="10">
        <v>6.0</v>
      </c>
      <c r="BE7" s="10">
        <v>6.0</v>
      </c>
      <c r="BF7" s="10">
        <v>6.0</v>
      </c>
      <c r="BG7" s="10">
        <v>6.0</v>
      </c>
      <c r="BH7" s="147" t="s">
        <v>3451</v>
      </c>
      <c r="BI7" s="147" t="s">
        <v>3452</v>
      </c>
      <c r="BJ7" s="147" t="s">
        <v>3451</v>
      </c>
      <c r="BK7" s="10">
        <v>6.0</v>
      </c>
      <c r="BL7" s="10">
        <v>6.0</v>
      </c>
      <c r="BM7" s="10">
        <v>6.0</v>
      </c>
      <c r="BN7" s="10">
        <v>6.0</v>
      </c>
    </row>
    <row r="8" ht="49.5" customHeight="1">
      <c r="A8" s="105">
        <v>45220.0</v>
      </c>
      <c r="B8" s="10" t="s">
        <v>3453</v>
      </c>
      <c r="C8" s="10" t="s">
        <v>3454</v>
      </c>
      <c r="D8" s="10" t="s">
        <v>3455</v>
      </c>
      <c r="E8" s="10" t="s">
        <v>3456</v>
      </c>
      <c r="F8" s="10" t="s">
        <v>3457</v>
      </c>
      <c r="G8" s="10" t="s">
        <v>3458</v>
      </c>
      <c r="H8" s="10" t="s">
        <v>3459</v>
      </c>
      <c r="I8" s="108"/>
      <c r="J8" s="10" t="s">
        <v>3460</v>
      </c>
      <c r="K8" s="10" t="s">
        <v>3461</v>
      </c>
      <c r="L8" s="10" t="s">
        <v>3462</v>
      </c>
      <c r="M8" s="10" t="s">
        <v>3463</v>
      </c>
      <c r="N8" s="10" t="s">
        <v>3464</v>
      </c>
      <c r="O8" s="10" t="s">
        <v>3465</v>
      </c>
      <c r="P8" s="10" t="s">
        <v>3466</v>
      </c>
      <c r="Q8" s="10" t="s">
        <v>3467</v>
      </c>
      <c r="R8" s="10" t="s">
        <v>3468</v>
      </c>
      <c r="S8" s="10" t="s">
        <v>3469</v>
      </c>
      <c r="T8" s="10" t="s">
        <v>3470</v>
      </c>
      <c r="U8" s="10" t="s">
        <v>3471</v>
      </c>
      <c r="V8" s="108"/>
      <c r="W8" s="10" t="s">
        <v>3472</v>
      </c>
      <c r="X8" s="10" t="s">
        <v>3473</v>
      </c>
      <c r="Y8" s="10" t="s">
        <v>3474</v>
      </c>
      <c r="Z8" s="10" t="s">
        <v>3475</v>
      </c>
      <c r="AA8" s="10" t="s">
        <v>3476</v>
      </c>
      <c r="AB8" s="10" t="s">
        <v>3477</v>
      </c>
      <c r="AC8" s="10" t="s">
        <v>3460</v>
      </c>
      <c r="AD8" s="10" t="s">
        <v>3478</v>
      </c>
      <c r="AE8" s="10" t="s">
        <v>3479</v>
      </c>
      <c r="AF8" s="10" t="s">
        <v>3480</v>
      </c>
      <c r="AG8" s="10" t="s">
        <v>3481</v>
      </c>
      <c r="AH8" s="10" t="s">
        <v>3482</v>
      </c>
      <c r="AI8" s="10" t="s">
        <v>3483</v>
      </c>
      <c r="AJ8" s="10" t="s">
        <v>3484</v>
      </c>
      <c r="AK8" s="10" t="s">
        <v>3485</v>
      </c>
      <c r="AL8" s="10" t="s">
        <v>3486</v>
      </c>
      <c r="AM8" s="10" t="s">
        <v>3487</v>
      </c>
      <c r="AN8" s="10" t="s">
        <v>3488</v>
      </c>
      <c r="AO8" s="10" t="s">
        <v>3489</v>
      </c>
      <c r="AP8" s="10" t="s">
        <v>3490</v>
      </c>
      <c r="AQ8" s="10" t="s">
        <v>3491</v>
      </c>
      <c r="AR8" s="10" t="s">
        <v>3492</v>
      </c>
      <c r="AS8" s="10" t="s">
        <v>3492</v>
      </c>
      <c r="AT8" s="10" t="s">
        <v>3492</v>
      </c>
      <c r="AU8" s="10" t="s">
        <v>3493</v>
      </c>
      <c r="AV8" s="10" t="s">
        <v>3494</v>
      </c>
      <c r="AW8" s="10" t="s">
        <v>3495</v>
      </c>
      <c r="AX8" s="10" t="s">
        <v>3496</v>
      </c>
      <c r="AY8" s="10" t="s">
        <v>3497</v>
      </c>
      <c r="AZ8" s="10" t="s">
        <v>3498</v>
      </c>
      <c r="BA8" s="10" t="s">
        <v>3494</v>
      </c>
      <c r="BB8" s="10" t="s">
        <v>3498</v>
      </c>
      <c r="BC8" s="10" t="s">
        <v>3499</v>
      </c>
      <c r="BD8" s="10" t="s">
        <v>3500</v>
      </c>
      <c r="BE8" s="10" t="s">
        <v>3501</v>
      </c>
      <c r="BF8" s="10" t="s">
        <v>3502</v>
      </c>
      <c r="BG8" s="10" t="s">
        <v>3503</v>
      </c>
      <c r="BH8" s="10" t="s">
        <v>3504</v>
      </c>
      <c r="BI8" s="10" t="s">
        <v>3504</v>
      </c>
      <c r="BJ8" s="10" t="s">
        <v>3505</v>
      </c>
      <c r="BK8" s="10" t="s">
        <v>3506</v>
      </c>
      <c r="BL8" s="10" t="s">
        <v>3507</v>
      </c>
      <c r="BM8" s="10" t="s">
        <v>3508</v>
      </c>
      <c r="BN8" s="10" t="s">
        <v>3509</v>
      </c>
    </row>
    <row r="9" ht="15.75" customHeight="1">
      <c r="A9" s="106" t="s">
        <v>303</v>
      </c>
      <c r="B9" s="14"/>
      <c r="C9" s="14">
        <v>9.0</v>
      </c>
      <c r="D9" s="14">
        <v>9.0</v>
      </c>
      <c r="E9" s="14">
        <v>9.0</v>
      </c>
      <c r="F9" s="14">
        <v>9.0</v>
      </c>
      <c r="G9" s="14">
        <v>9.0</v>
      </c>
      <c r="H9" s="14">
        <v>9.0</v>
      </c>
      <c r="I9" s="148"/>
      <c r="J9" s="14">
        <v>4.0</v>
      </c>
      <c r="K9" s="14">
        <v>9.0</v>
      </c>
      <c r="L9" s="14">
        <v>9.0</v>
      </c>
      <c r="M9" s="14">
        <v>7.0</v>
      </c>
      <c r="N9" s="14">
        <v>4.0</v>
      </c>
      <c r="O9" s="14">
        <v>5.0</v>
      </c>
      <c r="P9" s="14">
        <v>8.0</v>
      </c>
      <c r="Q9" s="14">
        <v>6.0</v>
      </c>
      <c r="R9" s="14">
        <v>6.0</v>
      </c>
      <c r="S9" s="14">
        <v>4.0</v>
      </c>
      <c r="T9" s="14">
        <v>5.0</v>
      </c>
      <c r="U9" s="14">
        <v>8.0</v>
      </c>
      <c r="V9" s="148"/>
      <c r="W9" s="14">
        <v>8.0</v>
      </c>
      <c r="X9" s="14">
        <v>7.0</v>
      </c>
      <c r="Y9" s="14">
        <v>9.0</v>
      </c>
      <c r="Z9" s="14">
        <v>8.0</v>
      </c>
      <c r="AA9" s="14">
        <v>9.0</v>
      </c>
      <c r="AB9" s="14">
        <v>9.0</v>
      </c>
      <c r="AC9" s="14">
        <v>9.0</v>
      </c>
      <c r="AD9" s="14">
        <v>9.0</v>
      </c>
      <c r="AE9" s="14">
        <v>9.0</v>
      </c>
      <c r="AF9" s="14">
        <v>9.0</v>
      </c>
      <c r="AG9" s="14">
        <v>9.0</v>
      </c>
      <c r="AH9" s="14">
        <v>10.5</v>
      </c>
      <c r="AI9" s="14">
        <v>3.0</v>
      </c>
      <c r="AJ9" s="14">
        <v>4.0</v>
      </c>
      <c r="AK9" s="14">
        <v>4.0</v>
      </c>
      <c r="AL9" s="14">
        <v>4.0</v>
      </c>
      <c r="AM9" s="14">
        <v>4.0</v>
      </c>
      <c r="AN9" s="14" t="s">
        <v>3510</v>
      </c>
      <c r="AO9" s="14" t="s">
        <v>3510</v>
      </c>
      <c r="AP9" s="14" t="s">
        <v>3510</v>
      </c>
      <c r="AQ9" s="14" t="s">
        <v>3510</v>
      </c>
      <c r="AR9" s="14">
        <v>5.0</v>
      </c>
      <c r="AS9" s="14">
        <v>5.0</v>
      </c>
      <c r="AT9" s="14">
        <v>5.0</v>
      </c>
      <c r="AU9" s="14">
        <v>5.0</v>
      </c>
      <c r="AV9" s="14">
        <v>5.0</v>
      </c>
      <c r="AW9" s="14">
        <v>5.0</v>
      </c>
      <c r="AX9" s="14">
        <v>5.0</v>
      </c>
      <c r="AY9" s="14">
        <v>5.0</v>
      </c>
      <c r="AZ9" s="14">
        <v>5.0</v>
      </c>
      <c r="BA9" s="14">
        <v>5.0</v>
      </c>
      <c r="BB9" s="14">
        <v>5.0</v>
      </c>
      <c r="BC9" s="14">
        <v>7.0</v>
      </c>
      <c r="BD9" s="14">
        <v>7.0</v>
      </c>
      <c r="BE9" s="14">
        <v>5.0</v>
      </c>
      <c r="BF9" s="14">
        <v>7.0</v>
      </c>
      <c r="BG9" s="14">
        <v>7.0</v>
      </c>
      <c r="BH9" s="14" t="s">
        <v>3511</v>
      </c>
      <c r="BI9" s="14" t="s">
        <v>3512</v>
      </c>
      <c r="BJ9" s="14" t="s">
        <v>3513</v>
      </c>
      <c r="BK9" s="14">
        <v>7.0</v>
      </c>
      <c r="BL9" s="14">
        <v>7.0</v>
      </c>
      <c r="BM9" s="14">
        <v>7.0</v>
      </c>
      <c r="BN9" s="14">
        <v>7.0</v>
      </c>
    </row>
    <row r="10" ht="15.75" customHeight="1">
      <c r="A10" s="27">
        <v>45222.0</v>
      </c>
      <c r="B10" s="10" t="s">
        <v>3514</v>
      </c>
      <c r="C10" s="10" t="s">
        <v>3515</v>
      </c>
      <c r="D10" s="10" t="s">
        <v>3516</v>
      </c>
      <c r="E10" s="10" t="s">
        <v>3517</v>
      </c>
      <c r="F10" s="10" t="s">
        <v>3518</v>
      </c>
      <c r="G10" s="10" t="s">
        <v>3519</v>
      </c>
      <c r="H10" s="10" t="s">
        <v>3520</v>
      </c>
      <c r="I10" s="108"/>
      <c r="J10" s="10" t="s">
        <v>3520</v>
      </c>
      <c r="K10" s="10" t="s">
        <v>3521</v>
      </c>
      <c r="L10" s="10" t="s">
        <v>3522</v>
      </c>
      <c r="M10" s="10" t="s">
        <v>3520</v>
      </c>
      <c r="N10" s="10" t="s">
        <v>3523</v>
      </c>
      <c r="O10" s="10" t="s">
        <v>3524</v>
      </c>
      <c r="P10" s="10" t="s">
        <v>3525</v>
      </c>
      <c r="Q10" s="10" t="s">
        <v>3526</v>
      </c>
      <c r="R10" s="10" t="s">
        <v>3527</v>
      </c>
      <c r="S10" s="10" t="s">
        <v>3528</v>
      </c>
      <c r="T10" s="10" t="s">
        <v>3529</v>
      </c>
      <c r="U10" s="10" t="s">
        <v>3530</v>
      </c>
      <c r="V10" s="108"/>
      <c r="W10" s="10" t="s">
        <v>3531</v>
      </c>
      <c r="X10" s="10" t="s">
        <v>3529</v>
      </c>
      <c r="Y10" s="10" t="s">
        <v>3532</v>
      </c>
      <c r="Z10" s="10" t="s">
        <v>3533</v>
      </c>
      <c r="AA10" s="10" t="s">
        <v>3534</v>
      </c>
      <c r="AB10" s="10" t="s">
        <v>3535</v>
      </c>
      <c r="AC10" s="10" t="s">
        <v>3529</v>
      </c>
      <c r="AD10" s="10" t="s">
        <v>3536</v>
      </c>
      <c r="AE10" s="10" t="s">
        <v>3537</v>
      </c>
      <c r="AF10" s="10" t="s">
        <v>3538</v>
      </c>
      <c r="AG10" s="10" t="s">
        <v>3539</v>
      </c>
      <c r="AH10" s="10" t="s">
        <v>3540</v>
      </c>
      <c r="AI10" s="10" t="s">
        <v>3541</v>
      </c>
      <c r="AJ10" s="10" t="s">
        <v>3542</v>
      </c>
      <c r="AK10" s="10" t="s">
        <v>3543</v>
      </c>
      <c r="AL10" s="10" t="s">
        <v>3544</v>
      </c>
      <c r="AM10" s="10" t="s">
        <v>3545</v>
      </c>
      <c r="AN10" s="10" t="s">
        <v>3546</v>
      </c>
      <c r="AO10" s="10" t="s">
        <v>3547</v>
      </c>
      <c r="AP10" s="10" t="s">
        <v>3548</v>
      </c>
      <c r="AQ10" s="10" t="s">
        <v>3547</v>
      </c>
      <c r="AR10" s="10" t="s">
        <v>3549</v>
      </c>
      <c r="AS10" s="10" t="s">
        <v>3550</v>
      </c>
      <c r="AT10" s="10" t="s">
        <v>3551</v>
      </c>
      <c r="AU10" s="10" t="s">
        <v>3552</v>
      </c>
      <c r="AV10" s="10" t="s">
        <v>3553</v>
      </c>
      <c r="AW10" s="10" t="s">
        <v>3554</v>
      </c>
      <c r="AX10" s="10" t="s">
        <v>3555</v>
      </c>
      <c r="AY10" s="10" t="s">
        <v>3556</v>
      </c>
      <c r="AZ10" s="10" t="s">
        <v>3497</v>
      </c>
      <c r="BA10" s="10" t="s">
        <v>3557</v>
      </c>
      <c r="BB10" s="10" t="s">
        <v>3558</v>
      </c>
      <c r="BC10" s="10" t="s">
        <v>3559</v>
      </c>
      <c r="BD10" s="10" t="s">
        <v>3560</v>
      </c>
      <c r="BE10" s="10" t="s">
        <v>3561</v>
      </c>
      <c r="BF10" s="10" t="s">
        <v>3562</v>
      </c>
      <c r="BG10" s="10" t="s">
        <v>3563</v>
      </c>
      <c r="BH10" s="10" t="s">
        <v>3560</v>
      </c>
      <c r="BI10" s="10" t="s">
        <v>3564</v>
      </c>
      <c r="BJ10" s="10" t="s">
        <v>3556</v>
      </c>
      <c r="BK10" s="10" t="s">
        <v>3565</v>
      </c>
      <c r="BL10" s="10" t="s">
        <v>3566</v>
      </c>
      <c r="BM10" s="10" t="s">
        <v>3567</v>
      </c>
      <c r="BN10" s="10" t="s">
        <v>3568</v>
      </c>
    </row>
    <row r="11" ht="15.75" customHeight="1">
      <c r="A11" s="14" t="s">
        <v>408</v>
      </c>
      <c r="B11" s="14"/>
      <c r="C11" s="14">
        <v>8.0</v>
      </c>
      <c r="D11" s="14">
        <v>8.0</v>
      </c>
      <c r="E11" s="14">
        <v>8.0</v>
      </c>
      <c r="F11" s="14">
        <v>8.0</v>
      </c>
      <c r="G11" s="14">
        <v>8.0</v>
      </c>
      <c r="H11" s="14">
        <v>8.0</v>
      </c>
      <c r="I11" s="148"/>
      <c r="J11" s="14">
        <v>3.0</v>
      </c>
      <c r="K11" s="14">
        <v>8.0</v>
      </c>
      <c r="L11" s="14">
        <v>8.0</v>
      </c>
      <c r="M11" s="14">
        <v>6.0</v>
      </c>
      <c r="N11" s="14">
        <v>5.0</v>
      </c>
      <c r="O11" s="14">
        <v>4.0</v>
      </c>
      <c r="P11" s="14">
        <v>7.0</v>
      </c>
      <c r="Q11" s="14">
        <v>5.0</v>
      </c>
      <c r="R11" s="14">
        <v>5.0</v>
      </c>
      <c r="S11" s="14">
        <v>5.0</v>
      </c>
      <c r="T11" s="14">
        <v>4.0</v>
      </c>
      <c r="U11" s="14">
        <v>7.0</v>
      </c>
      <c r="V11" s="148"/>
      <c r="W11" s="14">
        <v>7.0</v>
      </c>
      <c r="X11" s="14">
        <v>6.0</v>
      </c>
      <c r="Y11" s="14">
        <v>8.0</v>
      </c>
      <c r="Z11" s="14">
        <v>7.0</v>
      </c>
      <c r="AA11" s="14">
        <v>8.0</v>
      </c>
      <c r="AB11" s="14">
        <v>8.0</v>
      </c>
      <c r="AC11" s="14">
        <v>8.0</v>
      </c>
      <c r="AD11" s="14">
        <v>8.0</v>
      </c>
      <c r="AE11" s="14">
        <v>8.0</v>
      </c>
      <c r="AF11" s="14">
        <v>8.0</v>
      </c>
      <c r="AG11" s="14">
        <v>8.0</v>
      </c>
      <c r="AH11" s="14">
        <v>9.5</v>
      </c>
      <c r="AI11" s="14">
        <v>3.5</v>
      </c>
      <c r="AJ11" s="14">
        <v>4.5</v>
      </c>
      <c r="AK11" s="14">
        <v>4.5</v>
      </c>
      <c r="AL11" s="14">
        <v>4.5</v>
      </c>
      <c r="AM11" s="14">
        <v>3.0</v>
      </c>
      <c r="AN11" s="14">
        <v>7.5</v>
      </c>
      <c r="AO11" s="14">
        <v>7.5</v>
      </c>
      <c r="AP11" s="14">
        <v>7.5</v>
      </c>
      <c r="AQ11" s="14">
        <v>7.5</v>
      </c>
      <c r="AR11" s="14">
        <v>4.0</v>
      </c>
      <c r="AS11" s="14">
        <v>4.0</v>
      </c>
      <c r="AT11" s="14">
        <v>4.0</v>
      </c>
      <c r="AU11" s="14">
        <v>4.0</v>
      </c>
      <c r="AV11" s="14">
        <v>4.0</v>
      </c>
      <c r="AW11" s="14">
        <v>4.0</v>
      </c>
      <c r="AX11" s="14">
        <v>4.0</v>
      </c>
      <c r="AY11" s="14">
        <v>4.0</v>
      </c>
      <c r="AZ11" s="14">
        <v>4.0</v>
      </c>
      <c r="BA11" s="14">
        <v>4.0</v>
      </c>
      <c r="BB11" s="14">
        <v>4.0</v>
      </c>
      <c r="BC11" s="14">
        <v>7.5</v>
      </c>
      <c r="BD11" s="14">
        <v>7.5</v>
      </c>
      <c r="BE11" s="14">
        <v>4.0</v>
      </c>
      <c r="BF11" s="14">
        <v>7.5</v>
      </c>
      <c r="BG11" s="14">
        <v>7.5</v>
      </c>
      <c r="BH11" s="14">
        <v>6.5</v>
      </c>
      <c r="BI11" s="14">
        <v>5.5</v>
      </c>
      <c r="BJ11" s="14">
        <v>3.0</v>
      </c>
      <c r="BK11" s="14">
        <v>7.5</v>
      </c>
      <c r="BL11" s="14">
        <v>7.5</v>
      </c>
      <c r="BM11" s="14">
        <v>7.5</v>
      </c>
      <c r="BN11" s="14">
        <v>7.5</v>
      </c>
    </row>
    <row r="12" ht="15.75" customHeight="1">
      <c r="A12" s="27">
        <v>45223.0</v>
      </c>
      <c r="B12" s="10" t="s">
        <v>3569</v>
      </c>
      <c r="C12" s="10" t="s">
        <v>3570</v>
      </c>
      <c r="D12" s="10" t="s">
        <v>3571</v>
      </c>
      <c r="E12" s="10" t="s">
        <v>3572</v>
      </c>
      <c r="F12" s="10" t="s">
        <v>3573</v>
      </c>
      <c r="G12" s="10" t="s">
        <v>3574</v>
      </c>
      <c r="H12" s="10" t="s">
        <v>3575</v>
      </c>
      <c r="I12" s="108"/>
      <c r="J12" s="10" t="s">
        <v>3576</v>
      </c>
      <c r="K12" s="10" t="s">
        <v>3577</v>
      </c>
      <c r="L12" s="10" t="s">
        <v>3578</v>
      </c>
      <c r="M12" s="10" t="s">
        <v>3579</v>
      </c>
      <c r="N12" s="10" t="s">
        <v>3580</v>
      </c>
      <c r="O12" s="10" t="s">
        <v>3581</v>
      </c>
      <c r="P12" s="10" t="s">
        <v>3579</v>
      </c>
      <c r="Q12" s="10" t="s">
        <v>3582</v>
      </c>
      <c r="R12" s="10" t="s">
        <v>3583</v>
      </c>
      <c r="S12" s="10" t="s">
        <v>3584</v>
      </c>
      <c r="T12" s="10" t="s">
        <v>3585</v>
      </c>
      <c r="U12" s="10" t="s">
        <v>3586</v>
      </c>
      <c r="V12" s="108"/>
      <c r="W12" s="10" t="s">
        <v>3587</v>
      </c>
      <c r="X12" s="10" t="s">
        <v>3571</v>
      </c>
      <c r="Y12" s="10" t="s">
        <v>3588</v>
      </c>
      <c r="Z12" s="10" t="s">
        <v>3589</v>
      </c>
      <c r="AA12" s="10" t="s">
        <v>3590</v>
      </c>
      <c r="AB12" s="10" t="s">
        <v>3591</v>
      </c>
      <c r="AC12" s="10" t="s">
        <v>3585</v>
      </c>
      <c r="AD12" s="10" t="s">
        <v>3592</v>
      </c>
      <c r="AE12" s="10" t="s">
        <v>3593</v>
      </c>
      <c r="AF12" s="10" t="s">
        <v>3594</v>
      </c>
      <c r="AG12" s="10" t="s">
        <v>3595</v>
      </c>
      <c r="AH12" s="10" t="s">
        <v>3596</v>
      </c>
      <c r="AI12" s="10" t="s">
        <v>3597</v>
      </c>
      <c r="AJ12" s="10" t="s">
        <v>3598</v>
      </c>
      <c r="AK12" s="10" t="s">
        <v>3599</v>
      </c>
      <c r="AL12" s="10" t="s">
        <v>3568</v>
      </c>
      <c r="AM12" s="10" t="s">
        <v>3600</v>
      </c>
      <c r="AN12" s="10" t="s">
        <v>3601</v>
      </c>
      <c r="AO12" s="10" t="s">
        <v>3602</v>
      </c>
      <c r="AP12" s="10" t="s">
        <v>3603</v>
      </c>
      <c r="AQ12" s="10" t="s">
        <v>3604</v>
      </c>
      <c r="AR12" s="10" t="s">
        <v>3605</v>
      </c>
      <c r="AS12" s="10" t="s">
        <v>3606</v>
      </c>
      <c r="AT12" s="10" t="s">
        <v>3605</v>
      </c>
      <c r="AU12" s="10" t="s">
        <v>3607</v>
      </c>
      <c r="AV12" s="10" t="s">
        <v>3605</v>
      </c>
      <c r="AW12" s="10" t="s">
        <v>3608</v>
      </c>
      <c r="AX12" s="10" t="s">
        <v>3609</v>
      </c>
      <c r="AY12" s="10" t="s">
        <v>3610</v>
      </c>
      <c r="AZ12" s="10" t="s">
        <v>3611</v>
      </c>
      <c r="BA12" s="10" t="s">
        <v>3612</v>
      </c>
      <c r="BB12" s="10" t="s">
        <v>3613</v>
      </c>
      <c r="BC12" s="10" t="s">
        <v>3614</v>
      </c>
      <c r="BD12" s="10" t="s">
        <v>3568</v>
      </c>
      <c r="BE12" s="10" t="s">
        <v>3615</v>
      </c>
      <c r="BF12" s="10" t="s">
        <v>3616</v>
      </c>
      <c r="BG12" s="10" t="s">
        <v>3617</v>
      </c>
      <c r="BH12" s="10" t="s">
        <v>3618</v>
      </c>
      <c r="BI12" s="10" t="s">
        <v>3619</v>
      </c>
      <c r="BJ12" s="10" t="s">
        <v>3620</v>
      </c>
      <c r="BK12" s="10" t="s">
        <v>3565</v>
      </c>
      <c r="BL12" s="10" t="s">
        <v>3621</v>
      </c>
      <c r="BM12" s="10" t="s">
        <v>3622</v>
      </c>
      <c r="BN12" s="10" t="s">
        <v>3623</v>
      </c>
    </row>
    <row r="13" ht="15.75" customHeight="1">
      <c r="A13" s="14" t="s">
        <v>457</v>
      </c>
      <c r="B13" s="14"/>
      <c r="C13" s="14">
        <v>7.5</v>
      </c>
      <c r="D13" s="14">
        <v>7.5</v>
      </c>
      <c r="E13" s="14">
        <v>7.5</v>
      </c>
      <c r="F13" s="14">
        <v>7.5</v>
      </c>
      <c r="G13" s="14">
        <v>7.5</v>
      </c>
      <c r="H13" s="14">
        <v>7.5</v>
      </c>
      <c r="I13" s="148"/>
      <c r="J13" s="14">
        <v>3.5</v>
      </c>
      <c r="K13" s="14">
        <v>7.5</v>
      </c>
      <c r="L13" s="14">
        <v>7.5</v>
      </c>
      <c r="M13" s="14">
        <v>5.5</v>
      </c>
      <c r="N13" s="14">
        <v>5.5</v>
      </c>
      <c r="O13" s="14">
        <v>3.5</v>
      </c>
      <c r="P13" s="14">
        <v>6.5</v>
      </c>
      <c r="Q13" s="14">
        <v>4.5</v>
      </c>
      <c r="R13" s="14">
        <v>4.5</v>
      </c>
      <c r="S13" s="14">
        <v>5.5</v>
      </c>
      <c r="T13" s="14">
        <v>3.5</v>
      </c>
      <c r="U13" s="14">
        <v>6.5</v>
      </c>
      <c r="V13" s="148"/>
      <c r="W13" s="14">
        <v>6.5</v>
      </c>
      <c r="X13" s="14">
        <v>5.5</v>
      </c>
      <c r="Y13" s="14">
        <v>7.5</v>
      </c>
      <c r="Z13" s="14">
        <v>6.5</v>
      </c>
      <c r="AA13" s="14">
        <v>7.5</v>
      </c>
      <c r="AB13" s="14">
        <v>7.5</v>
      </c>
      <c r="AC13" s="14">
        <v>7.5</v>
      </c>
      <c r="AD13" s="14">
        <v>7.5</v>
      </c>
      <c r="AE13" s="14">
        <v>7.5</v>
      </c>
      <c r="AF13" s="14">
        <v>7.5</v>
      </c>
      <c r="AG13" s="14">
        <v>7.5</v>
      </c>
      <c r="AH13" s="14">
        <v>9.0</v>
      </c>
      <c r="AI13" s="14">
        <v>4.0</v>
      </c>
      <c r="AJ13" s="14">
        <v>5.0</v>
      </c>
      <c r="AK13" s="14">
        <v>5.0</v>
      </c>
      <c r="AL13" s="14">
        <v>5.0</v>
      </c>
      <c r="AM13" s="14">
        <v>3.5</v>
      </c>
      <c r="AN13" s="14">
        <v>8.0</v>
      </c>
      <c r="AO13" s="14">
        <v>8.0</v>
      </c>
      <c r="AP13" s="14">
        <v>8.0</v>
      </c>
      <c r="AQ13" s="14">
        <v>8.0</v>
      </c>
      <c r="AR13" s="14">
        <v>3.5</v>
      </c>
      <c r="AS13" s="14">
        <v>3.5</v>
      </c>
      <c r="AT13" s="14">
        <v>3.5</v>
      </c>
      <c r="AU13" s="14">
        <v>3.5</v>
      </c>
      <c r="AV13" s="14">
        <v>3.5</v>
      </c>
      <c r="AW13" s="14">
        <v>3.5</v>
      </c>
      <c r="AX13" s="14">
        <v>3.5</v>
      </c>
      <c r="AY13" s="14">
        <v>3.5</v>
      </c>
      <c r="AZ13" s="14">
        <v>3.5</v>
      </c>
      <c r="BA13" s="14">
        <v>3.5</v>
      </c>
      <c r="BB13" s="14">
        <v>3.5</v>
      </c>
      <c r="BC13" s="14">
        <v>8.0</v>
      </c>
      <c r="BD13" s="14">
        <v>8.0</v>
      </c>
      <c r="BE13" s="14">
        <v>3.5</v>
      </c>
      <c r="BF13" s="14">
        <v>8.0</v>
      </c>
      <c r="BG13" s="14">
        <v>8.0</v>
      </c>
      <c r="BH13" s="14">
        <v>7.0</v>
      </c>
      <c r="BI13" s="14">
        <v>6.0</v>
      </c>
      <c r="BJ13" s="14">
        <v>3.5</v>
      </c>
      <c r="BK13" s="14">
        <v>8.0</v>
      </c>
      <c r="BL13" s="14">
        <v>8.0</v>
      </c>
      <c r="BM13" s="14">
        <v>8.0</v>
      </c>
      <c r="BN13" s="14">
        <v>8.0</v>
      </c>
    </row>
    <row r="14" ht="38.25" customHeight="1">
      <c r="A14" s="27">
        <v>45224.0</v>
      </c>
      <c r="B14" s="10"/>
      <c r="C14" s="10" t="s">
        <v>3624</v>
      </c>
      <c r="D14" s="10" t="s">
        <v>3625</v>
      </c>
      <c r="E14" s="10" t="s">
        <v>3626</v>
      </c>
      <c r="F14" s="10" t="s">
        <v>3627</v>
      </c>
      <c r="G14" s="10" t="s">
        <v>3625</v>
      </c>
      <c r="H14" s="10" t="s">
        <v>3628</v>
      </c>
      <c r="I14" s="108"/>
      <c r="J14" s="10" t="s">
        <v>3629</v>
      </c>
      <c r="K14" s="10" t="s">
        <v>3605</v>
      </c>
      <c r="L14" s="10" t="s">
        <v>3630</v>
      </c>
      <c r="M14" s="10" t="s">
        <v>3625</v>
      </c>
      <c r="N14" s="10" t="s">
        <v>3629</v>
      </c>
      <c r="O14" s="10" t="s">
        <v>3631</v>
      </c>
      <c r="P14" s="10" t="s">
        <v>3632</v>
      </c>
      <c r="Q14" s="10" t="s">
        <v>3633</v>
      </c>
      <c r="R14" s="10" t="s">
        <v>3634</v>
      </c>
      <c r="S14" s="10" t="s">
        <v>3635</v>
      </c>
      <c r="T14" s="10" t="s">
        <v>3636</v>
      </c>
      <c r="U14" s="10" t="s">
        <v>3637</v>
      </c>
      <c r="V14" s="108"/>
      <c r="W14" s="10" t="s">
        <v>3638</v>
      </c>
      <c r="X14" s="10" t="s">
        <v>3639</v>
      </c>
      <c r="Y14" s="10" t="s">
        <v>3640</v>
      </c>
      <c r="Z14" s="10" t="s">
        <v>3641</v>
      </c>
      <c r="AA14" s="10" t="s">
        <v>3642</v>
      </c>
      <c r="AB14" s="10" t="s">
        <v>3641</v>
      </c>
      <c r="AC14" s="10" t="s">
        <v>3636</v>
      </c>
      <c r="AD14" s="10" t="s">
        <v>3643</v>
      </c>
      <c r="AE14" s="10" t="s">
        <v>3644</v>
      </c>
      <c r="AF14" s="10" t="s">
        <v>3645</v>
      </c>
      <c r="AG14" s="10" t="s">
        <v>3646</v>
      </c>
      <c r="AH14" s="10" t="s">
        <v>3647</v>
      </c>
      <c r="AI14" s="10" t="s">
        <v>3648</v>
      </c>
      <c r="AJ14" s="10" t="s">
        <v>3649</v>
      </c>
      <c r="AK14" s="10" t="s">
        <v>3648</v>
      </c>
      <c r="AL14" s="10" t="s">
        <v>3650</v>
      </c>
      <c r="AM14" s="10" t="s">
        <v>3568</v>
      </c>
      <c r="AN14" s="10" t="s">
        <v>3568</v>
      </c>
      <c r="AO14" s="10" t="s">
        <v>3651</v>
      </c>
      <c r="AP14" s="10" t="s">
        <v>3652</v>
      </c>
      <c r="AQ14" s="10" t="s">
        <v>3653</v>
      </c>
      <c r="AR14" s="10" t="s">
        <v>3654</v>
      </c>
      <c r="AS14" s="10" t="s">
        <v>3605</v>
      </c>
      <c r="AT14" s="10" t="s">
        <v>3654</v>
      </c>
      <c r="AU14" s="10" t="s">
        <v>3655</v>
      </c>
      <c r="AV14" s="10" t="s">
        <v>3605</v>
      </c>
      <c r="AW14" s="10" t="s">
        <v>3654</v>
      </c>
      <c r="AX14" s="10" t="s">
        <v>3654</v>
      </c>
      <c r="AY14" s="10" t="s">
        <v>3605</v>
      </c>
      <c r="AZ14" s="10" t="s">
        <v>3605</v>
      </c>
      <c r="BA14" s="10" t="s">
        <v>3636</v>
      </c>
      <c r="BB14" s="10" t="s">
        <v>3656</v>
      </c>
      <c r="BC14" s="10" t="s">
        <v>3657</v>
      </c>
      <c r="BD14" s="10" t="s">
        <v>3657</v>
      </c>
      <c r="BE14" s="10" t="s">
        <v>3658</v>
      </c>
      <c r="BF14" s="10" t="s">
        <v>3659</v>
      </c>
      <c r="BG14" s="10" t="s">
        <v>3660</v>
      </c>
      <c r="BH14" s="10" t="s">
        <v>3568</v>
      </c>
      <c r="BI14" s="10" t="s">
        <v>3568</v>
      </c>
      <c r="BJ14" s="10" t="s">
        <v>3568</v>
      </c>
      <c r="BK14" s="10" t="s">
        <v>3659</v>
      </c>
      <c r="BL14" s="10" t="s">
        <v>3661</v>
      </c>
      <c r="BM14" s="10" t="s">
        <v>3657</v>
      </c>
      <c r="BN14" s="10" t="s">
        <v>3568</v>
      </c>
    </row>
    <row r="15" ht="15.75" customHeight="1">
      <c r="A15" s="14" t="s">
        <v>498</v>
      </c>
      <c r="B15" s="14"/>
      <c r="C15" s="14">
        <v>7.0</v>
      </c>
      <c r="D15" s="14">
        <v>7.0</v>
      </c>
      <c r="E15" s="14">
        <v>7.0</v>
      </c>
      <c r="F15" s="14">
        <v>7.0</v>
      </c>
      <c r="G15" s="14">
        <v>7.0</v>
      </c>
      <c r="H15" s="14">
        <v>7.0</v>
      </c>
      <c r="I15" s="148"/>
      <c r="J15" s="14">
        <v>4.0</v>
      </c>
      <c r="K15" s="14">
        <v>7.0</v>
      </c>
      <c r="L15" s="14">
        <v>7.0</v>
      </c>
      <c r="M15" s="14">
        <v>5.0</v>
      </c>
      <c r="N15" s="14">
        <v>6.0</v>
      </c>
      <c r="O15" s="14">
        <v>4.0</v>
      </c>
      <c r="P15" s="14">
        <v>6.0</v>
      </c>
      <c r="Q15" s="14">
        <v>4.0</v>
      </c>
      <c r="R15" s="14">
        <v>4.0</v>
      </c>
      <c r="S15" s="14">
        <v>6.0</v>
      </c>
      <c r="T15" s="14">
        <v>3.0</v>
      </c>
      <c r="U15" s="14">
        <v>6.0</v>
      </c>
      <c r="V15" s="148"/>
      <c r="W15" s="14">
        <v>6.0</v>
      </c>
      <c r="X15" s="14">
        <v>5.0</v>
      </c>
      <c r="Y15" s="14">
        <v>7.0</v>
      </c>
      <c r="Z15" s="14">
        <v>6.0</v>
      </c>
      <c r="AA15" s="14">
        <v>7.0</v>
      </c>
      <c r="AB15" s="14">
        <v>7.0</v>
      </c>
      <c r="AC15" s="14">
        <v>7.0</v>
      </c>
      <c r="AD15" s="14">
        <v>7.0</v>
      </c>
      <c r="AE15" s="14">
        <v>7.0</v>
      </c>
      <c r="AF15" s="14">
        <v>7.0</v>
      </c>
      <c r="AG15" s="14">
        <v>7.0</v>
      </c>
      <c r="AH15" s="14">
        <v>8.5</v>
      </c>
      <c r="AI15" s="14">
        <v>4.5</v>
      </c>
      <c r="AJ15" s="14">
        <v>5.5</v>
      </c>
      <c r="AK15" s="14">
        <v>5.5</v>
      </c>
      <c r="AL15" s="14">
        <v>5.5</v>
      </c>
      <c r="AM15" s="14">
        <v>4.0</v>
      </c>
      <c r="AN15" s="14">
        <v>8.5</v>
      </c>
      <c r="AO15" s="14">
        <v>8.5</v>
      </c>
      <c r="AP15" s="14">
        <v>8.5</v>
      </c>
      <c r="AQ15" s="14">
        <v>8.5</v>
      </c>
      <c r="AR15" s="14">
        <v>3.0</v>
      </c>
      <c r="AS15" s="14">
        <v>3.0</v>
      </c>
      <c r="AT15" s="14">
        <v>3.0</v>
      </c>
      <c r="AU15" s="14">
        <v>3.0</v>
      </c>
      <c r="AV15" s="14">
        <v>3.0</v>
      </c>
      <c r="AW15" s="14">
        <v>3.0</v>
      </c>
      <c r="AX15" s="14">
        <v>3.0</v>
      </c>
      <c r="AY15" s="14">
        <v>3.0</v>
      </c>
      <c r="AZ15" s="14">
        <v>3.0</v>
      </c>
      <c r="BA15" s="14">
        <v>3.0</v>
      </c>
      <c r="BB15" s="14">
        <v>3.0</v>
      </c>
      <c r="BC15" s="14">
        <v>8.5</v>
      </c>
      <c r="BD15" s="14">
        <v>8.5</v>
      </c>
      <c r="BE15" s="14">
        <v>3.0</v>
      </c>
      <c r="BF15" s="14">
        <v>8.5</v>
      </c>
      <c r="BG15" s="14">
        <v>8.5</v>
      </c>
      <c r="BH15" s="14">
        <v>7.5</v>
      </c>
      <c r="BI15" s="14">
        <v>6.5</v>
      </c>
      <c r="BJ15" s="14">
        <v>4.0</v>
      </c>
      <c r="BK15" s="14">
        <v>8.5</v>
      </c>
      <c r="BL15" s="14">
        <v>8.5</v>
      </c>
      <c r="BM15" s="14">
        <v>8.5</v>
      </c>
      <c r="BN15" s="14">
        <v>8.5</v>
      </c>
    </row>
    <row r="16" ht="15.75" customHeight="1">
      <c r="A16" s="27">
        <v>45225.0</v>
      </c>
      <c r="B16" s="10" t="s">
        <v>3662</v>
      </c>
      <c r="C16" s="10" t="s">
        <v>3663</v>
      </c>
      <c r="D16" s="10" t="s">
        <v>3664</v>
      </c>
      <c r="E16" s="10" t="s">
        <v>3665</v>
      </c>
      <c r="F16" s="10" t="s">
        <v>3666</v>
      </c>
      <c r="G16" s="10" t="s">
        <v>3667</v>
      </c>
      <c r="H16" s="10" t="s">
        <v>3668</v>
      </c>
      <c r="I16" s="108"/>
      <c r="J16" s="10" t="s">
        <v>3669</v>
      </c>
      <c r="K16" s="10" t="s">
        <v>3670</v>
      </c>
      <c r="L16" s="10" t="s">
        <v>3671</v>
      </c>
      <c r="M16" s="10" t="s">
        <v>3672</v>
      </c>
      <c r="N16" s="10" t="s">
        <v>3673</v>
      </c>
      <c r="O16" s="10" t="s">
        <v>3674</v>
      </c>
      <c r="P16" s="10" t="s">
        <v>3675</v>
      </c>
      <c r="Q16" s="10" t="s">
        <v>3676</v>
      </c>
      <c r="R16" s="10" t="s">
        <v>3677</v>
      </c>
      <c r="S16" s="10" t="s">
        <v>3678</v>
      </c>
      <c r="T16" s="10" t="s">
        <v>3679</v>
      </c>
      <c r="U16" s="10" t="s">
        <v>3680</v>
      </c>
      <c r="V16" s="108"/>
      <c r="W16" s="10" t="s">
        <v>3681</v>
      </c>
      <c r="X16" s="10" t="s">
        <v>3682</v>
      </c>
      <c r="Y16" s="10" t="s">
        <v>3683</v>
      </c>
      <c r="Z16" s="10" t="s">
        <v>3684</v>
      </c>
      <c r="AA16" s="10" t="s">
        <v>3685</v>
      </c>
      <c r="AB16" s="10" t="s">
        <v>3686</v>
      </c>
      <c r="AC16" s="10" t="s">
        <v>3675</v>
      </c>
      <c r="AD16" s="10" t="s">
        <v>3687</v>
      </c>
      <c r="AE16" s="10" t="s">
        <v>3688</v>
      </c>
      <c r="AF16" s="10" t="s">
        <v>3689</v>
      </c>
      <c r="AG16" s="10" t="s">
        <v>3681</v>
      </c>
      <c r="AH16" s="10" t="s">
        <v>3690</v>
      </c>
      <c r="AI16" s="10" t="s">
        <v>3691</v>
      </c>
      <c r="AJ16" s="10" t="s">
        <v>3692</v>
      </c>
      <c r="AK16" s="10" t="s">
        <v>3693</v>
      </c>
      <c r="AL16" s="10" t="s">
        <v>3694</v>
      </c>
      <c r="AM16" s="10" t="s">
        <v>3695</v>
      </c>
      <c r="AN16" s="10" t="s">
        <v>3695</v>
      </c>
      <c r="AO16" s="10" t="s">
        <v>3696</v>
      </c>
      <c r="AP16" s="10" t="s">
        <v>3697</v>
      </c>
      <c r="AQ16" s="10" t="s">
        <v>3698</v>
      </c>
      <c r="AR16" s="10" t="s">
        <v>3696</v>
      </c>
      <c r="AS16" s="10" t="s">
        <v>3659</v>
      </c>
      <c r="AT16" s="10" t="s">
        <v>3699</v>
      </c>
      <c r="AU16" s="10" t="s">
        <v>3617</v>
      </c>
      <c r="AV16" s="10" t="s">
        <v>3568</v>
      </c>
      <c r="AW16" s="10" t="s">
        <v>3695</v>
      </c>
      <c r="AX16" s="10" t="s">
        <v>3659</v>
      </c>
      <c r="AY16" s="10" t="s">
        <v>3568</v>
      </c>
      <c r="AZ16" s="10" t="s">
        <v>3700</v>
      </c>
      <c r="BA16" s="10" t="s">
        <v>3659</v>
      </c>
      <c r="BB16" s="10" t="s">
        <v>3701</v>
      </c>
      <c r="BC16" s="10" t="s">
        <v>3659</v>
      </c>
      <c r="BD16" s="10" t="s">
        <v>3693</v>
      </c>
      <c r="BE16" s="10" t="s">
        <v>3702</v>
      </c>
      <c r="BF16" s="10" t="s">
        <v>3703</v>
      </c>
      <c r="BG16" s="10" t="s">
        <v>3704</v>
      </c>
      <c r="BH16" s="10" t="s">
        <v>3657</v>
      </c>
      <c r="BI16" s="10" t="s">
        <v>3695</v>
      </c>
      <c r="BJ16" s="10" t="s">
        <v>3657</v>
      </c>
      <c r="BK16" s="10" t="s">
        <v>3695</v>
      </c>
      <c r="BL16" s="10" t="s">
        <v>3705</v>
      </c>
      <c r="BM16" s="10" t="s">
        <v>3657</v>
      </c>
      <c r="BN16" s="10" t="s">
        <v>3706</v>
      </c>
    </row>
    <row r="17" ht="15.75" customHeight="1">
      <c r="A17" s="14" t="s">
        <v>543</v>
      </c>
      <c r="B17" s="14"/>
      <c r="C17" s="14">
        <v>7.5</v>
      </c>
      <c r="D17" s="14">
        <v>7.5</v>
      </c>
      <c r="E17" s="14">
        <v>7.5</v>
      </c>
      <c r="F17" s="14">
        <v>7.5</v>
      </c>
      <c r="G17" s="14">
        <v>7.5</v>
      </c>
      <c r="H17" s="14">
        <v>7.5</v>
      </c>
      <c r="I17" s="148"/>
      <c r="J17" s="14">
        <v>4.5</v>
      </c>
      <c r="K17" s="14">
        <v>7.5</v>
      </c>
      <c r="L17" s="14">
        <v>7.5</v>
      </c>
      <c r="M17" s="14">
        <v>5.5</v>
      </c>
      <c r="N17" s="14">
        <v>6.5</v>
      </c>
      <c r="O17" s="14">
        <v>4.5</v>
      </c>
      <c r="P17" s="14">
        <v>6.5</v>
      </c>
      <c r="Q17" s="14">
        <v>4.5</v>
      </c>
      <c r="R17" s="14">
        <v>4.5</v>
      </c>
      <c r="S17" s="14">
        <v>6.5</v>
      </c>
      <c r="T17" s="14">
        <v>3.5</v>
      </c>
      <c r="U17" s="14">
        <v>6.5</v>
      </c>
      <c r="V17" s="148"/>
      <c r="W17" s="14">
        <v>6.5</v>
      </c>
      <c r="X17" s="14">
        <v>5.5</v>
      </c>
      <c r="Y17" s="14">
        <v>7.5</v>
      </c>
      <c r="Z17" s="14">
        <v>6.5</v>
      </c>
      <c r="AA17" s="14">
        <v>7.5</v>
      </c>
      <c r="AB17" s="14">
        <v>7.5</v>
      </c>
      <c r="AC17" s="14">
        <v>7.5</v>
      </c>
      <c r="AD17" s="14">
        <v>7.5</v>
      </c>
      <c r="AE17" s="14">
        <v>7.5</v>
      </c>
      <c r="AF17" s="14">
        <v>7.5</v>
      </c>
      <c r="AG17" s="14">
        <v>7.5</v>
      </c>
      <c r="AH17" s="14">
        <v>9.0</v>
      </c>
      <c r="AI17" s="14">
        <v>5.0</v>
      </c>
      <c r="AJ17" s="14">
        <v>6.0</v>
      </c>
      <c r="AK17" s="14">
        <v>6.0</v>
      </c>
      <c r="AL17" s="14">
        <v>6.0</v>
      </c>
      <c r="AM17" s="14">
        <v>4.5</v>
      </c>
      <c r="AN17" s="14">
        <v>9.0</v>
      </c>
      <c r="AO17" s="14">
        <v>9.0</v>
      </c>
      <c r="AP17" s="14">
        <v>9.0</v>
      </c>
      <c r="AQ17" s="14">
        <v>9.0</v>
      </c>
      <c r="AR17" s="14">
        <v>3.5</v>
      </c>
      <c r="AS17" s="14">
        <v>3.5</v>
      </c>
      <c r="AT17" s="14">
        <v>3.5</v>
      </c>
      <c r="AU17" s="14">
        <v>3.5</v>
      </c>
      <c r="AV17" s="14">
        <v>3.5</v>
      </c>
      <c r="AW17" s="14">
        <v>3.5</v>
      </c>
      <c r="AX17" s="14">
        <v>3.5</v>
      </c>
      <c r="AY17" s="14">
        <v>3.5</v>
      </c>
      <c r="AZ17" s="14">
        <v>3.5</v>
      </c>
      <c r="BA17" s="14">
        <v>3.5</v>
      </c>
      <c r="BB17" s="14">
        <v>3.5</v>
      </c>
      <c r="BC17" s="14">
        <v>9.0</v>
      </c>
      <c r="BD17" s="14">
        <v>9.0</v>
      </c>
      <c r="BE17" s="14">
        <v>3.5</v>
      </c>
      <c r="BF17" s="14">
        <v>9.0</v>
      </c>
      <c r="BG17" s="14">
        <v>9.0</v>
      </c>
      <c r="BH17" s="14">
        <v>8.0</v>
      </c>
      <c r="BI17" s="14">
        <v>7.0</v>
      </c>
      <c r="BJ17" s="14">
        <v>4.5</v>
      </c>
      <c r="BK17" s="14">
        <v>9.0</v>
      </c>
      <c r="BL17" s="14">
        <v>9.0</v>
      </c>
      <c r="BM17" s="14">
        <v>9.0</v>
      </c>
      <c r="BN17" s="14">
        <v>9.0</v>
      </c>
    </row>
    <row r="18" ht="15.75" customHeight="1">
      <c r="A18" s="27">
        <v>45226.0</v>
      </c>
      <c r="B18" s="10" t="s">
        <v>3707</v>
      </c>
      <c r="C18" s="10" t="s">
        <v>3708</v>
      </c>
      <c r="D18" s="10" t="s">
        <v>3709</v>
      </c>
      <c r="E18" s="10" t="s">
        <v>3710</v>
      </c>
      <c r="F18" s="10" t="s">
        <v>3711</v>
      </c>
      <c r="G18" s="10" t="s">
        <v>3712</v>
      </c>
      <c r="H18" s="10" t="s">
        <v>3713</v>
      </c>
      <c r="I18" s="108"/>
      <c r="J18" s="10" t="s">
        <v>3567</v>
      </c>
      <c r="K18" s="10" t="s">
        <v>3714</v>
      </c>
      <c r="L18" s="10" t="s">
        <v>3567</v>
      </c>
      <c r="M18" s="10" t="s">
        <v>3715</v>
      </c>
      <c r="N18" s="10" t="s">
        <v>3716</v>
      </c>
      <c r="O18" s="10" t="s">
        <v>3717</v>
      </c>
      <c r="P18" s="10" t="s">
        <v>3718</v>
      </c>
      <c r="Q18" s="10" t="s">
        <v>3719</v>
      </c>
      <c r="R18" s="10" t="s">
        <v>3720</v>
      </c>
      <c r="S18" s="10" t="s">
        <v>3604</v>
      </c>
      <c r="T18" s="10" t="s">
        <v>3721</v>
      </c>
      <c r="U18" s="10" t="s">
        <v>3722</v>
      </c>
      <c r="V18" s="108"/>
      <c r="W18" s="10" t="s">
        <v>3723</v>
      </c>
      <c r="X18" s="10" t="s">
        <v>3724</v>
      </c>
      <c r="Y18" s="10" t="s">
        <v>3725</v>
      </c>
      <c r="Z18" s="10" t="s">
        <v>3726</v>
      </c>
      <c r="AA18" s="10" t="s">
        <v>3565</v>
      </c>
      <c r="AB18" s="10" t="s">
        <v>3727</v>
      </c>
      <c r="AC18" s="10" t="s">
        <v>3728</v>
      </c>
      <c r="AD18" s="10" t="s">
        <v>3729</v>
      </c>
      <c r="AE18" s="10" t="s">
        <v>3730</v>
      </c>
      <c r="AF18" s="10" t="s">
        <v>3731</v>
      </c>
      <c r="AG18" s="10" t="s">
        <v>3717</v>
      </c>
      <c r="AH18" s="10" t="s">
        <v>3732</v>
      </c>
      <c r="AI18" s="10" t="s">
        <v>3733</v>
      </c>
      <c r="AJ18" s="10" t="s">
        <v>3734</v>
      </c>
      <c r="AK18" s="10" t="s">
        <v>3735</v>
      </c>
      <c r="AL18" s="10" t="s">
        <v>3736</v>
      </c>
      <c r="AM18" s="10" t="s">
        <v>3737</v>
      </c>
      <c r="AN18" s="10" t="s">
        <v>3737</v>
      </c>
      <c r="AO18" s="10" t="s">
        <v>3738</v>
      </c>
      <c r="AP18" s="10" t="s">
        <v>3738</v>
      </c>
      <c r="AQ18" s="10" t="s">
        <v>3739</v>
      </c>
      <c r="AR18" s="10" t="s">
        <v>3740</v>
      </c>
      <c r="AS18" s="10" t="s">
        <v>3741</v>
      </c>
      <c r="AT18" s="10" t="s">
        <v>3742</v>
      </c>
      <c r="AU18" s="10" t="s">
        <v>3743</v>
      </c>
      <c r="AV18" s="10" t="s">
        <v>3736</v>
      </c>
      <c r="AW18" s="10" t="s">
        <v>3744</v>
      </c>
      <c r="AX18" s="10" t="s">
        <v>3745</v>
      </c>
      <c r="AY18" s="10" t="s">
        <v>3746</v>
      </c>
      <c r="AZ18" s="10" t="s">
        <v>3747</v>
      </c>
      <c r="BA18" s="10" t="s">
        <v>3748</v>
      </c>
      <c r="BB18" s="10" t="s">
        <v>3749</v>
      </c>
      <c r="BC18" s="10" t="s">
        <v>3750</v>
      </c>
      <c r="BD18" s="10" t="s">
        <v>3735</v>
      </c>
      <c r="BE18" s="10" t="s">
        <v>3751</v>
      </c>
      <c r="BF18" s="10" t="s">
        <v>3565</v>
      </c>
      <c r="BG18" s="10" t="s">
        <v>3752</v>
      </c>
      <c r="BH18" s="10" t="s">
        <v>3753</v>
      </c>
      <c r="BI18" s="10" t="s">
        <v>3712</v>
      </c>
      <c r="BJ18" s="10" t="s">
        <v>3754</v>
      </c>
      <c r="BK18" s="10" t="s">
        <v>3695</v>
      </c>
      <c r="BL18" s="10" t="s">
        <v>3568</v>
      </c>
      <c r="BM18" s="10" t="s">
        <v>3755</v>
      </c>
      <c r="BN18" s="10" t="s">
        <v>3756</v>
      </c>
    </row>
    <row r="19" ht="15.75" customHeight="1">
      <c r="A19" s="14" t="s">
        <v>593</v>
      </c>
      <c r="B19" s="14"/>
      <c r="C19" s="14">
        <v>8.0</v>
      </c>
      <c r="D19" s="14">
        <v>8.0</v>
      </c>
      <c r="E19" s="14">
        <v>8.0</v>
      </c>
      <c r="F19" s="14">
        <v>8.0</v>
      </c>
      <c r="G19" s="14">
        <v>8.0</v>
      </c>
      <c r="H19" s="14">
        <v>8.0</v>
      </c>
      <c r="I19" s="148"/>
      <c r="J19" s="14">
        <v>5.0</v>
      </c>
      <c r="K19" s="14">
        <v>8.0</v>
      </c>
      <c r="L19" s="14">
        <v>8.0</v>
      </c>
      <c r="M19" s="14">
        <v>6.0</v>
      </c>
      <c r="N19" s="14">
        <v>7.5</v>
      </c>
      <c r="O19" s="14">
        <v>5.0</v>
      </c>
      <c r="P19" s="14">
        <v>7.0</v>
      </c>
      <c r="Q19" s="14">
        <v>5.0</v>
      </c>
      <c r="R19" s="14">
        <v>5.0</v>
      </c>
      <c r="S19" s="14">
        <v>7.0</v>
      </c>
      <c r="T19" s="14">
        <v>4.5</v>
      </c>
      <c r="U19" s="14">
        <v>7.0</v>
      </c>
      <c r="V19" s="148"/>
      <c r="W19" s="14">
        <v>7.0</v>
      </c>
      <c r="X19" s="14">
        <v>6.0</v>
      </c>
      <c r="Y19" s="14">
        <v>8.0</v>
      </c>
      <c r="Z19" s="14">
        <v>7.0</v>
      </c>
      <c r="AA19" s="14">
        <v>8.0</v>
      </c>
      <c r="AB19" s="14">
        <v>8.0</v>
      </c>
      <c r="AC19" s="14">
        <v>8.0</v>
      </c>
      <c r="AD19" s="14">
        <v>8.0</v>
      </c>
      <c r="AE19" s="14">
        <v>8.0</v>
      </c>
      <c r="AF19" s="14">
        <v>8.0</v>
      </c>
      <c r="AG19" s="14">
        <v>8.0</v>
      </c>
      <c r="AH19" s="14">
        <v>9.5</v>
      </c>
      <c r="AI19" s="14">
        <v>5.5</v>
      </c>
      <c r="AJ19" s="14">
        <v>6.5</v>
      </c>
      <c r="AK19" s="14">
        <v>6.5</v>
      </c>
      <c r="AL19" s="14">
        <v>6.5</v>
      </c>
      <c r="AM19" s="14">
        <v>5.0</v>
      </c>
      <c r="AN19" s="14">
        <v>9.5</v>
      </c>
      <c r="AO19" s="14">
        <v>9.5</v>
      </c>
      <c r="AP19" s="14">
        <v>9.5</v>
      </c>
      <c r="AQ19" s="14">
        <v>9.5</v>
      </c>
      <c r="AR19" s="14">
        <v>4.0</v>
      </c>
      <c r="AS19" s="14">
        <v>4.0</v>
      </c>
      <c r="AT19" s="14">
        <v>4.0</v>
      </c>
      <c r="AU19" s="14">
        <v>4.0</v>
      </c>
      <c r="AV19" s="14">
        <v>4.0</v>
      </c>
      <c r="AW19" s="14">
        <v>4.0</v>
      </c>
      <c r="AX19" s="14">
        <v>4.0</v>
      </c>
      <c r="AY19" s="14">
        <v>4.0</v>
      </c>
      <c r="AZ19" s="14">
        <v>4.0</v>
      </c>
      <c r="BA19" s="14">
        <v>4.0</v>
      </c>
      <c r="BB19" s="14">
        <v>4.5</v>
      </c>
      <c r="BC19" s="14">
        <v>9.5</v>
      </c>
      <c r="BD19" s="14">
        <v>9.5</v>
      </c>
      <c r="BE19" s="14">
        <v>4.0</v>
      </c>
      <c r="BF19" s="14">
        <v>9.5</v>
      </c>
      <c r="BG19" s="14">
        <v>9.5</v>
      </c>
      <c r="BH19" s="14">
        <v>8.5</v>
      </c>
      <c r="BI19" s="14">
        <v>7.5</v>
      </c>
      <c r="BJ19" s="14">
        <v>5.0</v>
      </c>
      <c r="BK19" s="14">
        <v>9.5</v>
      </c>
      <c r="BL19" s="14">
        <v>9.5</v>
      </c>
      <c r="BM19" s="14">
        <v>9.5</v>
      </c>
      <c r="BN19" s="14">
        <v>9.5</v>
      </c>
    </row>
    <row r="20" ht="15.75" customHeight="1">
      <c r="A20" s="27">
        <v>45228.0</v>
      </c>
      <c r="B20" s="10" t="s">
        <v>3757</v>
      </c>
      <c r="C20" s="10" t="s">
        <v>3758</v>
      </c>
      <c r="D20" s="10" t="s">
        <v>3759</v>
      </c>
      <c r="E20" s="10" t="s">
        <v>3760</v>
      </c>
      <c r="F20" s="10" t="s">
        <v>3761</v>
      </c>
      <c r="G20" s="10" t="s">
        <v>3762</v>
      </c>
      <c r="H20" s="10" t="s">
        <v>3763</v>
      </c>
      <c r="I20" s="108"/>
      <c r="J20" s="10" t="s">
        <v>3764</v>
      </c>
      <c r="K20" s="10" t="s">
        <v>3765</v>
      </c>
      <c r="L20" s="10" t="s">
        <v>3766</v>
      </c>
      <c r="M20" s="10" t="s">
        <v>3767</v>
      </c>
      <c r="N20" s="10" t="s">
        <v>3768</v>
      </c>
      <c r="O20" s="10" t="s">
        <v>3769</v>
      </c>
      <c r="P20" s="10" t="s">
        <v>3770</v>
      </c>
      <c r="Q20" s="10" t="s">
        <v>3771</v>
      </c>
      <c r="R20" s="10" t="s">
        <v>3772</v>
      </c>
      <c r="S20" s="10" t="s">
        <v>3773</v>
      </c>
      <c r="T20" s="10" t="s">
        <v>3774</v>
      </c>
      <c r="U20" s="10" t="s">
        <v>3775</v>
      </c>
      <c r="V20" s="108"/>
      <c r="W20" s="10" t="s">
        <v>3776</v>
      </c>
      <c r="X20" s="10" t="s">
        <v>3777</v>
      </c>
      <c r="Y20" s="10" t="s">
        <v>3778</v>
      </c>
      <c r="Z20" s="10" t="s">
        <v>3779</v>
      </c>
      <c r="AA20" s="10" t="s">
        <v>3780</v>
      </c>
      <c r="AB20" s="10" t="s">
        <v>3781</v>
      </c>
      <c r="AC20" s="10" t="s">
        <v>3782</v>
      </c>
      <c r="AD20" s="10" t="s">
        <v>3783</v>
      </c>
      <c r="AE20" s="10" t="s">
        <v>3784</v>
      </c>
      <c r="AF20" s="10" t="s">
        <v>3785</v>
      </c>
      <c r="AG20" s="10" t="s">
        <v>3786</v>
      </c>
      <c r="AH20" s="10" t="s">
        <v>3787</v>
      </c>
      <c r="AI20" s="10" t="s">
        <v>3788</v>
      </c>
      <c r="AJ20" s="10" t="s">
        <v>3789</v>
      </c>
      <c r="AK20" s="10" t="s">
        <v>3790</v>
      </c>
      <c r="AL20" s="10" t="s">
        <v>3791</v>
      </c>
      <c r="AM20" s="10" t="s">
        <v>3792</v>
      </c>
      <c r="AN20" s="10" t="s">
        <v>3793</v>
      </c>
      <c r="AO20" s="10" t="s">
        <v>3794</v>
      </c>
      <c r="AP20" s="10" t="s">
        <v>3784</v>
      </c>
      <c r="AQ20" s="10" t="s">
        <v>3795</v>
      </c>
      <c r="AR20" s="10" t="s">
        <v>3790</v>
      </c>
      <c r="AS20" s="10" t="s">
        <v>3796</v>
      </c>
      <c r="AT20" s="10" t="s">
        <v>3790</v>
      </c>
      <c r="AU20" s="10" t="s">
        <v>3797</v>
      </c>
      <c r="AV20" s="10" t="s">
        <v>3798</v>
      </c>
      <c r="AW20" s="10" t="s">
        <v>3791</v>
      </c>
      <c r="AX20" s="10" t="s">
        <v>3799</v>
      </c>
      <c r="AY20" s="10" t="s">
        <v>3800</v>
      </c>
      <c r="AZ20" s="10" t="s">
        <v>3799</v>
      </c>
      <c r="BA20" s="10" t="s">
        <v>3801</v>
      </c>
      <c r="BB20" s="10" t="s">
        <v>3802</v>
      </c>
      <c r="BC20" s="10" t="s">
        <v>3803</v>
      </c>
      <c r="BD20" s="10" t="s">
        <v>3804</v>
      </c>
      <c r="BE20" s="10" t="s">
        <v>3768</v>
      </c>
      <c r="BF20" s="10" t="s">
        <v>3805</v>
      </c>
      <c r="BG20" s="10" t="s">
        <v>3806</v>
      </c>
      <c r="BH20" s="10" t="s">
        <v>3807</v>
      </c>
      <c r="BI20" s="10" t="s">
        <v>3808</v>
      </c>
      <c r="BJ20" s="10" t="s">
        <v>3809</v>
      </c>
      <c r="BK20" s="10" t="s">
        <v>3763</v>
      </c>
      <c r="BL20" s="10" t="s">
        <v>3810</v>
      </c>
      <c r="BM20" s="10" t="s">
        <v>3811</v>
      </c>
      <c r="BN20" s="10" t="s">
        <v>3812</v>
      </c>
    </row>
    <row r="21" ht="15.75" customHeight="1">
      <c r="A21" s="14" t="s">
        <v>686</v>
      </c>
      <c r="B21" s="14"/>
      <c r="C21" s="14">
        <v>9.0</v>
      </c>
      <c r="D21" s="14">
        <v>9.0</v>
      </c>
      <c r="E21" s="14">
        <v>9.0</v>
      </c>
      <c r="F21" s="14">
        <v>9.0</v>
      </c>
      <c r="G21" s="14">
        <v>9.0</v>
      </c>
      <c r="H21" s="14">
        <v>9.0</v>
      </c>
      <c r="I21" s="148"/>
      <c r="J21" s="14">
        <v>7.0</v>
      </c>
      <c r="K21" s="14">
        <v>9.0</v>
      </c>
      <c r="L21" s="14">
        <v>9.0</v>
      </c>
      <c r="M21" s="14">
        <v>7.0</v>
      </c>
      <c r="N21" s="14">
        <v>9.5</v>
      </c>
      <c r="O21" s="14">
        <v>7.0</v>
      </c>
      <c r="P21" s="14">
        <v>8.0</v>
      </c>
      <c r="Q21" s="14">
        <v>7.0</v>
      </c>
      <c r="R21" s="14">
        <v>7.0</v>
      </c>
      <c r="S21" s="14">
        <v>8.0</v>
      </c>
      <c r="T21" s="14">
        <v>6.5</v>
      </c>
      <c r="U21" s="14">
        <v>8.0</v>
      </c>
      <c r="V21" s="148"/>
      <c r="W21" s="14">
        <v>8.0</v>
      </c>
      <c r="X21" s="14">
        <v>8.0</v>
      </c>
      <c r="Y21" s="14">
        <v>9.0</v>
      </c>
      <c r="Z21" s="14">
        <v>8.0</v>
      </c>
      <c r="AA21" s="14">
        <v>9.0</v>
      </c>
      <c r="AB21" s="14">
        <v>9.0</v>
      </c>
      <c r="AC21" s="14">
        <v>9.0</v>
      </c>
      <c r="AD21" s="14">
        <v>9.0</v>
      </c>
      <c r="AE21" s="14">
        <v>9.0</v>
      </c>
      <c r="AF21" s="14">
        <v>9.0</v>
      </c>
      <c r="AG21" s="14">
        <v>9.0</v>
      </c>
      <c r="AH21" s="14">
        <v>10.5</v>
      </c>
      <c r="AI21" s="14">
        <v>7.5</v>
      </c>
      <c r="AJ21" s="14">
        <v>8.5</v>
      </c>
      <c r="AK21" s="14">
        <v>8.5</v>
      </c>
      <c r="AL21" s="14">
        <v>8.5</v>
      </c>
      <c r="AM21" s="14">
        <v>7.0</v>
      </c>
      <c r="AN21" s="14">
        <v>11.5</v>
      </c>
      <c r="AO21" s="14">
        <v>10.5</v>
      </c>
      <c r="AP21" s="14">
        <v>10.5</v>
      </c>
      <c r="AQ21" s="14">
        <v>10.5</v>
      </c>
      <c r="AR21" s="14">
        <v>6.0</v>
      </c>
      <c r="AS21" s="14">
        <v>6.0</v>
      </c>
      <c r="AT21" s="14">
        <v>6.0</v>
      </c>
      <c r="AU21" s="14">
        <v>6.0</v>
      </c>
      <c r="AV21" s="14">
        <v>6.0</v>
      </c>
      <c r="AW21" s="14">
        <v>6.0</v>
      </c>
      <c r="AX21" s="14">
        <v>6.0</v>
      </c>
      <c r="AY21" s="14">
        <v>6.0</v>
      </c>
      <c r="AZ21" s="14">
        <v>6.0</v>
      </c>
      <c r="BA21" s="14">
        <v>6.0</v>
      </c>
      <c r="BB21" s="14">
        <v>6.5</v>
      </c>
      <c r="BC21" s="14">
        <v>10.5</v>
      </c>
      <c r="BD21" s="14">
        <v>10.5</v>
      </c>
      <c r="BE21" s="14">
        <v>6.0</v>
      </c>
      <c r="BF21" s="14">
        <v>10.5</v>
      </c>
      <c r="BG21" s="14">
        <v>10.5</v>
      </c>
      <c r="BH21" s="14">
        <v>9.5</v>
      </c>
      <c r="BI21" s="14">
        <v>8.5</v>
      </c>
      <c r="BJ21" s="14">
        <v>6.0</v>
      </c>
      <c r="BK21" s="14">
        <v>10.5</v>
      </c>
      <c r="BL21" s="14">
        <v>10.5</v>
      </c>
      <c r="BM21" s="14">
        <v>10.0</v>
      </c>
      <c r="BN21" s="14">
        <v>10.0</v>
      </c>
    </row>
    <row r="22" ht="15.75" customHeight="1">
      <c r="A22" s="27">
        <v>45229.0</v>
      </c>
      <c r="B22" s="10" t="s">
        <v>3813</v>
      </c>
      <c r="C22" s="10" t="s">
        <v>3814</v>
      </c>
      <c r="D22" s="10" t="s">
        <v>3815</v>
      </c>
      <c r="E22" s="10" t="s">
        <v>3816</v>
      </c>
      <c r="F22" s="10" t="s">
        <v>3817</v>
      </c>
      <c r="G22" s="10" t="s">
        <v>3818</v>
      </c>
      <c r="H22" s="10" t="s">
        <v>3819</v>
      </c>
      <c r="I22" s="108"/>
      <c r="J22" s="10" t="s">
        <v>3820</v>
      </c>
      <c r="K22" s="10" t="s">
        <v>3821</v>
      </c>
      <c r="L22" s="10" t="s">
        <v>3822</v>
      </c>
      <c r="M22" s="10" t="s">
        <v>3823</v>
      </c>
      <c r="N22" s="10" t="s">
        <v>3824</v>
      </c>
      <c r="O22" s="10" t="s">
        <v>3825</v>
      </c>
      <c r="P22" s="10" t="s">
        <v>3826</v>
      </c>
      <c r="Q22" s="10" t="s">
        <v>3827</v>
      </c>
      <c r="R22" s="10" t="s">
        <v>3828</v>
      </c>
      <c r="S22" s="10" t="s">
        <v>3829</v>
      </c>
      <c r="T22" s="10" t="s">
        <v>3830</v>
      </c>
      <c r="U22" s="10" t="s">
        <v>3831</v>
      </c>
      <c r="V22" s="108"/>
      <c r="W22" s="10" t="s">
        <v>3832</v>
      </c>
      <c r="X22" s="10" t="s">
        <v>1325</v>
      </c>
      <c r="Y22" s="10" t="s">
        <v>3833</v>
      </c>
      <c r="Z22" s="10" t="s">
        <v>3834</v>
      </c>
      <c r="AA22" s="10" t="s">
        <v>3835</v>
      </c>
      <c r="AB22" s="10" t="s">
        <v>3836</v>
      </c>
      <c r="AC22" s="10" t="s">
        <v>3837</v>
      </c>
      <c r="AD22" s="10" t="s">
        <v>3838</v>
      </c>
      <c r="AE22" s="10" t="s">
        <v>3834</v>
      </c>
      <c r="AF22" s="10" t="s">
        <v>3839</v>
      </c>
      <c r="AG22" s="10" t="s">
        <v>3840</v>
      </c>
      <c r="AH22" s="10" t="s">
        <v>3838</v>
      </c>
      <c r="AI22" s="10" t="s">
        <v>3838</v>
      </c>
      <c r="AJ22" s="10" t="s">
        <v>3841</v>
      </c>
      <c r="AK22" s="10" t="s">
        <v>3842</v>
      </c>
      <c r="AL22" s="10" t="s">
        <v>3834</v>
      </c>
      <c r="AM22" s="10" t="s">
        <v>3843</v>
      </c>
      <c r="AN22" s="10" t="s">
        <v>3844</v>
      </c>
      <c r="AO22" s="10" t="s">
        <v>3845</v>
      </c>
      <c r="AP22" s="10" t="s">
        <v>3784</v>
      </c>
      <c r="AQ22" s="10" t="s">
        <v>3779</v>
      </c>
      <c r="AR22" s="10" t="s">
        <v>3786</v>
      </c>
      <c r="AS22" s="10" t="s">
        <v>3846</v>
      </c>
      <c r="AT22" s="10" t="s">
        <v>3786</v>
      </c>
      <c r="AU22" s="10" t="s">
        <v>3794</v>
      </c>
      <c r="AV22" s="10" t="s">
        <v>3784</v>
      </c>
      <c r="AW22" s="10" t="s">
        <v>3847</v>
      </c>
      <c r="AX22" s="10" t="s">
        <v>3749</v>
      </c>
      <c r="AY22" s="10" t="s">
        <v>3784</v>
      </c>
      <c r="AZ22" s="10" t="s">
        <v>3749</v>
      </c>
      <c r="BA22" s="10" t="s">
        <v>3779</v>
      </c>
      <c r="BB22" s="10" t="s">
        <v>3848</v>
      </c>
      <c r="BC22" s="10" t="s">
        <v>3849</v>
      </c>
      <c r="BD22" s="10" t="s">
        <v>3850</v>
      </c>
      <c r="BE22" s="10" t="s">
        <v>3784</v>
      </c>
      <c r="BF22" s="10" t="s">
        <v>3851</v>
      </c>
      <c r="BG22" s="10" t="s">
        <v>3779</v>
      </c>
      <c r="BH22" s="10" t="s">
        <v>3779</v>
      </c>
      <c r="BI22" s="10" t="s">
        <v>3784</v>
      </c>
      <c r="BJ22" s="10" t="s">
        <v>3795</v>
      </c>
      <c r="BK22" s="10" t="s">
        <v>3852</v>
      </c>
      <c r="BL22" s="10" t="s">
        <v>3784</v>
      </c>
      <c r="BM22" s="10" t="s">
        <v>3784</v>
      </c>
      <c r="BN22" s="10" t="s">
        <v>3853</v>
      </c>
    </row>
    <row r="23" ht="15.75" customHeight="1">
      <c r="A23" s="14" t="s">
        <v>728</v>
      </c>
      <c r="B23" s="14"/>
      <c r="C23" s="14">
        <v>10.0</v>
      </c>
      <c r="D23" s="14">
        <v>10.0</v>
      </c>
      <c r="E23" s="14">
        <v>10.0</v>
      </c>
      <c r="F23" s="14">
        <v>10.0</v>
      </c>
      <c r="G23" s="14">
        <v>10.0</v>
      </c>
      <c r="H23" s="14">
        <v>10.0</v>
      </c>
      <c r="I23" s="148"/>
      <c r="J23" s="14">
        <v>8.0</v>
      </c>
      <c r="K23" s="14">
        <v>10.0</v>
      </c>
      <c r="L23" s="14">
        <v>10.0</v>
      </c>
      <c r="M23" s="14">
        <v>8.0</v>
      </c>
      <c r="N23" s="14">
        <v>10.5</v>
      </c>
      <c r="O23" s="14">
        <v>8.0</v>
      </c>
      <c r="P23" s="14">
        <v>9.0</v>
      </c>
      <c r="Q23" s="14">
        <v>8.0</v>
      </c>
      <c r="R23" s="14">
        <v>8.0</v>
      </c>
      <c r="S23" s="14">
        <v>9.0</v>
      </c>
      <c r="T23" s="14">
        <v>7.5</v>
      </c>
      <c r="U23" s="14">
        <v>9.0</v>
      </c>
      <c r="V23" s="148"/>
      <c r="W23" s="14">
        <v>9.0</v>
      </c>
      <c r="X23" s="14">
        <v>9.0</v>
      </c>
      <c r="Y23" s="14">
        <v>10.0</v>
      </c>
      <c r="Z23" s="14">
        <v>9.0</v>
      </c>
      <c r="AA23" s="14">
        <v>10.0</v>
      </c>
      <c r="AB23" s="14">
        <v>10.0</v>
      </c>
      <c r="AC23" s="14">
        <v>10.0</v>
      </c>
      <c r="AD23" s="14">
        <v>10.0</v>
      </c>
      <c r="AE23" s="14">
        <v>10.0</v>
      </c>
      <c r="AF23" s="14">
        <v>10.0</v>
      </c>
      <c r="AG23" s="14">
        <v>10.0</v>
      </c>
      <c r="AH23" s="14">
        <v>11.5</v>
      </c>
      <c r="AI23" s="14">
        <v>8.5</v>
      </c>
      <c r="AJ23" s="14">
        <v>9.5</v>
      </c>
      <c r="AK23" s="14">
        <v>10.5</v>
      </c>
      <c r="AL23" s="14">
        <v>9.5</v>
      </c>
      <c r="AM23" s="14">
        <v>8.0</v>
      </c>
      <c r="AN23" s="14">
        <v>12.5</v>
      </c>
      <c r="AO23" s="14">
        <v>11.5</v>
      </c>
      <c r="AP23" s="14">
        <v>11.5</v>
      </c>
      <c r="AQ23" s="14">
        <v>11.5</v>
      </c>
      <c r="AR23" s="14">
        <v>7.0</v>
      </c>
      <c r="AS23" s="14">
        <v>7.0</v>
      </c>
      <c r="AT23" s="14">
        <v>7.0</v>
      </c>
      <c r="AU23" s="14">
        <v>7.0</v>
      </c>
      <c r="AV23" s="14">
        <v>7.0</v>
      </c>
      <c r="AW23" s="14">
        <v>7.0</v>
      </c>
      <c r="AX23" s="14">
        <v>7.0</v>
      </c>
      <c r="AY23" s="14">
        <v>7.0</v>
      </c>
      <c r="AZ23" s="14">
        <v>7.0</v>
      </c>
      <c r="BA23" s="14">
        <v>7.0</v>
      </c>
      <c r="BB23" s="14">
        <v>7.5</v>
      </c>
      <c r="BC23" s="14">
        <v>11.5</v>
      </c>
      <c r="BD23" s="14">
        <v>11.5</v>
      </c>
      <c r="BE23" s="14">
        <v>7.0</v>
      </c>
      <c r="BF23" s="14">
        <v>11.5</v>
      </c>
      <c r="BG23" s="14">
        <v>11.5</v>
      </c>
      <c r="BH23" s="14">
        <v>10.5</v>
      </c>
      <c r="BI23" s="14">
        <v>9.5</v>
      </c>
      <c r="BJ23" s="14">
        <v>7.0</v>
      </c>
      <c r="BK23" s="14">
        <v>11.5</v>
      </c>
      <c r="BL23" s="14">
        <v>11.5</v>
      </c>
      <c r="BM23" s="14">
        <v>11.0</v>
      </c>
      <c r="BN23" s="14">
        <v>11.0</v>
      </c>
    </row>
    <row r="24" ht="15.75" customHeight="1">
      <c r="A24" s="10" t="s">
        <v>3854</v>
      </c>
      <c r="B24" s="10"/>
      <c r="C24" s="10" t="s">
        <v>3855</v>
      </c>
      <c r="D24" s="10" t="s">
        <v>3856</v>
      </c>
      <c r="E24" s="10" t="s">
        <v>3857</v>
      </c>
      <c r="F24" s="10" t="s">
        <v>3858</v>
      </c>
      <c r="G24" s="10" t="s">
        <v>3859</v>
      </c>
      <c r="H24" s="10" t="s">
        <v>3840</v>
      </c>
      <c r="I24" s="108"/>
      <c r="J24" s="10" t="s">
        <v>3860</v>
      </c>
      <c r="K24" s="10" t="s">
        <v>3861</v>
      </c>
      <c r="L24" s="10" t="s">
        <v>3862</v>
      </c>
      <c r="M24" s="10" t="s">
        <v>3863</v>
      </c>
      <c r="N24" s="10" t="s">
        <v>3864</v>
      </c>
      <c r="O24" s="10" t="s">
        <v>3865</v>
      </c>
      <c r="P24" s="10" t="s">
        <v>1327</v>
      </c>
      <c r="Q24" s="10" t="s">
        <v>3866</v>
      </c>
      <c r="R24" s="10" t="s">
        <v>3867</v>
      </c>
      <c r="S24" s="10" t="s">
        <v>1302</v>
      </c>
      <c r="T24" s="10" t="s">
        <v>3868</v>
      </c>
      <c r="U24" s="10" t="s">
        <v>3869</v>
      </c>
      <c r="V24" s="108"/>
      <c r="W24" s="10" t="s">
        <v>3870</v>
      </c>
      <c r="X24" s="10" t="s">
        <v>3871</v>
      </c>
      <c r="Y24" s="10" t="s">
        <v>3872</v>
      </c>
      <c r="Z24" s="10" t="s">
        <v>3834</v>
      </c>
      <c r="AA24" s="10" t="s">
        <v>3873</v>
      </c>
      <c r="AB24" s="10" t="s">
        <v>3874</v>
      </c>
      <c r="AC24" s="10" t="s">
        <v>3875</v>
      </c>
      <c r="AD24" s="10" t="s">
        <v>3876</v>
      </c>
      <c r="AE24" s="10" t="s">
        <v>3805</v>
      </c>
      <c r="AF24" s="10" t="s">
        <v>3877</v>
      </c>
      <c r="AG24" s="10" t="s">
        <v>3878</v>
      </c>
      <c r="AH24" s="10" t="s">
        <v>3834</v>
      </c>
      <c r="AI24" s="10" t="s">
        <v>3879</v>
      </c>
      <c r="AJ24" s="10" t="s">
        <v>3880</v>
      </c>
      <c r="AK24" s="10" t="s">
        <v>3881</v>
      </c>
      <c r="AL24" s="10" t="s">
        <v>3803</v>
      </c>
      <c r="AM24" s="10" t="s">
        <v>3882</v>
      </c>
      <c r="AN24" s="10" t="s">
        <v>3883</v>
      </c>
      <c r="AO24" s="10" t="s">
        <v>3884</v>
      </c>
      <c r="AP24" s="10" t="s">
        <v>3834</v>
      </c>
      <c r="AQ24" s="10" t="s">
        <v>3834</v>
      </c>
      <c r="AR24" s="10" t="s">
        <v>3885</v>
      </c>
      <c r="AS24" s="10" t="s">
        <v>3886</v>
      </c>
      <c r="AT24" s="10" t="s">
        <v>3887</v>
      </c>
      <c r="AU24" s="10" t="s">
        <v>3888</v>
      </c>
      <c r="AV24" s="10" t="s">
        <v>3889</v>
      </c>
      <c r="AW24" s="10" t="s">
        <v>3890</v>
      </c>
      <c r="AX24" s="10" t="s">
        <v>3891</v>
      </c>
      <c r="AY24" s="10" t="s">
        <v>3892</v>
      </c>
      <c r="AZ24" s="10" t="s">
        <v>3893</v>
      </c>
      <c r="BA24" s="10" t="s">
        <v>3894</v>
      </c>
      <c r="BB24" s="10" t="s">
        <v>3895</v>
      </c>
      <c r="BC24" s="10" t="s">
        <v>3896</v>
      </c>
      <c r="BD24" s="10" t="s">
        <v>3840</v>
      </c>
      <c r="BE24" s="10" t="s">
        <v>3897</v>
      </c>
      <c r="BF24" s="10" t="s">
        <v>3803</v>
      </c>
      <c r="BG24" s="10" t="s">
        <v>3803</v>
      </c>
      <c r="BH24" s="10" t="s">
        <v>3898</v>
      </c>
      <c r="BI24" s="10" t="s">
        <v>3834</v>
      </c>
      <c r="BJ24" s="10" t="s">
        <v>3899</v>
      </c>
      <c r="BK24" s="10" t="s">
        <v>3900</v>
      </c>
      <c r="BL24" s="10" t="s">
        <v>3901</v>
      </c>
      <c r="BM24" s="10" t="s">
        <v>3902</v>
      </c>
      <c r="BN24" s="10" t="s">
        <v>3903</v>
      </c>
    </row>
    <row r="25" ht="15.75" customHeight="1">
      <c r="A25" s="14" t="s">
        <v>783</v>
      </c>
      <c r="B25" s="14"/>
      <c r="C25" s="14">
        <v>11.0</v>
      </c>
      <c r="D25" s="14">
        <v>11.0</v>
      </c>
      <c r="E25" s="14">
        <v>11.0</v>
      </c>
      <c r="F25" s="14">
        <v>11.0</v>
      </c>
      <c r="G25" s="14">
        <v>12.0</v>
      </c>
      <c r="H25" s="14">
        <v>11.0</v>
      </c>
      <c r="I25" s="148"/>
      <c r="J25" s="14">
        <v>9.0</v>
      </c>
      <c r="K25" s="14">
        <v>11.0</v>
      </c>
      <c r="L25" s="14">
        <v>11.0</v>
      </c>
      <c r="M25" s="14">
        <v>10.0</v>
      </c>
      <c r="N25" s="14">
        <v>11.5</v>
      </c>
      <c r="O25" s="14">
        <v>9.0</v>
      </c>
      <c r="P25" s="14">
        <v>10.0</v>
      </c>
      <c r="Q25" s="14">
        <v>9.0</v>
      </c>
      <c r="R25" s="14">
        <v>9.0</v>
      </c>
      <c r="S25" s="14">
        <v>10.0</v>
      </c>
      <c r="T25" s="14">
        <v>8.5</v>
      </c>
      <c r="U25" s="14">
        <v>10.0</v>
      </c>
      <c r="V25" s="148"/>
      <c r="W25" s="14">
        <v>10.0</v>
      </c>
      <c r="X25" s="14">
        <v>10.0</v>
      </c>
      <c r="Y25" s="14">
        <v>11.0</v>
      </c>
      <c r="Z25" s="14">
        <v>10.0</v>
      </c>
      <c r="AA25" s="14">
        <v>11.0</v>
      </c>
      <c r="AB25" s="14">
        <v>11.0</v>
      </c>
      <c r="AC25" s="14">
        <v>11.0</v>
      </c>
      <c r="AD25" s="14">
        <v>11.0</v>
      </c>
      <c r="AE25" s="14">
        <v>11.0</v>
      </c>
      <c r="AF25" s="14">
        <v>11.0</v>
      </c>
      <c r="AG25" s="14">
        <v>11.0</v>
      </c>
      <c r="AH25" s="14">
        <v>12.5</v>
      </c>
      <c r="AI25" s="14">
        <v>10.5</v>
      </c>
      <c r="AJ25" s="14">
        <v>10.5</v>
      </c>
      <c r="AK25" s="14">
        <v>11.5</v>
      </c>
      <c r="AL25" s="14">
        <v>10.5</v>
      </c>
      <c r="AM25" s="14">
        <v>9.0</v>
      </c>
      <c r="AN25" s="14">
        <v>14.5</v>
      </c>
      <c r="AO25" s="14">
        <v>13.5</v>
      </c>
      <c r="AP25" s="14">
        <v>12.5</v>
      </c>
      <c r="AQ25" s="14">
        <v>12.5</v>
      </c>
      <c r="AR25" s="14">
        <v>9.0</v>
      </c>
      <c r="AS25" s="14">
        <v>8.0</v>
      </c>
      <c r="AT25" s="14">
        <v>9.0</v>
      </c>
      <c r="AU25" s="14">
        <v>9.0</v>
      </c>
      <c r="AV25" s="14">
        <v>9.0</v>
      </c>
      <c r="AW25" s="14">
        <v>9.0</v>
      </c>
      <c r="AX25" s="14">
        <v>9.0</v>
      </c>
      <c r="AY25" s="14">
        <v>9.0</v>
      </c>
      <c r="AZ25" s="14">
        <v>9.0</v>
      </c>
      <c r="BA25" s="14">
        <v>9.0</v>
      </c>
      <c r="BB25" s="14">
        <v>9.5</v>
      </c>
      <c r="BC25" s="14">
        <v>12.5</v>
      </c>
      <c r="BD25" s="14">
        <v>12.5</v>
      </c>
      <c r="BE25" s="14">
        <v>9.0</v>
      </c>
      <c r="BF25" s="14">
        <v>12.5</v>
      </c>
      <c r="BG25" s="14">
        <v>12.5</v>
      </c>
      <c r="BH25" s="14">
        <v>11.5</v>
      </c>
      <c r="BI25" s="14">
        <v>10.5</v>
      </c>
      <c r="BJ25" s="14">
        <v>9.0</v>
      </c>
      <c r="BK25" s="14">
        <v>12.5</v>
      </c>
      <c r="BL25" s="14">
        <v>12.5</v>
      </c>
      <c r="BM25" s="14">
        <v>12.0</v>
      </c>
      <c r="BN25" s="14">
        <v>12.0</v>
      </c>
    </row>
    <row r="26" ht="15.75" customHeight="1">
      <c r="A26" s="27">
        <v>45231.0</v>
      </c>
      <c r="B26" s="10" t="s">
        <v>3904</v>
      </c>
      <c r="C26" s="10" t="s">
        <v>3905</v>
      </c>
      <c r="D26" s="10" t="s">
        <v>3906</v>
      </c>
      <c r="E26" s="10" t="s">
        <v>3907</v>
      </c>
      <c r="F26" s="10" t="s">
        <v>3908</v>
      </c>
      <c r="G26" s="10" t="s">
        <v>3909</v>
      </c>
      <c r="H26" s="10" t="s">
        <v>3910</v>
      </c>
      <c r="I26" s="108"/>
      <c r="J26" s="10" t="s">
        <v>3911</v>
      </c>
      <c r="K26" s="10" t="s">
        <v>3912</v>
      </c>
      <c r="L26" s="10" t="s">
        <v>3913</v>
      </c>
      <c r="M26" s="10" t="s">
        <v>3914</v>
      </c>
      <c r="N26" s="108" t="s">
        <v>3897</v>
      </c>
      <c r="O26" s="10" t="s">
        <v>3915</v>
      </c>
      <c r="P26" s="10" t="s">
        <v>3916</v>
      </c>
      <c r="Q26" s="10" t="s">
        <v>3917</v>
      </c>
      <c r="R26" s="10" t="s">
        <v>3918</v>
      </c>
      <c r="S26" s="10" t="s">
        <v>3919</v>
      </c>
      <c r="T26" s="10" t="s">
        <v>3920</v>
      </c>
      <c r="U26" s="10" t="s">
        <v>3921</v>
      </c>
      <c r="V26" s="108"/>
      <c r="W26" s="10" t="s">
        <v>3922</v>
      </c>
      <c r="X26" s="10" t="s">
        <v>3923</v>
      </c>
      <c r="Y26" s="10" t="s">
        <v>3924</v>
      </c>
      <c r="Z26" s="10" t="s">
        <v>3925</v>
      </c>
      <c r="AA26" s="10" t="s">
        <v>3926</v>
      </c>
      <c r="AB26" s="10" t="s">
        <v>3927</v>
      </c>
      <c r="AC26" s="10" t="s">
        <v>3928</v>
      </c>
      <c r="AD26" s="10" t="s">
        <v>3929</v>
      </c>
      <c r="AE26" s="108" t="s">
        <v>3930</v>
      </c>
      <c r="AF26" s="10" t="s">
        <v>3931</v>
      </c>
      <c r="AG26" s="10" t="s">
        <v>3932</v>
      </c>
      <c r="AH26" s="10" t="s">
        <v>3933</v>
      </c>
      <c r="AI26" s="84" t="s">
        <v>3934</v>
      </c>
      <c r="AJ26" s="10" t="s">
        <v>3935</v>
      </c>
      <c r="AK26" s="10" t="s">
        <v>3936</v>
      </c>
      <c r="AL26" s="10" t="s">
        <v>3937</v>
      </c>
      <c r="AM26" s="10" t="s">
        <v>3938</v>
      </c>
      <c r="AN26" s="10" t="s">
        <v>3939</v>
      </c>
      <c r="AO26" s="10" t="s">
        <v>3940</v>
      </c>
      <c r="AP26" s="10" t="s">
        <v>3941</v>
      </c>
      <c r="AQ26" s="10" t="s">
        <v>3942</v>
      </c>
      <c r="AR26" s="10" t="s">
        <v>3943</v>
      </c>
      <c r="AS26" s="10" t="s">
        <v>3944</v>
      </c>
      <c r="AT26" s="10" t="s">
        <v>3945</v>
      </c>
      <c r="AU26" s="10" t="s">
        <v>3946</v>
      </c>
      <c r="AV26" s="10" t="s">
        <v>3947</v>
      </c>
      <c r="AW26" s="10" t="s">
        <v>3948</v>
      </c>
      <c r="AX26" s="10" t="s">
        <v>3949</v>
      </c>
      <c r="AY26" s="10" t="s">
        <v>3950</v>
      </c>
      <c r="AZ26" s="10" t="s">
        <v>3951</v>
      </c>
      <c r="BA26" s="10" t="s">
        <v>3952</v>
      </c>
      <c r="BB26" s="10" t="s">
        <v>3953</v>
      </c>
      <c r="BC26" s="10" t="s">
        <v>3954</v>
      </c>
      <c r="BD26" s="10" t="s">
        <v>3955</v>
      </c>
      <c r="BE26" s="10" t="s">
        <v>3956</v>
      </c>
      <c r="BF26" s="10" t="s">
        <v>3957</v>
      </c>
      <c r="BG26" s="10" t="s">
        <v>3958</v>
      </c>
      <c r="BH26" s="10" t="s">
        <v>3959</v>
      </c>
      <c r="BI26" s="10" t="s">
        <v>3960</v>
      </c>
      <c r="BJ26" s="10" t="s">
        <v>3961</v>
      </c>
      <c r="BK26" s="10" t="s">
        <v>3962</v>
      </c>
      <c r="BL26" s="10" t="s">
        <v>3963</v>
      </c>
      <c r="BM26" s="10" t="s">
        <v>3964</v>
      </c>
      <c r="BN26" s="10" t="s">
        <v>3838</v>
      </c>
    </row>
    <row r="27" ht="15.75" customHeight="1">
      <c r="A27" s="14" t="s">
        <v>837</v>
      </c>
      <c r="B27" s="14"/>
      <c r="C27" s="14">
        <v>12.0</v>
      </c>
      <c r="D27" s="14">
        <v>12.0</v>
      </c>
      <c r="E27" s="14">
        <v>12.0</v>
      </c>
      <c r="F27" s="14">
        <v>12.0</v>
      </c>
      <c r="G27" s="14">
        <v>14.0</v>
      </c>
      <c r="H27" s="14">
        <v>13.0</v>
      </c>
      <c r="I27" s="148"/>
      <c r="J27" s="14">
        <v>10.0</v>
      </c>
      <c r="K27" s="14">
        <v>12.0</v>
      </c>
      <c r="L27" s="14">
        <v>12.0</v>
      </c>
      <c r="M27" s="14">
        <v>11.0</v>
      </c>
      <c r="N27" s="148">
        <v>13.5</v>
      </c>
      <c r="O27" s="14">
        <v>11.0</v>
      </c>
      <c r="P27" s="14">
        <v>12.0</v>
      </c>
      <c r="Q27" s="14">
        <v>10.0</v>
      </c>
      <c r="R27" s="14">
        <v>10.0</v>
      </c>
      <c r="S27" s="14">
        <v>11.0</v>
      </c>
      <c r="T27" s="14">
        <v>10.5</v>
      </c>
      <c r="U27" s="14">
        <v>12.0</v>
      </c>
      <c r="V27" s="148"/>
      <c r="W27" s="14">
        <v>11.0</v>
      </c>
      <c r="X27" s="14">
        <v>11.0</v>
      </c>
      <c r="Y27" s="14">
        <v>12.0</v>
      </c>
      <c r="Z27" s="14">
        <v>12.0</v>
      </c>
      <c r="AA27" s="14">
        <v>13.0</v>
      </c>
      <c r="AB27" s="14">
        <v>13.0</v>
      </c>
      <c r="AC27" s="14">
        <v>13.0</v>
      </c>
      <c r="AD27" s="14">
        <v>13.0</v>
      </c>
      <c r="AE27" s="148">
        <v>13.0</v>
      </c>
      <c r="AF27" s="14">
        <v>13.0</v>
      </c>
      <c r="AG27" s="14">
        <v>13.0</v>
      </c>
      <c r="AH27" s="14">
        <v>13.5</v>
      </c>
      <c r="AI27" s="149">
        <v>10.5</v>
      </c>
      <c r="AJ27" s="14">
        <v>10.7</v>
      </c>
      <c r="AK27" s="14">
        <v>13.5</v>
      </c>
      <c r="AL27" s="14">
        <v>12.5</v>
      </c>
      <c r="AM27" s="14">
        <v>11.0</v>
      </c>
      <c r="AN27" s="14">
        <v>17.5</v>
      </c>
      <c r="AO27" s="14">
        <v>14.5</v>
      </c>
      <c r="AP27" s="14">
        <v>14.5</v>
      </c>
      <c r="AQ27" s="14">
        <v>13.0</v>
      </c>
      <c r="AR27" s="14">
        <v>12.0</v>
      </c>
      <c r="AS27" s="14">
        <v>10.0</v>
      </c>
      <c r="AT27" s="14">
        <v>12.0</v>
      </c>
      <c r="AU27" s="14">
        <v>11.0</v>
      </c>
      <c r="AV27" s="14">
        <v>11.0</v>
      </c>
      <c r="AW27" s="14">
        <v>11.0</v>
      </c>
      <c r="AX27" s="14">
        <v>11.0</v>
      </c>
      <c r="AY27" s="14">
        <v>11.0</v>
      </c>
      <c r="AZ27" s="14">
        <v>11.0</v>
      </c>
      <c r="BA27" s="14">
        <v>11.0</v>
      </c>
      <c r="BB27" s="14">
        <v>11.5</v>
      </c>
      <c r="BC27" s="14">
        <v>14.5</v>
      </c>
      <c r="BD27" s="14">
        <v>14.5</v>
      </c>
      <c r="BE27" s="14">
        <v>11.0</v>
      </c>
      <c r="BF27" s="14">
        <v>14.5</v>
      </c>
      <c r="BG27" s="14">
        <v>14.5</v>
      </c>
      <c r="BH27" s="14">
        <v>13.5</v>
      </c>
      <c r="BI27" s="14">
        <v>12.5</v>
      </c>
      <c r="BJ27" s="14">
        <v>11.0</v>
      </c>
      <c r="BK27" s="14">
        <v>14.5</v>
      </c>
      <c r="BL27" s="14">
        <v>13.5</v>
      </c>
      <c r="BM27" s="14">
        <v>13.0</v>
      </c>
      <c r="BN27" s="14">
        <v>13.0</v>
      </c>
    </row>
    <row r="28" ht="15.75" customHeight="1">
      <c r="A28" s="27">
        <v>45232.0</v>
      </c>
      <c r="B28" s="10" t="s">
        <v>3965</v>
      </c>
      <c r="C28" s="10" t="s">
        <v>3966</v>
      </c>
      <c r="D28" s="10" t="s">
        <v>3967</v>
      </c>
      <c r="E28" s="10" t="s">
        <v>3968</v>
      </c>
      <c r="F28" s="10" t="s">
        <v>3969</v>
      </c>
      <c r="G28" s="108" t="s">
        <v>3970</v>
      </c>
      <c r="H28" s="10" t="s">
        <v>3971</v>
      </c>
      <c r="I28" s="108"/>
      <c r="J28" s="10" t="s">
        <v>3972</v>
      </c>
      <c r="K28" s="10" t="s">
        <v>3973</v>
      </c>
      <c r="L28" s="10" t="s">
        <v>3974</v>
      </c>
      <c r="M28" s="10" t="s">
        <v>3975</v>
      </c>
      <c r="N28" s="108" t="s">
        <v>3976</v>
      </c>
      <c r="O28" s="10" t="s">
        <v>3977</v>
      </c>
      <c r="P28" s="10" t="s">
        <v>3978</v>
      </c>
      <c r="Q28" s="10" t="s">
        <v>3979</v>
      </c>
      <c r="R28" s="10" t="s">
        <v>3980</v>
      </c>
      <c r="S28" s="10" t="s">
        <v>3981</v>
      </c>
      <c r="T28" s="10" t="s">
        <v>3982</v>
      </c>
      <c r="U28" s="10" t="s">
        <v>3983</v>
      </c>
      <c r="V28" s="108"/>
      <c r="W28" s="10" t="s">
        <v>3984</v>
      </c>
      <c r="X28" s="10" t="s">
        <v>3985</v>
      </c>
      <c r="Y28" s="10" t="s">
        <v>3986</v>
      </c>
      <c r="Z28" s="10" t="s">
        <v>3987</v>
      </c>
      <c r="AA28" s="10" t="s">
        <v>3988</v>
      </c>
      <c r="AB28" s="10" t="s">
        <v>3989</v>
      </c>
      <c r="AC28" s="10" t="s">
        <v>3990</v>
      </c>
      <c r="AD28" s="10" t="s">
        <v>3991</v>
      </c>
      <c r="AE28" s="108" t="s">
        <v>3992</v>
      </c>
      <c r="AF28" s="10" t="s">
        <v>3993</v>
      </c>
      <c r="AG28" s="10" t="s">
        <v>3994</v>
      </c>
      <c r="AH28" s="10" t="s">
        <v>3995</v>
      </c>
      <c r="AI28" s="84" t="s">
        <v>3996</v>
      </c>
      <c r="AJ28" s="10" t="s">
        <v>3997</v>
      </c>
      <c r="AK28" s="10" t="s">
        <v>3998</v>
      </c>
      <c r="AL28" s="10" t="s">
        <v>3999</v>
      </c>
      <c r="AM28" s="10" t="s">
        <v>4000</v>
      </c>
      <c r="AN28" s="10" t="s">
        <v>4001</v>
      </c>
      <c r="AO28" s="10" t="s">
        <v>4002</v>
      </c>
      <c r="AP28" s="10" t="s">
        <v>4003</v>
      </c>
      <c r="AQ28" s="10" t="s">
        <v>4004</v>
      </c>
      <c r="AR28" s="108" t="s">
        <v>4005</v>
      </c>
      <c r="AS28" s="10" t="s">
        <v>4006</v>
      </c>
      <c r="AT28" s="108" t="s">
        <v>4007</v>
      </c>
      <c r="AU28" s="10" t="s">
        <v>4008</v>
      </c>
      <c r="AV28" s="10" t="s">
        <v>4009</v>
      </c>
      <c r="AW28" s="10" t="s">
        <v>4010</v>
      </c>
      <c r="AX28" s="10" t="s">
        <v>4011</v>
      </c>
      <c r="AY28" s="10" t="s">
        <v>4012</v>
      </c>
      <c r="AZ28" s="10" t="s">
        <v>4013</v>
      </c>
      <c r="BA28" s="10" t="s">
        <v>4014</v>
      </c>
      <c r="BB28" s="10" t="s">
        <v>4015</v>
      </c>
      <c r="BC28" s="10" t="s">
        <v>4016</v>
      </c>
      <c r="BD28" s="10" t="s">
        <v>4017</v>
      </c>
      <c r="BE28" s="10" t="s">
        <v>4018</v>
      </c>
      <c r="BF28" s="10" t="s">
        <v>4019</v>
      </c>
      <c r="BG28" s="10" t="s">
        <v>4020</v>
      </c>
      <c r="BH28" s="10" t="s">
        <v>4021</v>
      </c>
      <c r="BI28" s="10" t="s">
        <v>4022</v>
      </c>
      <c r="BJ28" s="10" t="s">
        <v>4023</v>
      </c>
      <c r="BK28" s="10" t="s">
        <v>4024</v>
      </c>
      <c r="BL28" s="10" t="s">
        <v>4025</v>
      </c>
      <c r="BM28" s="10" t="s">
        <v>4026</v>
      </c>
      <c r="BN28" s="10" t="s">
        <v>4027</v>
      </c>
    </row>
    <row r="29" ht="15.75" customHeight="1">
      <c r="A29" s="14" t="s">
        <v>885</v>
      </c>
      <c r="B29" s="14"/>
      <c r="C29" s="14">
        <v>13.0</v>
      </c>
      <c r="D29" s="14">
        <v>13.0</v>
      </c>
      <c r="E29" s="14">
        <v>13.0</v>
      </c>
      <c r="F29" s="14">
        <v>12.5</v>
      </c>
      <c r="G29" s="148">
        <v>15.0</v>
      </c>
      <c r="H29" s="14">
        <v>15.0</v>
      </c>
      <c r="I29" s="148"/>
      <c r="J29" s="14">
        <v>12.0</v>
      </c>
      <c r="K29" s="14">
        <v>13.0</v>
      </c>
      <c r="L29" s="14">
        <v>13.5</v>
      </c>
      <c r="M29" s="14">
        <v>13.0</v>
      </c>
      <c r="N29" s="148">
        <v>15.5</v>
      </c>
      <c r="O29" s="14">
        <v>12.0</v>
      </c>
      <c r="P29" s="14">
        <v>13.0</v>
      </c>
      <c r="Q29" s="14">
        <v>11.5</v>
      </c>
      <c r="R29" s="14">
        <v>10.5</v>
      </c>
      <c r="S29" s="14">
        <v>12.0</v>
      </c>
      <c r="T29" s="14">
        <v>11.5</v>
      </c>
      <c r="U29" s="14">
        <v>13.0</v>
      </c>
      <c r="V29" s="148"/>
      <c r="W29" s="14">
        <v>11.5</v>
      </c>
      <c r="X29" s="14">
        <v>12.0</v>
      </c>
      <c r="Y29" s="14">
        <v>13.5</v>
      </c>
      <c r="Z29" s="14">
        <v>14.0</v>
      </c>
      <c r="AA29" s="14">
        <v>13.5</v>
      </c>
      <c r="AB29" s="14">
        <v>13.5</v>
      </c>
      <c r="AC29" s="14">
        <v>14.5</v>
      </c>
      <c r="AD29" s="14">
        <v>14.5</v>
      </c>
      <c r="AE29" s="148">
        <v>15.0</v>
      </c>
      <c r="AF29" s="14">
        <v>13.5</v>
      </c>
      <c r="AG29" s="14">
        <v>15.0</v>
      </c>
      <c r="AH29" s="14">
        <v>14.75</v>
      </c>
      <c r="AI29" s="149"/>
      <c r="AJ29" s="14">
        <v>11.0</v>
      </c>
      <c r="AK29" s="14"/>
      <c r="AL29" s="14">
        <v>14.5</v>
      </c>
      <c r="AM29" s="14">
        <v>13.0</v>
      </c>
      <c r="AN29" s="14">
        <v>19.5</v>
      </c>
      <c r="AO29" s="14">
        <v>16.5</v>
      </c>
      <c r="AP29" s="14">
        <v>16.5</v>
      </c>
      <c r="AQ29" s="14">
        <v>14.5</v>
      </c>
      <c r="AR29" s="148"/>
      <c r="AS29" s="14">
        <v>11.0</v>
      </c>
      <c r="AT29" s="148"/>
      <c r="AU29" s="14">
        <v>13.0</v>
      </c>
      <c r="AV29" s="148"/>
      <c r="AW29" s="14">
        <v>13.0</v>
      </c>
      <c r="AX29" s="14">
        <v>13.0</v>
      </c>
      <c r="AY29" s="14">
        <v>12.5</v>
      </c>
      <c r="AZ29" s="14">
        <v>11.0</v>
      </c>
      <c r="BA29" s="14">
        <v>13.0</v>
      </c>
      <c r="BB29" s="14">
        <v>13.5</v>
      </c>
      <c r="BC29" s="14">
        <v>16.5</v>
      </c>
      <c r="BD29" s="14">
        <v>16.5</v>
      </c>
      <c r="BE29" s="148">
        <v>13.0</v>
      </c>
      <c r="BF29" s="148">
        <v>16.5</v>
      </c>
      <c r="BG29" s="14">
        <v>16.5</v>
      </c>
      <c r="BH29" s="14">
        <v>15.5</v>
      </c>
      <c r="BI29" s="148">
        <v>14.5</v>
      </c>
      <c r="BJ29" s="148">
        <v>13.0</v>
      </c>
      <c r="BK29" s="148">
        <v>16.5</v>
      </c>
      <c r="BL29" s="14">
        <v>14.5</v>
      </c>
      <c r="BM29" s="14">
        <v>13.75</v>
      </c>
      <c r="BN29" s="14">
        <v>13.25</v>
      </c>
    </row>
    <row r="30" ht="15.75" customHeight="1">
      <c r="A30" s="27">
        <v>45233.0</v>
      </c>
      <c r="B30" s="10" t="s">
        <v>4028</v>
      </c>
      <c r="C30" s="10" t="s">
        <v>4029</v>
      </c>
      <c r="D30" s="10" t="s">
        <v>4030</v>
      </c>
      <c r="E30" s="10" t="s">
        <v>4030</v>
      </c>
      <c r="F30" s="10" t="s">
        <v>4031</v>
      </c>
      <c r="G30" s="108" t="s">
        <v>4032</v>
      </c>
      <c r="H30" s="10" t="s">
        <v>4033</v>
      </c>
      <c r="I30" s="108"/>
      <c r="J30" s="10" t="s">
        <v>4034</v>
      </c>
      <c r="K30" s="10" t="s">
        <v>4035</v>
      </c>
      <c r="L30" s="10" t="s">
        <v>4036</v>
      </c>
      <c r="M30" s="10" t="s">
        <v>4037</v>
      </c>
      <c r="N30" s="108" t="s">
        <v>4038</v>
      </c>
      <c r="O30" s="10" t="s">
        <v>4039</v>
      </c>
      <c r="P30" s="10" t="s">
        <v>4040</v>
      </c>
      <c r="Q30" s="10" t="s">
        <v>4041</v>
      </c>
      <c r="R30" s="10" t="s">
        <v>4042</v>
      </c>
      <c r="S30" s="10" t="s">
        <v>4043</v>
      </c>
      <c r="T30" s="10" t="s">
        <v>4044</v>
      </c>
      <c r="U30" s="10" t="s">
        <v>4045</v>
      </c>
      <c r="V30" s="108"/>
      <c r="W30" s="10" t="s">
        <v>4046</v>
      </c>
      <c r="X30" s="10" t="s">
        <v>4047</v>
      </c>
      <c r="Y30" s="10" t="s">
        <v>4048</v>
      </c>
      <c r="Z30" s="10" t="s">
        <v>4049</v>
      </c>
      <c r="AA30" s="10" t="s">
        <v>4050</v>
      </c>
      <c r="AB30" s="10" t="s">
        <v>4051</v>
      </c>
      <c r="AC30" s="10" t="s">
        <v>4052</v>
      </c>
      <c r="AD30" s="10" t="s">
        <v>4053</v>
      </c>
      <c r="AE30" s="108" t="s">
        <v>4054</v>
      </c>
      <c r="AF30" s="10" t="s">
        <v>1577</v>
      </c>
      <c r="AG30" s="10" t="s">
        <v>4055</v>
      </c>
      <c r="AH30" s="10" t="s">
        <v>4056</v>
      </c>
      <c r="AI30" s="84" t="s">
        <v>4057</v>
      </c>
      <c r="AJ30" s="10" t="s">
        <v>4058</v>
      </c>
      <c r="AK30" s="108" t="s">
        <v>4059</v>
      </c>
      <c r="AL30" s="10" t="s">
        <v>4060</v>
      </c>
      <c r="AM30" s="10" t="s">
        <v>4061</v>
      </c>
      <c r="AN30" s="108" t="s">
        <v>4062</v>
      </c>
      <c r="AO30" s="10" t="s">
        <v>4063</v>
      </c>
      <c r="AP30" s="10" t="s">
        <v>4064</v>
      </c>
      <c r="AQ30" s="86" t="s">
        <v>4065</v>
      </c>
      <c r="AR30" s="108" t="s">
        <v>4066</v>
      </c>
      <c r="AS30" s="10" t="s">
        <v>4067</v>
      </c>
      <c r="AT30" s="108" t="s">
        <v>4068</v>
      </c>
      <c r="AU30" s="10" t="s">
        <v>4069</v>
      </c>
      <c r="AV30" s="108" t="s">
        <v>4070</v>
      </c>
      <c r="AW30" s="10" t="s">
        <v>4071</v>
      </c>
      <c r="AX30" s="10" t="s">
        <v>4072</v>
      </c>
      <c r="AY30" s="10" t="s">
        <v>4073</v>
      </c>
      <c r="AZ30" s="10" t="s">
        <v>4074</v>
      </c>
      <c r="BA30" s="10" t="s">
        <v>4075</v>
      </c>
      <c r="BB30" s="10" t="s">
        <v>4076</v>
      </c>
      <c r="BC30" s="10" t="s">
        <v>4077</v>
      </c>
      <c r="BD30" s="10" t="s">
        <v>4078</v>
      </c>
      <c r="BE30" s="108" t="s">
        <v>4079</v>
      </c>
      <c r="BF30" s="108" t="s">
        <v>4080</v>
      </c>
      <c r="BG30" s="10" t="s">
        <v>4081</v>
      </c>
      <c r="BH30" s="10" t="s">
        <v>4082</v>
      </c>
      <c r="BI30" s="108" t="s">
        <v>4083</v>
      </c>
      <c r="BJ30" s="108" t="s">
        <v>4084</v>
      </c>
      <c r="BK30" s="108" t="s">
        <v>4005</v>
      </c>
      <c r="BL30" s="10" t="s">
        <v>4085</v>
      </c>
      <c r="BM30" s="10" t="s">
        <v>4086</v>
      </c>
      <c r="BN30" s="10" t="s">
        <v>4087</v>
      </c>
    </row>
    <row r="31" ht="15.75" customHeight="1">
      <c r="A31" s="14" t="s">
        <v>4088</v>
      </c>
      <c r="B31" s="14"/>
      <c r="C31" s="14"/>
      <c r="D31" s="14"/>
      <c r="E31" s="14"/>
      <c r="F31" s="14"/>
      <c r="G31" s="148"/>
      <c r="H31" s="14"/>
      <c r="I31" s="148"/>
      <c r="J31" s="14"/>
      <c r="K31" s="14"/>
      <c r="L31" s="14"/>
      <c r="M31" s="14"/>
      <c r="N31" s="148"/>
      <c r="O31" s="14"/>
      <c r="P31" s="14"/>
      <c r="Q31" s="14"/>
      <c r="R31" s="150"/>
      <c r="S31" s="14"/>
      <c r="T31" s="14"/>
      <c r="U31" s="14"/>
      <c r="V31" s="148"/>
      <c r="W31" s="14"/>
      <c r="X31" s="14"/>
      <c r="Y31" s="14"/>
      <c r="Z31" s="14"/>
      <c r="AA31" s="14"/>
      <c r="AB31" s="14"/>
      <c r="AC31" s="14"/>
      <c r="AD31" s="14"/>
      <c r="AE31" s="148"/>
      <c r="AF31" s="14"/>
      <c r="AG31" s="148">
        <v>17.0</v>
      </c>
      <c r="AH31" s="14"/>
      <c r="AI31" s="149"/>
      <c r="AJ31" s="14"/>
      <c r="AK31" s="148"/>
      <c r="AL31" s="14">
        <v>16.5</v>
      </c>
      <c r="AM31" s="148"/>
      <c r="AN31" s="148"/>
      <c r="AO31" s="148"/>
      <c r="AP31" s="148"/>
      <c r="AQ31" s="151"/>
      <c r="AR31" s="148"/>
      <c r="AS31" s="14"/>
      <c r="AT31" s="148"/>
      <c r="AU31" s="14"/>
      <c r="AV31" s="148"/>
      <c r="AW31" s="14">
        <v>15.0</v>
      </c>
      <c r="AX31" s="14">
        <v>15.0</v>
      </c>
      <c r="AY31" s="14">
        <v>13.5</v>
      </c>
      <c r="AZ31" s="14">
        <v>13.0</v>
      </c>
      <c r="BA31" s="14">
        <v>15.0</v>
      </c>
      <c r="BB31" s="148"/>
      <c r="BC31" s="14">
        <v>18.5</v>
      </c>
      <c r="BD31" s="14">
        <v>18.5</v>
      </c>
      <c r="BE31" s="148">
        <v>15.0</v>
      </c>
      <c r="BF31" s="148">
        <v>18.5</v>
      </c>
      <c r="BG31" s="14">
        <v>18.5</v>
      </c>
      <c r="BH31" s="14">
        <v>17.5</v>
      </c>
      <c r="BI31" s="148">
        <v>16.5</v>
      </c>
      <c r="BJ31" s="148">
        <v>15.0</v>
      </c>
      <c r="BK31" s="148">
        <v>18.5</v>
      </c>
      <c r="BL31" s="14">
        <v>16.5</v>
      </c>
      <c r="BM31" s="14"/>
      <c r="BN31" s="14"/>
    </row>
    <row r="32" ht="15.75" customHeight="1">
      <c r="A32" s="27">
        <v>45235.0</v>
      </c>
      <c r="B32" s="10" t="s">
        <v>4089</v>
      </c>
      <c r="C32" s="10" t="s">
        <v>4090</v>
      </c>
      <c r="D32" s="10" t="s">
        <v>4091</v>
      </c>
      <c r="E32" s="10" t="s">
        <v>4092</v>
      </c>
      <c r="F32" s="10" t="s">
        <v>4093</v>
      </c>
      <c r="G32" s="108" t="s">
        <v>4094</v>
      </c>
      <c r="H32" s="10" t="s">
        <v>4095</v>
      </c>
      <c r="I32" s="108"/>
      <c r="J32" s="10" t="s">
        <v>4030</v>
      </c>
      <c r="K32" s="10" t="s">
        <v>4096</v>
      </c>
      <c r="L32" s="10" t="s">
        <v>4097</v>
      </c>
      <c r="M32" s="10" t="s">
        <v>4098</v>
      </c>
      <c r="N32" s="108"/>
      <c r="O32" s="10" t="s">
        <v>4099</v>
      </c>
      <c r="P32" s="10" t="s">
        <v>4100</v>
      </c>
      <c r="Q32" s="10" t="s">
        <v>4101</v>
      </c>
      <c r="R32" s="112" t="s">
        <v>4102</v>
      </c>
      <c r="S32" s="10" t="s">
        <v>4103</v>
      </c>
      <c r="T32" s="10" t="s">
        <v>4104</v>
      </c>
      <c r="U32" s="10" t="s">
        <v>4105</v>
      </c>
      <c r="V32" s="108"/>
      <c r="W32" s="10" t="s">
        <v>4106</v>
      </c>
      <c r="X32" s="10" t="s">
        <v>4107</v>
      </c>
      <c r="Y32" s="10" t="s">
        <v>4108</v>
      </c>
      <c r="Z32" s="108" t="s">
        <v>4109</v>
      </c>
      <c r="AA32" s="10" t="s">
        <v>4110</v>
      </c>
      <c r="AB32" s="10" t="s">
        <v>4111</v>
      </c>
      <c r="AC32" s="10" t="s">
        <v>4112</v>
      </c>
      <c r="AD32" s="10" t="s">
        <v>4113</v>
      </c>
      <c r="AE32" s="108"/>
      <c r="AF32" s="10" t="s">
        <v>4114</v>
      </c>
      <c r="AG32" s="108"/>
      <c r="AH32" s="10" t="s">
        <v>4115</v>
      </c>
      <c r="AI32" s="84" t="s">
        <v>4116</v>
      </c>
      <c r="AJ32" s="84" t="s">
        <v>4117</v>
      </c>
      <c r="AK32" s="108"/>
      <c r="AL32" s="108"/>
      <c r="AM32" s="108"/>
      <c r="AN32" s="108"/>
      <c r="AO32" s="108"/>
      <c r="AP32" s="108"/>
      <c r="AQ32" s="86" t="s">
        <v>4118</v>
      </c>
      <c r="AR32" s="108"/>
      <c r="AS32" s="10" t="s">
        <v>4119</v>
      </c>
      <c r="AT32" s="108"/>
      <c r="AU32" s="108"/>
      <c r="AV32" s="108"/>
      <c r="AW32" s="108"/>
      <c r="AX32" s="108"/>
      <c r="AY32" s="10" t="s">
        <v>4120</v>
      </c>
      <c r="AZ32" s="10" t="s">
        <v>4121</v>
      </c>
      <c r="BA32" s="10" t="s">
        <v>4121</v>
      </c>
      <c r="BB32" s="108"/>
      <c r="BC32" s="10" t="s">
        <v>4122</v>
      </c>
      <c r="BD32" s="10" t="s">
        <v>4123</v>
      </c>
      <c r="BE32" s="108"/>
      <c r="BF32" s="108"/>
      <c r="BG32" s="108"/>
      <c r="BH32" s="108"/>
      <c r="BI32" s="108"/>
      <c r="BJ32" s="108"/>
      <c r="BK32" s="108"/>
      <c r="BL32" s="10" t="s">
        <v>4124</v>
      </c>
      <c r="BM32" s="10" t="s">
        <v>4125</v>
      </c>
      <c r="BN32" s="84" t="s">
        <v>4126</v>
      </c>
    </row>
    <row r="33" ht="15.75" customHeight="1">
      <c r="A33" s="14" t="s">
        <v>4127</v>
      </c>
      <c r="B33" s="14"/>
      <c r="C33" s="14"/>
      <c r="D33" s="14"/>
      <c r="E33" s="14"/>
      <c r="F33" s="14"/>
      <c r="G33" s="148"/>
      <c r="H33" s="14"/>
      <c r="I33" s="148"/>
      <c r="J33" s="14"/>
      <c r="K33" s="14"/>
      <c r="L33" s="14"/>
      <c r="M33" s="14"/>
      <c r="N33" s="148"/>
      <c r="O33" s="14"/>
      <c r="P33" s="14"/>
      <c r="Q33" s="14"/>
      <c r="R33" s="150"/>
      <c r="S33" s="14"/>
      <c r="T33" s="14"/>
      <c r="U33" s="14"/>
      <c r="V33" s="148"/>
      <c r="W33" s="14"/>
      <c r="X33" s="14"/>
      <c r="Y33" s="14"/>
      <c r="Z33" s="148"/>
      <c r="AA33" s="14"/>
      <c r="AB33" s="14"/>
      <c r="AC33" s="14"/>
      <c r="AD33" s="14"/>
      <c r="AE33" s="148"/>
      <c r="AF33" s="14"/>
      <c r="AG33" s="148"/>
      <c r="AH33" s="14"/>
      <c r="AI33" s="149"/>
      <c r="AJ33" s="149"/>
      <c r="AK33" s="148"/>
      <c r="AL33" s="148"/>
      <c r="AM33" s="148"/>
      <c r="AN33" s="148"/>
      <c r="AO33" s="148"/>
      <c r="AP33" s="148"/>
      <c r="AQ33" s="151"/>
      <c r="AR33" s="148"/>
      <c r="AS33" s="14"/>
      <c r="AT33" s="148"/>
      <c r="AU33" s="148"/>
      <c r="AV33" s="148"/>
      <c r="AW33" s="148"/>
      <c r="AX33" s="148"/>
      <c r="AY33" s="14"/>
      <c r="AZ33" s="14">
        <v>15.0</v>
      </c>
      <c r="BA33" s="14">
        <v>17.0</v>
      </c>
      <c r="BB33" s="148"/>
      <c r="BC33" s="14">
        <v>20.5</v>
      </c>
      <c r="BD33" s="14"/>
      <c r="BE33" s="148"/>
      <c r="BF33" s="148"/>
      <c r="BG33" s="148"/>
      <c r="BH33" s="148"/>
      <c r="BI33" s="148"/>
      <c r="BJ33" s="148"/>
      <c r="BK33" s="148"/>
      <c r="BL33" s="148"/>
      <c r="BM33" s="148"/>
      <c r="BN33" s="149"/>
    </row>
    <row r="34" ht="15.75" customHeight="1">
      <c r="A34" s="27">
        <v>45236.0</v>
      </c>
      <c r="B34" s="10"/>
      <c r="C34" s="10" t="s">
        <v>4128</v>
      </c>
      <c r="D34" s="10" t="s">
        <v>4129</v>
      </c>
      <c r="E34" s="10" t="s">
        <v>4130</v>
      </c>
      <c r="F34" s="10" t="s">
        <v>4131</v>
      </c>
      <c r="G34" s="108" t="s">
        <v>4132</v>
      </c>
      <c r="H34" s="10" t="s">
        <v>4133</v>
      </c>
      <c r="I34" s="108"/>
      <c r="J34" s="10" t="s">
        <v>1529</v>
      </c>
      <c r="K34" s="10" t="s">
        <v>4134</v>
      </c>
      <c r="L34" s="10" t="s">
        <v>4135</v>
      </c>
      <c r="M34" s="10" t="s">
        <v>4136</v>
      </c>
      <c r="N34" s="108"/>
      <c r="O34" s="10" t="s">
        <v>4137</v>
      </c>
      <c r="P34" s="10" t="s">
        <v>4138</v>
      </c>
      <c r="Q34" s="10" t="s">
        <v>4139</v>
      </c>
      <c r="R34" s="152" t="s">
        <v>4140</v>
      </c>
      <c r="S34" s="10" t="s">
        <v>4141</v>
      </c>
      <c r="T34" s="10" t="s">
        <v>4142</v>
      </c>
      <c r="U34" s="10" t="s">
        <v>4143</v>
      </c>
      <c r="V34" s="108"/>
      <c r="W34" s="10" t="s">
        <v>4144</v>
      </c>
      <c r="X34" s="10" t="s">
        <v>4145</v>
      </c>
      <c r="Y34" s="10" t="s">
        <v>4146</v>
      </c>
      <c r="Z34" s="108" t="s">
        <v>4147</v>
      </c>
      <c r="AA34" s="10" t="s">
        <v>4148</v>
      </c>
      <c r="AB34" s="10" t="s">
        <v>4149</v>
      </c>
      <c r="AC34" s="10" t="s">
        <v>4150</v>
      </c>
      <c r="AD34" s="10" t="s">
        <v>4151</v>
      </c>
      <c r="AE34" s="108"/>
      <c r="AF34" s="10" t="s">
        <v>4152</v>
      </c>
      <c r="AG34" s="108"/>
      <c r="AH34" s="10" t="s">
        <v>4153</v>
      </c>
      <c r="AI34" s="84" t="s">
        <v>4154</v>
      </c>
      <c r="AJ34" s="84" t="s">
        <v>4155</v>
      </c>
      <c r="AK34" s="108"/>
      <c r="AL34" s="108"/>
      <c r="AM34" s="108"/>
      <c r="AN34" s="108"/>
      <c r="AO34" s="108"/>
      <c r="AP34" s="108"/>
      <c r="AQ34" s="86"/>
      <c r="AR34" s="108"/>
      <c r="AS34" s="10" t="s">
        <v>4156</v>
      </c>
      <c r="AT34" s="108"/>
      <c r="AU34" s="108"/>
      <c r="AV34" s="108"/>
      <c r="AW34" s="108"/>
      <c r="AX34" s="108"/>
      <c r="AY34" s="10" t="s">
        <v>4157</v>
      </c>
      <c r="AZ34" s="108"/>
      <c r="BA34" s="108"/>
      <c r="BB34" s="108"/>
      <c r="BC34" s="108"/>
      <c r="BD34" s="108"/>
      <c r="BE34" s="108"/>
      <c r="BF34" s="108"/>
      <c r="BG34" s="108"/>
      <c r="BH34" s="108"/>
      <c r="BI34" s="108"/>
      <c r="BJ34" s="108"/>
      <c r="BK34" s="108"/>
      <c r="BL34" s="108"/>
      <c r="BM34" s="108"/>
      <c r="BN34" s="84" t="s">
        <v>4158</v>
      </c>
    </row>
    <row r="35" ht="15.75" customHeight="1">
      <c r="A35" s="14" t="s">
        <v>4159</v>
      </c>
      <c r="B35" s="14"/>
      <c r="C35" s="14"/>
      <c r="D35" s="14"/>
      <c r="E35" s="14"/>
      <c r="F35" s="14"/>
      <c r="G35" s="148"/>
      <c r="H35" s="14"/>
      <c r="I35" s="148"/>
      <c r="J35" s="14"/>
      <c r="K35" s="14"/>
      <c r="L35" s="14"/>
      <c r="M35" s="14"/>
      <c r="N35" s="148"/>
      <c r="O35" s="14"/>
      <c r="P35" s="14"/>
      <c r="Q35" s="14"/>
      <c r="R35" s="153">
        <v>11.5</v>
      </c>
      <c r="S35" s="14"/>
      <c r="T35" s="14"/>
      <c r="U35" s="14"/>
      <c r="V35" s="148"/>
      <c r="W35" s="14"/>
      <c r="X35" s="14"/>
      <c r="Y35" s="14"/>
      <c r="Z35" s="148"/>
      <c r="AA35" s="14"/>
      <c r="AB35" s="14"/>
      <c r="AC35" s="14"/>
      <c r="AD35" s="14"/>
      <c r="AE35" s="148"/>
      <c r="AF35" s="14"/>
      <c r="AG35" s="148"/>
      <c r="AH35" s="14"/>
      <c r="AI35" s="149"/>
      <c r="AJ35" s="149"/>
      <c r="AK35" s="148"/>
      <c r="AL35" s="148"/>
      <c r="AM35" s="148"/>
      <c r="AN35" s="148"/>
      <c r="AO35" s="148"/>
      <c r="AP35" s="148"/>
      <c r="AQ35" s="151"/>
      <c r="AR35" s="148"/>
      <c r="AS35" s="14"/>
      <c r="AT35" s="148"/>
      <c r="AU35" s="148"/>
      <c r="AV35" s="148"/>
      <c r="AW35" s="148"/>
      <c r="AX35" s="148"/>
      <c r="AY35" s="14"/>
      <c r="AZ35" s="148"/>
      <c r="BA35" s="148"/>
      <c r="BB35" s="148"/>
      <c r="BC35" s="148"/>
      <c r="BD35" s="148"/>
      <c r="BE35" s="148"/>
      <c r="BF35" s="148"/>
      <c r="BG35" s="148"/>
      <c r="BH35" s="148"/>
      <c r="BI35" s="148"/>
      <c r="BJ35" s="148"/>
      <c r="BK35" s="148"/>
      <c r="BL35" s="148"/>
      <c r="BM35" s="148"/>
      <c r="BN35" s="149"/>
    </row>
    <row r="36" ht="15.75" customHeight="1">
      <c r="A36" s="27">
        <v>45237.0</v>
      </c>
      <c r="B36" s="10"/>
      <c r="C36" s="84" t="s">
        <v>4160</v>
      </c>
      <c r="D36" s="10" t="s">
        <v>4161</v>
      </c>
      <c r="E36" s="10" t="s">
        <v>4162</v>
      </c>
      <c r="F36" s="10" t="s">
        <v>4163</v>
      </c>
      <c r="G36" s="108"/>
      <c r="H36" s="84" t="s">
        <v>4164</v>
      </c>
      <c r="I36" s="108"/>
      <c r="J36" s="84" t="s">
        <v>4165</v>
      </c>
      <c r="K36" s="10" t="s">
        <v>4166</v>
      </c>
      <c r="L36" s="10" t="s">
        <v>4167</v>
      </c>
      <c r="M36" s="10" t="s">
        <v>4168</v>
      </c>
      <c r="N36" s="108"/>
      <c r="O36" s="84" t="s">
        <v>4169</v>
      </c>
      <c r="P36" s="10" t="s">
        <v>4170</v>
      </c>
      <c r="Q36" s="10" t="s">
        <v>4171</v>
      </c>
      <c r="R36" s="152" t="s">
        <v>4172</v>
      </c>
      <c r="S36" s="84" t="s">
        <v>4173</v>
      </c>
      <c r="T36" s="84" t="s">
        <v>4174</v>
      </c>
      <c r="U36" s="10" t="s">
        <v>4175</v>
      </c>
      <c r="V36" s="108"/>
      <c r="W36" s="10" t="s">
        <v>4176</v>
      </c>
      <c r="X36" s="10" t="s">
        <v>4177</v>
      </c>
      <c r="Y36" s="10" t="s">
        <v>4178</v>
      </c>
      <c r="Z36" s="108"/>
      <c r="AA36" s="10" t="s">
        <v>4179</v>
      </c>
      <c r="AB36" s="84" t="s">
        <v>4180</v>
      </c>
      <c r="AC36" s="10" t="s">
        <v>4181</v>
      </c>
      <c r="AD36" s="84" t="s">
        <v>4182</v>
      </c>
      <c r="AE36" s="108"/>
      <c r="AF36" s="84" t="s">
        <v>4183</v>
      </c>
      <c r="AG36" s="108"/>
      <c r="AH36" s="84" t="s">
        <v>4184</v>
      </c>
      <c r="AI36" s="84" t="s">
        <v>4185</v>
      </c>
      <c r="AJ36" s="84" t="s">
        <v>4186</v>
      </c>
      <c r="AK36" s="108"/>
      <c r="AL36" s="108"/>
      <c r="AM36" s="108"/>
      <c r="AN36" s="108"/>
      <c r="AO36" s="108"/>
      <c r="AP36" s="108"/>
      <c r="AQ36" s="86"/>
      <c r="AR36" s="108"/>
      <c r="AS36" s="10" t="s">
        <v>4187</v>
      </c>
      <c r="AT36" s="108"/>
      <c r="AU36" s="108"/>
      <c r="AV36" s="108"/>
      <c r="AW36" s="108"/>
      <c r="AX36" s="108"/>
      <c r="AY36" s="10" t="s">
        <v>4188</v>
      </c>
      <c r="AZ36" s="108"/>
      <c r="BA36" s="108"/>
      <c r="BB36" s="108"/>
      <c r="BC36" s="108"/>
      <c r="BD36" s="108"/>
      <c r="BE36" s="108"/>
      <c r="BF36" s="108"/>
      <c r="BG36" s="108"/>
      <c r="BH36" s="108"/>
      <c r="BI36" s="108"/>
      <c r="BJ36" s="108"/>
      <c r="BK36" s="108"/>
      <c r="BL36" s="108"/>
      <c r="BM36" s="108"/>
      <c r="BN36" s="84" t="s">
        <v>4189</v>
      </c>
    </row>
    <row r="37" ht="15.75" customHeight="1">
      <c r="A37" s="14" t="s">
        <v>4190</v>
      </c>
      <c r="B37" s="14"/>
      <c r="C37" s="149"/>
      <c r="D37" s="14"/>
      <c r="E37" s="14"/>
      <c r="F37" s="14"/>
      <c r="G37" s="148"/>
      <c r="H37" s="149"/>
      <c r="I37" s="148"/>
      <c r="J37" s="149"/>
      <c r="K37" s="14"/>
      <c r="L37" s="14"/>
      <c r="M37" s="14"/>
      <c r="N37" s="148"/>
      <c r="O37" s="149"/>
      <c r="P37" s="14"/>
      <c r="Q37" s="14"/>
      <c r="R37" s="153">
        <v>9.5</v>
      </c>
      <c r="S37" s="149"/>
      <c r="T37" s="149"/>
      <c r="U37" s="14"/>
      <c r="V37" s="148"/>
      <c r="W37" s="14"/>
      <c r="X37" s="14"/>
      <c r="Y37" s="14"/>
      <c r="Z37" s="148"/>
      <c r="AA37" s="14"/>
      <c r="AB37" s="149"/>
      <c r="AC37" s="14"/>
      <c r="AD37" s="149"/>
      <c r="AE37" s="148"/>
      <c r="AF37" s="149"/>
      <c r="AG37" s="148"/>
      <c r="AH37" s="149"/>
      <c r="AI37" s="149"/>
      <c r="AJ37" s="149"/>
      <c r="AK37" s="148"/>
      <c r="AL37" s="148"/>
      <c r="AM37" s="148"/>
      <c r="AN37" s="148"/>
      <c r="AO37" s="148"/>
      <c r="AP37" s="148"/>
      <c r="AQ37" s="151"/>
      <c r="AR37" s="148"/>
      <c r="AS37" s="14"/>
      <c r="AT37" s="148"/>
      <c r="AU37" s="148"/>
      <c r="AV37" s="148"/>
      <c r="AW37" s="148"/>
      <c r="AX37" s="148"/>
      <c r="AY37" s="14"/>
      <c r="AZ37" s="148"/>
      <c r="BA37" s="148"/>
      <c r="BB37" s="148"/>
      <c r="BC37" s="148"/>
      <c r="BD37" s="148"/>
      <c r="BE37" s="148"/>
      <c r="BF37" s="148"/>
      <c r="BG37" s="148"/>
      <c r="BH37" s="148"/>
      <c r="BI37" s="148"/>
      <c r="BJ37" s="148"/>
      <c r="BK37" s="148"/>
      <c r="BL37" s="148"/>
      <c r="BM37" s="148"/>
      <c r="BN37" s="149"/>
    </row>
    <row r="38" ht="15.75" customHeight="1">
      <c r="A38" s="27">
        <v>45238.0</v>
      </c>
      <c r="C38" s="84" t="s">
        <v>4191</v>
      </c>
      <c r="D38" s="10" t="s">
        <v>4192</v>
      </c>
      <c r="E38" s="10" t="s">
        <v>4193</v>
      </c>
      <c r="F38" s="10" t="s">
        <v>4194</v>
      </c>
      <c r="G38" s="108"/>
      <c r="H38" s="84" t="s">
        <v>4195</v>
      </c>
      <c r="I38" s="108"/>
      <c r="J38" s="84" t="s">
        <v>4196</v>
      </c>
      <c r="K38" s="13" t="s">
        <v>4197</v>
      </c>
      <c r="L38" s="10" t="s">
        <v>4198</v>
      </c>
      <c r="M38" s="10" t="s">
        <v>4199</v>
      </c>
      <c r="N38" s="108"/>
      <c r="O38" s="84" t="s">
        <v>4200</v>
      </c>
      <c r="P38" s="10" t="s">
        <v>4201</v>
      </c>
      <c r="Q38" s="10" t="s">
        <v>4202</v>
      </c>
      <c r="R38" s="152" t="s">
        <v>4203</v>
      </c>
      <c r="S38" s="84" t="s">
        <v>4204</v>
      </c>
      <c r="T38" s="84" t="s">
        <v>4205</v>
      </c>
      <c r="U38" s="10" t="s">
        <v>4206</v>
      </c>
      <c r="V38" s="108"/>
      <c r="W38" s="10" t="s">
        <v>4207</v>
      </c>
      <c r="X38" s="10" t="s">
        <v>4208</v>
      </c>
      <c r="Y38" s="10" t="s">
        <v>4209</v>
      </c>
      <c r="Z38" s="108"/>
      <c r="AA38" s="10" t="s">
        <v>4210</v>
      </c>
      <c r="AB38" s="84" t="s">
        <v>4211</v>
      </c>
      <c r="AC38" s="10" t="s">
        <v>4212</v>
      </c>
      <c r="AD38" s="84" t="s">
        <v>4213</v>
      </c>
      <c r="AE38" s="108"/>
      <c r="AF38" s="84" t="s">
        <v>4214</v>
      </c>
      <c r="AG38" s="108"/>
      <c r="AH38" s="84" t="s">
        <v>4215</v>
      </c>
      <c r="AI38" s="84" t="s">
        <v>4216</v>
      </c>
      <c r="AJ38" s="84" t="s">
        <v>4217</v>
      </c>
      <c r="AK38" s="108"/>
      <c r="AL38" s="108"/>
      <c r="AM38" s="108"/>
      <c r="AN38" s="108"/>
      <c r="AO38" s="108"/>
      <c r="AP38" s="108"/>
      <c r="AQ38" s="86"/>
      <c r="AR38" s="108"/>
      <c r="AS38" s="10" t="s">
        <v>4218</v>
      </c>
      <c r="AT38" s="108"/>
      <c r="AU38" s="108"/>
      <c r="AV38" s="108"/>
      <c r="AW38" s="108"/>
      <c r="AX38" s="108"/>
      <c r="AY38" s="84" t="s">
        <v>4219</v>
      </c>
      <c r="AZ38" s="108"/>
      <c r="BA38" s="108"/>
      <c r="BB38" s="108"/>
      <c r="BC38" s="108"/>
      <c r="BD38" s="108"/>
      <c r="BE38" s="108"/>
      <c r="BF38" s="108"/>
      <c r="BG38" s="108"/>
      <c r="BH38" s="108"/>
      <c r="BI38" s="108"/>
      <c r="BJ38" s="108"/>
      <c r="BK38" s="108"/>
      <c r="BL38" s="108"/>
      <c r="BM38" s="108"/>
      <c r="BN38" s="84" t="s">
        <v>4220</v>
      </c>
    </row>
    <row r="39" ht="15.75" customHeight="1">
      <c r="A39" s="14" t="s">
        <v>4221</v>
      </c>
      <c r="B39" s="14"/>
      <c r="C39" s="149"/>
      <c r="D39" s="14"/>
      <c r="E39" s="14"/>
      <c r="F39" s="14"/>
      <c r="G39" s="148"/>
      <c r="H39" s="149"/>
      <c r="I39" s="148"/>
      <c r="J39" s="149"/>
      <c r="K39" s="154"/>
      <c r="L39" s="14"/>
      <c r="M39" s="14"/>
      <c r="N39" s="148"/>
      <c r="O39" s="149"/>
      <c r="P39" s="14"/>
      <c r="Q39" s="14"/>
      <c r="R39" s="153"/>
      <c r="S39" s="149"/>
      <c r="T39" s="149"/>
      <c r="U39" s="14"/>
      <c r="V39" s="148"/>
      <c r="W39" s="14"/>
      <c r="X39" s="14"/>
      <c r="Y39" s="14"/>
      <c r="Z39" s="148"/>
      <c r="AA39" s="14"/>
      <c r="AB39" s="149"/>
      <c r="AC39" s="14"/>
      <c r="AD39" s="149"/>
      <c r="AE39" s="148"/>
      <c r="AF39" s="149"/>
      <c r="AG39" s="148"/>
      <c r="AH39" s="149"/>
      <c r="AI39" s="149"/>
      <c r="AJ39" s="149"/>
      <c r="AK39" s="148"/>
      <c r="AL39" s="148"/>
      <c r="AM39" s="148"/>
      <c r="AN39" s="148"/>
      <c r="AO39" s="148"/>
      <c r="AP39" s="148"/>
      <c r="AQ39" s="151"/>
      <c r="AR39" s="148"/>
      <c r="AS39" s="14"/>
      <c r="AT39" s="148"/>
      <c r="AU39" s="148"/>
      <c r="AV39" s="148"/>
      <c r="AW39" s="148"/>
      <c r="AX39" s="148"/>
      <c r="AY39" s="149"/>
      <c r="AZ39" s="148"/>
      <c r="BA39" s="148"/>
      <c r="BB39" s="148"/>
      <c r="BC39" s="148"/>
      <c r="BD39" s="148"/>
      <c r="BE39" s="148"/>
      <c r="BF39" s="148"/>
      <c r="BG39" s="148"/>
      <c r="BH39" s="148"/>
      <c r="BI39" s="148"/>
      <c r="BJ39" s="148"/>
      <c r="BK39" s="148"/>
      <c r="BL39" s="148"/>
      <c r="BM39" s="148"/>
      <c r="BN39" s="149"/>
    </row>
    <row r="40" ht="15.75" customHeight="1">
      <c r="A40" s="27">
        <v>45239.0</v>
      </c>
      <c r="B40" s="10"/>
      <c r="C40" s="84" t="s">
        <v>4222</v>
      </c>
      <c r="D40" s="84" t="s">
        <v>4223</v>
      </c>
      <c r="E40" s="84" t="s">
        <v>4224</v>
      </c>
      <c r="F40" s="84" t="s">
        <v>4225</v>
      </c>
      <c r="G40" s="108"/>
      <c r="H40" s="84" t="s">
        <v>4226</v>
      </c>
      <c r="I40" s="108"/>
      <c r="J40" s="84" t="s">
        <v>4227</v>
      </c>
      <c r="K40" s="84" t="s">
        <v>4228</v>
      </c>
      <c r="L40" s="84" t="s">
        <v>4229</v>
      </c>
      <c r="M40" s="84" t="s">
        <v>4230</v>
      </c>
      <c r="N40" s="108"/>
      <c r="O40" s="84" t="s">
        <v>4231</v>
      </c>
      <c r="P40" s="10" t="s">
        <v>4232</v>
      </c>
      <c r="Q40" s="10" t="s">
        <v>4233</v>
      </c>
      <c r="R40" s="10" t="s">
        <v>4234</v>
      </c>
      <c r="S40" s="84" t="s">
        <v>4235</v>
      </c>
      <c r="T40" s="84" t="s">
        <v>4236</v>
      </c>
      <c r="U40" s="10" t="s">
        <v>4237</v>
      </c>
      <c r="V40" s="108"/>
      <c r="W40" s="84" t="s">
        <v>4238</v>
      </c>
      <c r="X40" s="84" t="s">
        <v>4239</v>
      </c>
      <c r="Y40" s="84" t="s">
        <v>4240</v>
      </c>
      <c r="Z40" s="108"/>
      <c r="AA40" s="84" t="s">
        <v>4241</v>
      </c>
      <c r="AB40" s="84" t="s">
        <v>4242</v>
      </c>
      <c r="AC40" s="84" t="s">
        <v>4243</v>
      </c>
      <c r="AD40" s="84" t="s">
        <v>4244</v>
      </c>
      <c r="AE40" s="108"/>
      <c r="AF40" s="84" t="s">
        <v>4245</v>
      </c>
      <c r="AG40" s="108"/>
      <c r="AH40" s="84" t="s">
        <v>4246</v>
      </c>
      <c r="AI40" s="84" t="s">
        <v>4247</v>
      </c>
      <c r="AJ40" s="84" t="s">
        <v>4248</v>
      </c>
      <c r="AK40" s="108"/>
      <c r="AL40" s="108"/>
      <c r="AM40" s="108"/>
      <c r="AN40" s="108"/>
      <c r="AO40" s="108"/>
      <c r="AP40" s="108"/>
      <c r="AQ40" s="86"/>
      <c r="AR40" s="108"/>
      <c r="AS40" s="84" t="s">
        <v>4249</v>
      </c>
      <c r="AT40" s="108"/>
      <c r="AU40" s="108"/>
      <c r="AV40" s="108"/>
      <c r="AW40" s="108"/>
      <c r="AX40" s="108"/>
      <c r="AY40" s="84" t="s">
        <v>4250</v>
      </c>
      <c r="AZ40" s="108"/>
      <c r="BA40" s="108"/>
      <c r="BB40" s="108"/>
      <c r="BC40" s="108"/>
      <c r="BD40" s="108"/>
      <c r="BE40" s="108"/>
      <c r="BF40" s="108"/>
      <c r="BG40" s="108"/>
      <c r="BH40" s="108"/>
      <c r="BI40" s="108"/>
      <c r="BJ40" s="108"/>
      <c r="BK40" s="108"/>
      <c r="BL40" s="108"/>
      <c r="BM40" s="108"/>
      <c r="BN40" s="84" t="s">
        <v>4251</v>
      </c>
    </row>
    <row r="41" ht="15.75" customHeight="1">
      <c r="A41" s="14" t="s">
        <v>4252</v>
      </c>
      <c r="B41" s="14"/>
      <c r="C41" s="149"/>
      <c r="D41" s="149"/>
      <c r="E41" s="149"/>
      <c r="F41" s="149"/>
      <c r="G41" s="148"/>
      <c r="H41" s="149"/>
      <c r="I41" s="148"/>
      <c r="J41" s="149"/>
      <c r="K41" s="149"/>
      <c r="L41" s="149"/>
      <c r="M41" s="149"/>
      <c r="N41" s="148"/>
      <c r="O41" s="149"/>
      <c r="P41" s="14"/>
      <c r="Q41" s="14"/>
      <c r="R41" s="14"/>
      <c r="S41" s="149"/>
      <c r="T41" s="149"/>
      <c r="U41" s="14"/>
      <c r="V41" s="148"/>
      <c r="W41" s="149"/>
      <c r="X41" s="149"/>
      <c r="Y41" s="149"/>
      <c r="Z41" s="148"/>
      <c r="AA41" s="149"/>
      <c r="AB41" s="149"/>
      <c r="AC41" s="149"/>
      <c r="AD41" s="149"/>
      <c r="AE41" s="148"/>
      <c r="AF41" s="149"/>
      <c r="AG41" s="148"/>
      <c r="AH41" s="149"/>
      <c r="AI41" s="149"/>
      <c r="AJ41" s="149"/>
      <c r="AK41" s="148"/>
      <c r="AL41" s="148"/>
      <c r="AM41" s="148"/>
      <c r="AN41" s="148"/>
      <c r="AO41" s="148"/>
      <c r="AP41" s="148"/>
      <c r="AQ41" s="151"/>
      <c r="AR41" s="148"/>
      <c r="AS41" s="149"/>
      <c r="AT41" s="148"/>
      <c r="AU41" s="148"/>
      <c r="AV41" s="148"/>
      <c r="AW41" s="148"/>
      <c r="AX41" s="148"/>
      <c r="AY41" s="149"/>
      <c r="AZ41" s="148"/>
      <c r="BA41" s="148"/>
      <c r="BB41" s="148"/>
      <c r="BC41" s="148"/>
      <c r="BD41" s="148"/>
      <c r="BE41" s="148"/>
      <c r="BF41" s="148"/>
      <c r="BG41" s="148"/>
      <c r="BH41" s="148"/>
      <c r="BI41" s="148"/>
      <c r="BJ41" s="148"/>
      <c r="BK41" s="148"/>
      <c r="BL41" s="148"/>
      <c r="BM41" s="148"/>
      <c r="BN41" s="149"/>
    </row>
    <row r="42" ht="15.75" customHeight="1">
      <c r="A42" s="27">
        <v>45240.0</v>
      </c>
      <c r="B42" s="10"/>
      <c r="C42" s="84" t="s">
        <v>4253</v>
      </c>
      <c r="D42" s="84" t="s">
        <v>4254</v>
      </c>
      <c r="E42" s="84" t="s">
        <v>4255</v>
      </c>
      <c r="F42" s="84" t="s">
        <v>4256</v>
      </c>
      <c r="G42" s="108"/>
      <c r="H42" s="84" t="s">
        <v>4257</v>
      </c>
      <c r="I42" s="108"/>
      <c r="J42" s="84" t="s">
        <v>4258</v>
      </c>
      <c r="K42" s="84" t="s">
        <v>4259</v>
      </c>
      <c r="L42" s="84" t="s">
        <v>4260</v>
      </c>
      <c r="M42" s="84" t="s">
        <v>4261</v>
      </c>
      <c r="N42" s="108"/>
      <c r="O42" s="84" t="s">
        <v>4262</v>
      </c>
      <c r="P42" s="84" t="s">
        <v>4263</v>
      </c>
      <c r="Q42" s="84" t="s">
        <v>4264</v>
      </c>
      <c r="R42" s="10" t="s">
        <v>4265</v>
      </c>
      <c r="S42" s="84" t="s">
        <v>4266</v>
      </c>
      <c r="T42" s="84" t="s">
        <v>4267</v>
      </c>
      <c r="U42" s="84" t="s">
        <v>4268</v>
      </c>
      <c r="V42" s="108"/>
      <c r="W42" s="84" t="s">
        <v>4269</v>
      </c>
      <c r="X42" s="84" t="s">
        <v>4270</v>
      </c>
      <c r="Y42" s="84" t="s">
        <v>4271</v>
      </c>
      <c r="Z42" s="108"/>
      <c r="AA42" s="84" t="s">
        <v>4272</v>
      </c>
      <c r="AB42" s="84" t="s">
        <v>4273</v>
      </c>
      <c r="AC42" s="84" t="s">
        <v>4274</v>
      </c>
      <c r="AD42" s="84" t="s">
        <v>4275</v>
      </c>
      <c r="AE42" s="108"/>
      <c r="AF42" s="84" t="s">
        <v>4276</v>
      </c>
      <c r="AG42" s="108"/>
      <c r="AH42" s="84" t="s">
        <v>4277</v>
      </c>
      <c r="AI42" s="84" t="s">
        <v>4278</v>
      </c>
      <c r="AJ42" s="84" t="s">
        <v>4279</v>
      </c>
      <c r="AK42" s="108"/>
      <c r="AL42" s="108"/>
      <c r="AM42" s="108"/>
      <c r="AN42" s="108"/>
      <c r="AO42" s="108"/>
      <c r="AP42" s="108"/>
      <c r="AQ42" s="86" t="s">
        <v>4280</v>
      </c>
      <c r="AR42" s="108"/>
      <c r="AS42" s="84" t="s">
        <v>4281</v>
      </c>
      <c r="AT42" s="108"/>
      <c r="AU42" s="108"/>
      <c r="AV42" s="108"/>
      <c r="AW42" s="108"/>
      <c r="AX42" s="108"/>
      <c r="AY42" s="84" t="s">
        <v>4282</v>
      </c>
      <c r="AZ42" s="108"/>
      <c r="BA42" s="108"/>
      <c r="BB42" s="108"/>
      <c r="BC42" s="108"/>
      <c r="BD42" s="108"/>
      <c r="BE42" s="108"/>
      <c r="BF42" s="108"/>
      <c r="BG42" s="108"/>
      <c r="BH42" s="108"/>
      <c r="BI42" s="108"/>
      <c r="BJ42" s="108"/>
      <c r="BK42" s="108"/>
      <c r="BL42" s="108"/>
      <c r="BM42" s="108"/>
      <c r="BN42" s="84" t="s">
        <v>4283</v>
      </c>
    </row>
    <row r="43" ht="15.75" customHeight="1">
      <c r="A43" s="14" t="s">
        <v>4284</v>
      </c>
      <c r="B43" s="14"/>
      <c r="C43" s="149"/>
      <c r="D43" s="149"/>
      <c r="E43" s="149"/>
      <c r="F43" s="149"/>
      <c r="G43" s="148"/>
      <c r="H43" s="149"/>
      <c r="I43" s="148"/>
      <c r="J43" s="149"/>
      <c r="K43" s="149"/>
      <c r="L43" s="149"/>
      <c r="M43" s="149"/>
      <c r="N43" s="148"/>
      <c r="O43" s="149"/>
      <c r="P43" s="149"/>
      <c r="Q43" s="149"/>
      <c r="R43" s="14"/>
      <c r="S43" s="149"/>
      <c r="T43" s="149"/>
      <c r="U43" s="149"/>
      <c r="V43" s="148"/>
      <c r="W43" s="149"/>
      <c r="X43" s="149"/>
      <c r="Y43" s="149"/>
      <c r="Z43" s="148"/>
      <c r="AA43" s="149"/>
      <c r="AB43" s="149"/>
      <c r="AC43" s="149"/>
      <c r="AD43" s="149"/>
      <c r="AE43" s="148"/>
      <c r="AF43" s="149"/>
      <c r="AG43" s="148"/>
      <c r="AH43" s="149"/>
      <c r="AI43" s="149"/>
      <c r="AJ43" s="149"/>
      <c r="AK43" s="148"/>
      <c r="AL43" s="148"/>
      <c r="AM43" s="148"/>
      <c r="AN43" s="148"/>
      <c r="AO43" s="148"/>
      <c r="AP43" s="148"/>
      <c r="AQ43" s="151"/>
      <c r="AR43" s="148"/>
      <c r="AS43" s="149"/>
      <c r="AT43" s="148"/>
      <c r="AU43" s="148"/>
      <c r="AV43" s="148"/>
      <c r="AW43" s="148"/>
      <c r="AX43" s="148"/>
      <c r="AY43" s="149"/>
      <c r="AZ43" s="148"/>
      <c r="BA43" s="148"/>
      <c r="BB43" s="148"/>
      <c r="BC43" s="148"/>
      <c r="BD43" s="148"/>
      <c r="BE43" s="148"/>
      <c r="BF43" s="148"/>
      <c r="BG43" s="148"/>
      <c r="BH43" s="148"/>
      <c r="BI43" s="148"/>
      <c r="BJ43" s="148"/>
      <c r="BK43" s="148"/>
      <c r="BL43" s="148"/>
      <c r="BM43" s="148"/>
      <c r="BN43" s="149"/>
    </row>
    <row r="44" ht="15.75" customHeight="1">
      <c r="A44" s="27">
        <v>45242.0</v>
      </c>
      <c r="B44" s="10"/>
      <c r="C44" s="84" t="s">
        <v>4285</v>
      </c>
      <c r="D44" s="84" t="s">
        <v>4286</v>
      </c>
      <c r="E44" s="84" t="s">
        <v>4287</v>
      </c>
      <c r="F44" s="84" t="s">
        <v>4288</v>
      </c>
      <c r="G44" s="108"/>
      <c r="H44" s="84" t="s">
        <v>4289</v>
      </c>
      <c r="I44" s="108"/>
      <c r="J44" s="84" t="s">
        <v>4290</v>
      </c>
      <c r="K44" s="84" t="s">
        <v>4291</v>
      </c>
      <c r="L44" s="84" t="s">
        <v>4292</v>
      </c>
      <c r="M44" s="84" t="s">
        <v>4293</v>
      </c>
      <c r="N44" s="108"/>
      <c r="O44" s="84" t="s">
        <v>4294</v>
      </c>
      <c r="P44" s="84" t="s">
        <v>4295</v>
      </c>
      <c r="Q44" s="84" t="s">
        <v>4296</v>
      </c>
      <c r="R44" s="155" t="s">
        <v>4297</v>
      </c>
      <c r="S44" s="84" t="s">
        <v>4298</v>
      </c>
      <c r="T44" s="84" t="s">
        <v>4299</v>
      </c>
      <c r="U44" s="84" t="s">
        <v>4300</v>
      </c>
      <c r="V44" s="108"/>
      <c r="W44" s="84" t="s">
        <v>4301</v>
      </c>
      <c r="X44" s="84" t="s">
        <v>4302</v>
      </c>
      <c r="Y44" s="84" t="s">
        <v>4303</v>
      </c>
      <c r="Z44" s="108"/>
      <c r="AA44" s="84" t="s">
        <v>4304</v>
      </c>
      <c r="AB44" s="84" t="s">
        <v>4305</v>
      </c>
      <c r="AC44" s="84" t="s">
        <v>4306</v>
      </c>
      <c r="AD44" s="84" t="s">
        <v>4307</v>
      </c>
      <c r="AE44" s="108"/>
      <c r="AF44" s="84" t="s">
        <v>4308</v>
      </c>
      <c r="AG44" s="108"/>
      <c r="AH44" s="84" t="s">
        <v>4309</v>
      </c>
      <c r="AI44" s="84" t="s">
        <v>4310</v>
      </c>
      <c r="AJ44" s="84" t="s">
        <v>4311</v>
      </c>
      <c r="AK44" s="108"/>
      <c r="AL44" s="108"/>
      <c r="AM44" s="108"/>
      <c r="AN44" s="108"/>
      <c r="AO44" s="108"/>
      <c r="AP44" s="108"/>
      <c r="AQ44" s="86" t="s">
        <v>4280</v>
      </c>
      <c r="AR44" s="108"/>
      <c r="AS44" s="84" t="s">
        <v>4312</v>
      </c>
      <c r="AT44" s="108"/>
      <c r="AU44" s="108"/>
      <c r="AV44" s="108"/>
      <c r="AW44" s="108"/>
      <c r="AX44" s="108"/>
      <c r="AY44" s="84" t="s">
        <v>4313</v>
      </c>
      <c r="AZ44" s="108"/>
      <c r="BA44" s="108"/>
      <c r="BB44" s="108"/>
      <c r="BC44" s="108"/>
      <c r="BD44" s="108"/>
      <c r="BE44" s="108"/>
      <c r="BF44" s="108"/>
      <c r="BG44" s="108"/>
      <c r="BH44" s="108"/>
      <c r="BI44" s="108"/>
      <c r="BJ44" s="108"/>
      <c r="BK44" s="108"/>
      <c r="BL44" s="108"/>
      <c r="BM44" s="108"/>
      <c r="BN44" s="84" t="s">
        <v>4285</v>
      </c>
    </row>
    <row r="45" ht="15.75" customHeight="1">
      <c r="A45" s="14" t="s">
        <v>4314</v>
      </c>
      <c r="B45" s="14"/>
      <c r="C45" s="149"/>
      <c r="D45" s="149"/>
      <c r="E45" s="149"/>
      <c r="F45" s="149"/>
      <c r="G45" s="148"/>
      <c r="H45" s="149"/>
      <c r="I45" s="148"/>
      <c r="J45" s="149"/>
      <c r="K45" s="149"/>
      <c r="L45" s="149"/>
      <c r="M45" s="149"/>
      <c r="N45" s="148"/>
      <c r="O45" s="149"/>
      <c r="P45" s="149"/>
      <c r="Q45" s="149"/>
      <c r="R45" s="156"/>
      <c r="S45" s="149"/>
      <c r="T45" s="149"/>
      <c r="U45" s="149"/>
      <c r="V45" s="148"/>
      <c r="W45" s="149"/>
      <c r="X45" s="149"/>
      <c r="Y45" s="149"/>
      <c r="Z45" s="148"/>
      <c r="AA45" s="149"/>
      <c r="AB45" s="149"/>
      <c r="AC45" s="149"/>
      <c r="AD45" s="149"/>
      <c r="AE45" s="148"/>
      <c r="AF45" s="149"/>
      <c r="AG45" s="148"/>
      <c r="AH45" s="149"/>
      <c r="AI45" s="149"/>
      <c r="AJ45" s="149"/>
      <c r="AK45" s="148"/>
      <c r="AL45" s="148"/>
      <c r="AM45" s="148"/>
      <c r="AN45" s="148"/>
      <c r="AO45" s="148"/>
      <c r="AP45" s="148"/>
      <c r="AQ45" s="151"/>
      <c r="AR45" s="148"/>
      <c r="AS45" s="149"/>
      <c r="AT45" s="148"/>
      <c r="AU45" s="148"/>
      <c r="AV45" s="148"/>
      <c r="AW45" s="148"/>
      <c r="AX45" s="148"/>
      <c r="AY45" s="149"/>
      <c r="AZ45" s="148"/>
      <c r="BA45" s="148"/>
      <c r="BB45" s="148"/>
      <c r="BC45" s="148"/>
      <c r="BD45" s="148"/>
      <c r="BE45" s="148"/>
      <c r="BF45" s="148"/>
      <c r="BG45" s="148"/>
      <c r="BH45" s="148"/>
      <c r="BI45" s="148"/>
      <c r="BJ45" s="148"/>
      <c r="BK45" s="148"/>
      <c r="BL45" s="148"/>
      <c r="BM45" s="148"/>
      <c r="BN45" s="149"/>
    </row>
    <row r="46" ht="15.75" customHeight="1">
      <c r="A46" s="27">
        <v>45243.0</v>
      </c>
      <c r="B46" s="10"/>
      <c r="C46" s="84" t="s">
        <v>4283</v>
      </c>
      <c r="D46" s="84" t="s">
        <v>4315</v>
      </c>
      <c r="E46" s="84" t="s">
        <v>4273</v>
      </c>
      <c r="F46" s="84" t="s">
        <v>4316</v>
      </c>
      <c r="G46" s="108"/>
      <c r="H46" s="84" t="s">
        <v>4317</v>
      </c>
      <c r="I46" s="108"/>
      <c r="J46" s="84" t="s">
        <v>4318</v>
      </c>
      <c r="K46" s="84" t="s">
        <v>4319</v>
      </c>
      <c r="L46" s="84" t="s">
        <v>4320</v>
      </c>
      <c r="M46" s="84" t="s">
        <v>4321</v>
      </c>
      <c r="N46" s="108"/>
      <c r="O46" s="84" t="s">
        <v>4322</v>
      </c>
      <c r="P46" s="84" t="s">
        <v>4323</v>
      </c>
      <c r="Q46" s="84" t="s">
        <v>4324</v>
      </c>
      <c r="R46" s="155" t="s">
        <v>4325</v>
      </c>
      <c r="S46" s="84" t="s">
        <v>4326</v>
      </c>
      <c r="T46" s="84" t="s">
        <v>4327</v>
      </c>
      <c r="U46" s="84" t="s">
        <v>4328</v>
      </c>
      <c r="V46" s="108"/>
      <c r="W46" s="84" t="s">
        <v>4329</v>
      </c>
      <c r="X46" s="84" t="s">
        <v>4330</v>
      </c>
      <c r="Y46" s="84" t="s">
        <v>4331</v>
      </c>
      <c r="Z46" s="108"/>
      <c r="AA46" s="84" t="s">
        <v>4332</v>
      </c>
      <c r="AB46" s="84" t="s">
        <v>4333</v>
      </c>
      <c r="AC46" s="84" t="s">
        <v>4334</v>
      </c>
      <c r="AD46" s="84" t="s">
        <v>4335</v>
      </c>
      <c r="AE46" s="108"/>
      <c r="AF46" s="84" t="s">
        <v>4336</v>
      </c>
      <c r="AG46" s="108"/>
      <c r="AH46" s="84" t="s">
        <v>4337</v>
      </c>
      <c r="AI46" s="84" t="s">
        <v>4338</v>
      </c>
      <c r="AJ46" s="84" t="s">
        <v>4339</v>
      </c>
      <c r="AK46" s="108"/>
      <c r="AL46" s="108"/>
      <c r="AM46" s="108"/>
      <c r="AN46" s="108"/>
      <c r="AO46" s="108"/>
      <c r="AP46" s="108"/>
      <c r="AQ46" s="86" t="s">
        <v>4340</v>
      </c>
      <c r="AR46" s="108"/>
      <c r="AS46" s="84" t="s">
        <v>4341</v>
      </c>
      <c r="AT46" s="108"/>
      <c r="AU46" s="108"/>
      <c r="AV46" s="108"/>
      <c r="AW46" s="108"/>
      <c r="AX46" s="108"/>
      <c r="AY46" s="84" t="s">
        <v>4342</v>
      </c>
      <c r="AZ46" s="108"/>
      <c r="BA46" s="108"/>
      <c r="BB46" s="108"/>
      <c r="BC46" s="108"/>
      <c r="BD46" s="108"/>
      <c r="BE46" s="108"/>
      <c r="BF46" s="108"/>
      <c r="BG46" s="108"/>
      <c r="BH46" s="108"/>
      <c r="BI46" s="108"/>
      <c r="BJ46" s="108"/>
      <c r="BK46" s="108"/>
      <c r="BL46" s="108"/>
      <c r="BM46" s="108"/>
      <c r="BN46" s="84" t="s">
        <v>4335</v>
      </c>
    </row>
    <row r="47" ht="15.75" customHeight="1">
      <c r="A47" s="14" t="s">
        <v>4343</v>
      </c>
      <c r="B47" s="14"/>
      <c r="C47" s="149"/>
      <c r="D47" s="149"/>
      <c r="E47" s="149"/>
      <c r="F47" s="149"/>
      <c r="G47" s="148"/>
      <c r="H47" s="149"/>
      <c r="I47" s="148"/>
      <c r="J47" s="149"/>
      <c r="K47" s="149"/>
      <c r="L47" s="149"/>
      <c r="M47" s="149"/>
      <c r="N47" s="148"/>
      <c r="O47" s="149"/>
      <c r="P47" s="149"/>
      <c r="Q47" s="149"/>
      <c r="R47" s="156"/>
      <c r="S47" s="149"/>
      <c r="T47" s="149"/>
      <c r="U47" s="149"/>
      <c r="V47" s="148"/>
      <c r="W47" s="149"/>
      <c r="X47" s="149"/>
      <c r="Y47" s="149"/>
      <c r="Z47" s="148"/>
      <c r="AA47" s="149"/>
      <c r="AB47" s="149"/>
      <c r="AC47" s="149"/>
      <c r="AD47" s="149"/>
      <c r="AE47" s="148"/>
      <c r="AF47" s="149"/>
      <c r="AG47" s="148"/>
      <c r="AH47" s="149"/>
      <c r="AI47" s="149"/>
      <c r="AJ47" s="149"/>
      <c r="AK47" s="148"/>
      <c r="AL47" s="148"/>
      <c r="AM47" s="148"/>
      <c r="AN47" s="148"/>
      <c r="AO47" s="148"/>
      <c r="AP47" s="148"/>
      <c r="AQ47" s="151"/>
      <c r="AR47" s="148"/>
      <c r="AS47" s="149"/>
      <c r="AT47" s="148"/>
      <c r="AU47" s="148"/>
      <c r="AV47" s="148"/>
      <c r="AW47" s="148"/>
      <c r="AX47" s="148"/>
      <c r="AY47" s="149"/>
      <c r="AZ47" s="148"/>
      <c r="BA47" s="148"/>
      <c r="BB47" s="148"/>
      <c r="BC47" s="148"/>
      <c r="BD47" s="148"/>
      <c r="BE47" s="148"/>
      <c r="BF47" s="148"/>
      <c r="BG47" s="148"/>
      <c r="BH47" s="148"/>
      <c r="BI47" s="148"/>
      <c r="BJ47" s="148"/>
      <c r="BK47" s="148"/>
      <c r="BL47" s="148"/>
      <c r="BM47" s="148"/>
      <c r="BN47" s="149"/>
    </row>
    <row r="48" ht="15.75" customHeight="1">
      <c r="A48" s="157">
        <v>45244.0</v>
      </c>
      <c r="B48" s="14"/>
      <c r="C48" s="149" t="s">
        <v>1668</v>
      </c>
      <c r="D48" s="149" t="s">
        <v>4344</v>
      </c>
      <c r="E48" s="149" t="s">
        <v>4345</v>
      </c>
      <c r="F48" s="149" t="s">
        <v>4346</v>
      </c>
      <c r="G48" s="148"/>
      <c r="H48" s="149" t="s">
        <v>4347</v>
      </c>
      <c r="I48" s="148"/>
      <c r="J48" s="149" t="s">
        <v>4348</v>
      </c>
      <c r="K48" s="149" t="s">
        <v>4349</v>
      </c>
      <c r="L48" s="149" t="s">
        <v>4350</v>
      </c>
      <c r="M48" s="149" t="s">
        <v>4351</v>
      </c>
      <c r="N48" s="148"/>
      <c r="O48" s="149" t="s">
        <v>4352</v>
      </c>
      <c r="P48" s="149" t="s">
        <v>4353</v>
      </c>
      <c r="Q48" s="158" t="s">
        <v>4354</v>
      </c>
      <c r="R48" s="14" t="s">
        <v>4355</v>
      </c>
      <c r="S48" s="149" t="s">
        <v>4356</v>
      </c>
      <c r="T48" s="149" t="s">
        <v>4357</v>
      </c>
      <c r="U48" s="149" t="s">
        <v>4358</v>
      </c>
      <c r="V48" s="148"/>
      <c r="W48" s="149" t="s">
        <v>4359</v>
      </c>
      <c r="X48" s="149" t="s">
        <v>4360</v>
      </c>
      <c r="Y48" s="149" t="s">
        <v>4361</v>
      </c>
      <c r="Z48" s="148"/>
      <c r="AA48" s="149" t="s">
        <v>4362</v>
      </c>
      <c r="AB48" s="149" t="s">
        <v>4363</v>
      </c>
      <c r="AC48" s="149" t="s">
        <v>4364</v>
      </c>
      <c r="AD48" s="149" t="s">
        <v>4365</v>
      </c>
      <c r="AE48" s="148"/>
      <c r="AF48" s="149" t="s">
        <v>4366</v>
      </c>
      <c r="AG48" s="148"/>
      <c r="AH48" s="149" t="s">
        <v>4367</v>
      </c>
      <c r="AI48" s="14" t="s">
        <v>4368</v>
      </c>
      <c r="AJ48" s="149" t="s">
        <v>4283</v>
      </c>
      <c r="AK48" s="148"/>
      <c r="AL48" s="148"/>
      <c r="AM48" s="148"/>
      <c r="AN48" s="148"/>
      <c r="AO48" s="148"/>
      <c r="AP48" s="148"/>
      <c r="AQ48" s="151"/>
      <c r="AR48" s="148"/>
      <c r="AS48" s="149" t="s">
        <v>4369</v>
      </c>
      <c r="AT48" s="148"/>
      <c r="AU48" s="148"/>
      <c r="AV48" s="148"/>
      <c r="AW48" s="148"/>
      <c r="AX48" s="148"/>
      <c r="AY48" s="149" t="s">
        <v>4370</v>
      </c>
      <c r="AZ48" s="148"/>
      <c r="BA48" s="148"/>
      <c r="BB48" s="148"/>
      <c r="BC48" s="148"/>
      <c r="BD48" s="148"/>
      <c r="BE48" s="148"/>
      <c r="BF48" s="148"/>
      <c r="BG48" s="148"/>
      <c r="BH48" s="148"/>
      <c r="BI48" s="148"/>
      <c r="BJ48" s="148"/>
      <c r="BK48" s="148"/>
      <c r="BL48" s="148"/>
      <c r="BM48" s="148"/>
      <c r="BN48" s="149" t="s">
        <v>4371</v>
      </c>
    </row>
    <row r="49" ht="15.75" customHeight="1">
      <c r="A49" s="27">
        <v>45245.0</v>
      </c>
      <c r="B49" s="10"/>
      <c r="C49" s="84" t="s">
        <v>4372</v>
      </c>
      <c r="D49" s="84" t="s">
        <v>2244</v>
      </c>
      <c r="E49" s="84" t="s">
        <v>1691</v>
      </c>
      <c r="F49" s="84" t="s">
        <v>4373</v>
      </c>
      <c r="G49" s="108"/>
      <c r="H49" s="84" t="s">
        <v>4374</v>
      </c>
      <c r="I49" s="108"/>
      <c r="J49" s="84" t="s">
        <v>4375</v>
      </c>
      <c r="K49" s="84" t="s">
        <v>4376</v>
      </c>
      <c r="L49" s="84" t="s">
        <v>4377</v>
      </c>
      <c r="M49" s="84" t="s">
        <v>4378</v>
      </c>
      <c r="N49" s="108"/>
      <c r="O49" s="84" t="s">
        <v>4379</v>
      </c>
      <c r="P49" s="84" t="s">
        <v>4380</v>
      </c>
      <c r="Q49" s="84" t="s">
        <v>4381</v>
      </c>
      <c r="R49" s="10" t="s">
        <v>4382</v>
      </c>
      <c r="S49" s="84" t="s">
        <v>4383</v>
      </c>
      <c r="T49" s="84" t="s">
        <v>4384</v>
      </c>
      <c r="U49" s="84" t="s">
        <v>4385</v>
      </c>
      <c r="V49" s="108"/>
      <c r="W49" s="84" t="s">
        <v>4386</v>
      </c>
      <c r="X49" s="84" t="s">
        <v>4387</v>
      </c>
      <c r="Y49" s="84" t="s">
        <v>4388</v>
      </c>
      <c r="Z49" s="108"/>
      <c r="AA49" s="84" t="s">
        <v>4389</v>
      </c>
      <c r="AB49" s="84" t="s">
        <v>4390</v>
      </c>
      <c r="AC49" s="84" t="s">
        <v>4364</v>
      </c>
      <c r="AD49" s="84" t="s">
        <v>4391</v>
      </c>
      <c r="AE49" s="108"/>
      <c r="AF49" s="84" t="s">
        <v>4392</v>
      </c>
      <c r="AG49" s="108"/>
      <c r="AH49" s="84" t="s">
        <v>4393</v>
      </c>
      <c r="AI49" s="10"/>
      <c r="AJ49" s="84" t="s">
        <v>4394</v>
      </c>
      <c r="AK49" s="108"/>
      <c r="AL49" s="108"/>
      <c r="AM49" s="108"/>
      <c r="AN49" s="108"/>
      <c r="AO49" s="108"/>
      <c r="AP49" s="108"/>
      <c r="AQ49" s="86"/>
      <c r="AR49" s="108"/>
      <c r="AS49" s="84" t="s">
        <v>4395</v>
      </c>
      <c r="AT49" s="108"/>
      <c r="AU49" s="108"/>
      <c r="AV49" s="108"/>
      <c r="AW49" s="108"/>
      <c r="AX49" s="108"/>
      <c r="AY49" s="84" t="s">
        <v>4396</v>
      </c>
      <c r="AZ49" s="108"/>
      <c r="BA49" s="108"/>
      <c r="BB49" s="108"/>
      <c r="BC49" s="108"/>
      <c r="BD49" s="108"/>
      <c r="BE49" s="108"/>
      <c r="BF49" s="108"/>
      <c r="BG49" s="108"/>
      <c r="BH49" s="108"/>
      <c r="BI49" s="108"/>
      <c r="BJ49" s="108"/>
      <c r="BK49" s="108"/>
      <c r="BL49" s="108"/>
      <c r="BM49" s="108"/>
      <c r="BN49" s="84" t="s">
        <v>4397</v>
      </c>
    </row>
    <row r="50" ht="15.75" customHeight="1">
      <c r="A50" s="159">
        <v>45246.0</v>
      </c>
      <c r="B50" s="160"/>
      <c r="C50" s="161" t="s">
        <v>2291</v>
      </c>
      <c r="D50" s="161" t="s">
        <v>2232</v>
      </c>
      <c r="E50" s="161" t="s">
        <v>1668</v>
      </c>
      <c r="F50" s="161" t="s">
        <v>2291</v>
      </c>
      <c r="G50" s="162"/>
      <c r="H50" s="161" t="s">
        <v>4398</v>
      </c>
      <c r="I50" s="162"/>
      <c r="J50" s="161" t="s">
        <v>4399</v>
      </c>
      <c r="K50" s="161" t="s">
        <v>2230</v>
      </c>
      <c r="L50" s="161" t="s">
        <v>4400</v>
      </c>
      <c r="M50" s="161" t="s">
        <v>4401</v>
      </c>
      <c r="N50" s="162"/>
      <c r="O50" s="161" t="s">
        <v>4402</v>
      </c>
      <c r="P50" s="84" t="s">
        <v>4403</v>
      </c>
      <c r="Q50" s="161" t="s">
        <v>4404</v>
      </c>
      <c r="R50" s="160" t="s">
        <v>4405</v>
      </c>
      <c r="S50" s="160" t="s">
        <v>4406</v>
      </c>
      <c r="T50" s="161" t="s">
        <v>4407</v>
      </c>
      <c r="U50" s="161" t="s">
        <v>4408</v>
      </c>
      <c r="V50" s="162"/>
      <c r="W50" s="161" t="s">
        <v>4409</v>
      </c>
      <c r="X50" s="161" t="s">
        <v>4410</v>
      </c>
      <c r="Y50" s="161" t="s">
        <v>4411</v>
      </c>
      <c r="Z50" s="162"/>
      <c r="AA50" s="161" t="s">
        <v>4412</v>
      </c>
      <c r="AB50" s="161" t="s">
        <v>4413</v>
      </c>
      <c r="AC50" s="161" t="s">
        <v>4414</v>
      </c>
      <c r="AD50" s="161" t="s">
        <v>4415</v>
      </c>
      <c r="AE50" s="162"/>
      <c r="AF50" s="161" t="s">
        <v>4416</v>
      </c>
      <c r="AG50" s="162"/>
      <c r="AH50" s="161" t="s">
        <v>4417</v>
      </c>
      <c r="AI50" s="160" t="s">
        <v>4418</v>
      </c>
      <c r="AJ50" s="161" t="s">
        <v>4419</v>
      </c>
      <c r="AK50" s="162"/>
      <c r="AL50" s="162"/>
      <c r="AM50" s="162"/>
      <c r="AN50" s="162"/>
      <c r="AO50" s="162"/>
      <c r="AP50" s="162"/>
      <c r="AQ50" s="163"/>
      <c r="AR50" s="162"/>
      <c r="AS50" s="161" t="s">
        <v>4420</v>
      </c>
      <c r="AT50" s="162"/>
      <c r="AU50" s="162"/>
      <c r="AV50" s="162"/>
      <c r="AW50" s="162"/>
      <c r="AX50" s="162"/>
      <c r="AY50" s="161" t="s">
        <v>4421</v>
      </c>
      <c r="AZ50" s="162"/>
      <c r="BA50" s="162"/>
      <c r="BB50" s="162"/>
      <c r="BC50" s="162"/>
      <c r="BD50" s="162"/>
      <c r="BE50" s="162"/>
      <c r="BF50" s="162"/>
      <c r="BG50" s="162"/>
      <c r="BH50" s="162"/>
      <c r="BI50" s="162"/>
      <c r="BJ50" s="162"/>
      <c r="BK50" s="162"/>
      <c r="BL50" s="162"/>
      <c r="BM50" s="162"/>
      <c r="BN50" s="164" t="s">
        <v>4420</v>
      </c>
    </row>
    <row r="51" ht="15.75" customHeight="1">
      <c r="A51" s="10"/>
      <c r="B51" s="10"/>
      <c r="C51" s="84" t="s">
        <v>2236</v>
      </c>
      <c r="D51" s="84" t="s">
        <v>2505</v>
      </c>
      <c r="E51" s="84" t="s">
        <v>1668</v>
      </c>
      <c r="F51" s="84" t="s">
        <v>2291</v>
      </c>
      <c r="G51" s="108"/>
      <c r="H51" s="84" t="s">
        <v>4422</v>
      </c>
      <c r="I51" s="108"/>
      <c r="J51" s="10" t="s">
        <v>4423</v>
      </c>
      <c r="K51" s="84" t="s">
        <v>4424</v>
      </c>
      <c r="L51" s="84" t="s">
        <v>4425</v>
      </c>
      <c r="M51" s="84" t="s">
        <v>4426</v>
      </c>
      <c r="N51" s="108"/>
      <c r="O51" s="84" t="s">
        <v>4427</v>
      </c>
      <c r="P51" s="84" t="s">
        <v>4428</v>
      </c>
      <c r="Q51" s="84" t="s">
        <v>4429</v>
      </c>
      <c r="R51" s="10" t="s">
        <v>4430</v>
      </c>
      <c r="S51" s="10" t="s">
        <v>4431</v>
      </c>
      <c r="T51" s="84" t="s">
        <v>4432</v>
      </c>
      <c r="U51" s="84" t="s">
        <v>4433</v>
      </c>
      <c r="V51" s="108"/>
      <c r="W51" s="84" t="s">
        <v>4432</v>
      </c>
      <c r="X51" s="84" t="s">
        <v>4434</v>
      </c>
      <c r="Y51" s="84" t="s">
        <v>4435</v>
      </c>
      <c r="Z51" s="108"/>
      <c r="AA51" s="84" t="s">
        <v>4436</v>
      </c>
      <c r="AB51" s="84" t="s">
        <v>2291</v>
      </c>
      <c r="AC51" s="84" t="s">
        <v>4437</v>
      </c>
      <c r="AD51" s="84" t="s">
        <v>4372</v>
      </c>
      <c r="AE51" s="108"/>
      <c r="AF51" s="84" t="s">
        <v>4438</v>
      </c>
      <c r="AG51" s="108"/>
      <c r="AH51" s="84" t="s">
        <v>4439</v>
      </c>
      <c r="AI51" s="10" t="s">
        <v>4440</v>
      </c>
      <c r="AJ51" s="84" t="s">
        <v>4345</v>
      </c>
      <c r="AK51" s="108"/>
      <c r="AL51" s="108"/>
      <c r="AM51" s="108"/>
      <c r="AN51" s="108"/>
      <c r="AO51" s="108"/>
      <c r="AP51" s="108"/>
      <c r="AQ51" s="86"/>
      <c r="AR51" s="108"/>
      <c r="AS51" s="84" t="s">
        <v>4441</v>
      </c>
      <c r="AT51" s="108"/>
      <c r="AU51" s="108"/>
      <c r="AV51" s="108"/>
      <c r="AW51" s="108"/>
      <c r="AX51" s="108"/>
      <c r="AY51" s="84" t="s">
        <v>4442</v>
      </c>
      <c r="AZ51" s="108"/>
      <c r="BA51" s="108"/>
      <c r="BB51" s="108"/>
      <c r="BC51" s="108"/>
      <c r="BD51" s="108"/>
      <c r="BE51" s="108"/>
      <c r="BF51" s="108"/>
      <c r="BG51" s="108"/>
      <c r="BH51" s="108"/>
      <c r="BI51" s="108"/>
      <c r="BJ51" s="108"/>
      <c r="BK51" s="108"/>
      <c r="BL51" s="108"/>
      <c r="BM51" s="108"/>
      <c r="BN51" s="84" t="s">
        <v>4372</v>
      </c>
    </row>
    <row r="52" ht="15.75" customHeight="1">
      <c r="A52" s="165">
        <v>45250.0</v>
      </c>
      <c r="B52" s="160"/>
      <c r="C52" s="161" t="s">
        <v>2236</v>
      </c>
      <c r="D52" s="161" t="s">
        <v>2229</v>
      </c>
      <c r="E52" s="161" t="s">
        <v>4443</v>
      </c>
      <c r="F52" s="161" t="s">
        <v>1668</v>
      </c>
      <c r="G52" s="162"/>
      <c r="H52" s="161" t="s">
        <v>4444</v>
      </c>
      <c r="I52" s="162"/>
      <c r="J52" s="160" t="s">
        <v>4445</v>
      </c>
      <c r="K52" s="161" t="s">
        <v>2233</v>
      </c>
      <c r="L52" s="161" t="s">
        <v>2291</v>
      </c>
      <c r="M52" s="161" t="s">
        <v>4446</v>
      </c>
      <c r="N52" s="162"/>
      <c r="O52" s="161" t="s">
        <v>4447</v>
      </c>
      <c r="P52" s="161" t="s">
        <v>4448</v>
      </c>
      <c r="Q52" s="161" t="s">
        <v>4449</v>
      </c>
      <c r="R52" s="160" t="s">
        <v>4450</v>
      </c>
      <c r="S52" s="160" t="s">
        <v>4451</v>
      </c>
      <c r="T52" s="161" t="s">
        <v>4452</v>
      </c>
      <c r="U52" s="161" t="s">
        <v>4453</v>
      </c>
      <c r="V52" s="162"/>
      <c r="W52" s="161" t="s">
        <v>4454</v>
      </c>
      <c r="X52" s="161" t="s">
        <v>4455</v>
      </c>
      <c r="Y52" s="161" t="s">
        <v>4456</v>
      </c>
      <c r="Z52" s="162"/>
      <c r="AA52" s="161" t="s">
        <v>4457</v>
      </c>
      <c r="AB52" s="161" t="s">
        <v>4458</v>
      </c>
      <c r="AC52" s="161" t="s">
        <v>4459</v>
      </c>
      <c r="AD52" s="161" t="s">
        <v>4460</v>
      </c>
      <c r="AE52" s="162"/>
      <c r="AF52" s="161" t="s">
        <v>4461</v>
      </c>
      <c r="AG52" s="162"/>
      <c r="AH52" s="161" t="s">
        <v>4462</v>
      </c>
      <c r="AI52" s="161" t="s">
        <v>4463</v>
      </c>
      <c r="AJ52" s="161" t="s">
        <v>2291</v>
      </c>
      <c r="AK52" s="162"/>
      <c r="AL52" s="162"/>
      <c r="AM52" s="162"/>
      <c r="AN52" s="162"/>
      <c r="AO52" s="162"/>
      <c r="AP52" s="162"/>
      <c r="AQ52" s="163" t="s">
        <v>4464</v>
      </c>
      <c r="AR52" s="162"/>
      <c r="AS52" s="161" t="s">
        <v>4420</v>
      </c>
      <c r="AT52" s="162"/>
      <c r="AU52" s="162"/>
      <c r="AV52" s="162"/>
      <c r="AW52" s="162"/>
      <c r="AX52" s="162"/>
      <c r="AY52" s="161" t="s">
        <v>4465</v>
      </c>
      <c r="AZ52" s="162"/>
      <c r="BA52" s="162"/>
      <c r="BB52" s="162"/>
      <c r="BC52" s="162"/>
      <c r="BD52" s="162"/>
      <c r="BE52" s="162"/>
      <c r="BF52" s="162"/>
      <c r="BG52" s="160"/>
      <c r="BH52" s="160"/>
      <c r="BI52" s="162"/>
      <c r="BJ52" s="162"/>
      <c r="BK52" s="160"/>
      <c r="BL52" s="162"/>
      <c r="BM52" s="162"/>
      <c r="BN52" s="164" t="s">
        <v>4466</v>
      </c>
    </row>
    <row r="53" ht="15.75" customHeight="1">
      <c r="A53" s="27">
        <v>45251.0</v>
      </c>
      <c r="B53" s="10" t="s">
        <v>4467</v>
      </c>
      <c r="C53" s="84" t="s">
        <v>2437</v>
      </c>
      <c r="D53" s="84" t="s">
        <v>1669</v>
      </c>
      <c r="E53" s="84" t="s">
        <v>2238</v>
      </c>
      <c r="F53" s="84" t="s">
        <v>2238</v>
      </c>
      <c r="G53" s="108"/>
      <c r="H53" s="84" t="s">
        <v>2229</v>
      </c>
      <c r="I53" s="108"/>
      <c r="J53" s="84" t="s">
        <v>4468</v>
      </c>
      <c r="K53" s="84" t="s">
        <v>4469</v>
      </c>
      <c r="L53" s="84" t="s">
        <v>1668</v>
      </c>
      <c r="M53" s="84" t="s">
        <v>4470</v>
      </c>
      <c r="N53" s="108"/>
      <c r="O53" s="84" t="s">
        <v>4471</v>
      </c>
      <c r="P53" s="84" t="s">
        <v>4472</v>
      </c>
      <c r="Q53" s="84" t="s">
        <v>4473</v>
      </c>
      <c r="R53" s="84" t="s">
        <v>4474</v>
      </c>
      <c r="S53" s="84" t="s">
        <v>2235</v>
      </c>
      <c r="T53" s="84" t="s">
        <v>4475</v>
      </c>
      <c r="U53" s="84" t="s">
        <v>4476</v>
      </c>
      <c r="V53" s="108"/>
      <c r="W53" s="84" t="s">
        <v>4477</v>
      </c>
      <c r="X53" s="84" t="s">
        <v>4478</v>
      </c>
      <c r="Y53" s="84" t="s">
        <v>4479</v>
      </c>
      <c r="Z53" s="108"/>
      <c r="AA53" s="84" t="s">
        <v>1764</v>
      </c>
      <c r="AB53" s="84" t="s">
        <v>1669</v>
      </c>
      <c r="AC53" s="84" t="s">
        <v>4480</v>
      </c>
      <c r="AD53" s="84" t="s">
        <v>2238</v>
      </c>
      <c r="AE53" s="108"/>
      <c r="AF53" s="84" t="s">
        <v>2430</v>
      </c>
      <c r="AG53" s="108"/>
      <c r="AH53" s="84" t="s">
        <v>2235</v>
      </c>
      <c r="AI53" s="84" t="s">
        <v>4481</v>
      </c>
      <c r="AJ53" s="84" t="s">
        <v>2291</v>
      </c>
      <c r="AK53" s="108"/>
      <c r="AL53" s="108"/>
      <c r="AM53" s="108"/>
      <c r="AN53" s="108"/>
      <c r="AO53" s="108"/>
      <c r="AP53" s="108"/>
      <c r="AQ53" s="86" t="s">
        <v>4482</v>
      </c>
      <c r="AR53" s="108"/>
      <c r="AS53" s="84" t="s">
        <v>4483</v>
      </c>
      <c r="AT53" s="108"/>
      <c r="AU53" s="108"/>
      <c r="AV53" s="108"/>
      <c r="AW53" s="108"/>
      <c r="AX53" s="108"/>
      <c r="AY53" s="84"/>
      <c r="AZ53" s="108"/>
      <c r="BA53" s="108"/>
      <c r="BB53" s="108"/>
      <c r="BC53" s="108"/>
      <c r="BD53" s="108"/>
      <c r="BE53" s="108"/>
      <c r="BF53" s="108"/>
      <c r="BG53" s="10"/>
      <c r="BH53" s="10"/>
      <c r="BI53" s="108"/>
      <c r="BJ53" s="108"/>
      <c r="BK53" s="10"/>
      <c r="BL53" s="108"/>
      <c r="BM53" s="108"/>
      <c r="BN53" s="164" t="s">
        <v>4484</v>
      </c>
    </row>
    <row r="54" ht="75.75" customHeight="1">
      <c r="A54" s="166">
        <v>45252.0</v>
      </c>
      <c r="B54" s="160" t="s">
        <v>4485</v>
      </c>
      <c r="C54" s="161" t="s">
        <v>2232</v>
      </c>
      <c r="D54" s="161" t="s">
        <v>1669</v>
      </c>
      <c r="E54" s="161" t="s">
        <v>2238</v>
      </c>
      <c r="F54" s="161" t="s">
        <v>2298</v>
      </c>
      <c r="G54" s="162"/>
      <c r="H54" s="161" t="s">
        <v>2233</v>
      </c>
      <c r="I54" s="162"/>
      <c r="J54" s="92" t="s">
        <v>4473</v>
      </c>
      <c r="K54" s="161" t="s">
        <v>4486</v>
      </c>
      <c r="L54" s="161" t="s">
        <v>4487</v>
      </c>
      <c r="M54" s="161" t="s">
        <v>4488</v>
      </c>
      <c r="N54" s="160"/>
      <c r="O54" s="161" t="s">
        <v>4489</v>
      </c>
      <c r="P54" s="161" t="s">
        <v>4476</v>
      </c>
      <c r="Q54" s="161" t="s">
        <v>4490</v>
      </c>
      <c r="R54" s="161" t="s">
        <v>4491</v>
      </c>
      <c r="S54" s="161" t="s">
        <v>2233</v>
      </c>
      <c r="T54" s="161" t="s">
        <v>4492</v>
      </c>
      <c r="U54" s="161" t="s">
        <v>2235</v>
      </c>
      <c r="V54" s="162"/>
      <c r="W54" s="161" t="s">
        <v>4493</v>
      </c>
      <c r="X54" s="161" t="s">
        <v>2235</v>
      </c>
      <c r="Y54" s="161" t="s">
        <v>4494</v>
      </c>
      <c r="Z54" s="162"/>
      <c r="AA54" s="161" t="s">
        <v>2235</v>
      </c>
      <c r="AB54" s="161" t="s">
        <v>2430</v>
      </c>
      <c r="AC54" s="161" t="s">
        <v>4495</v>
      </c>
      <c r="AD54" s="161" t="s">
        <v>2238</v>
      </c>
      <c r="AE54" s="162"/>
      <c r="AF54" s="161" t="s">
        <v>4490</v>
      </c>
      <c r="AG54" s="160"/>
      <c r="AH54" s="161" t="s">
        <v>2430</v>
      </c>
      <c r="AI54" s="161" t="s">
        <v>4496</v>
      </c>
      <c r="AJ54" s="161" t="s">
        <v>2232</v>
      </c>
      <c r="AK54" s="162"/>
      <c r="AL54" s="162"/>
      <c r="AM54" s="162"/>
      <c r="AN54" s="162"/>
      <c r="AO54" s="162"/>
      <c r="AP54" s="162"/>
      <c r="AQ54" s="86" t="s">
        <v>4482</v>
      </c>
      <c r="AR54" s="162"/>
      <c r="AS54" s="161" t="s">
        <v>2271</v>
      </c>
      <c r="AT54" s="162"/>
      <c r="AU54" s="162"/>
      <c r="AV54" s="162"/>
      <c r="AW54" s="162"/>
      <c r="AX54" s="162"/>
      <c r="AY54" s="92" t="s">
        <v>4497</v>
      </c>
      <c r="AZ54" s="162"/>
      <c r="BA54" s="162"/>
      <c r="BB54" s="162"/>
      <c r="BC54" s="162"/>
      <c r="BD54" s="162"/>
      <c r="BE54" s="162"/>
      <c r="BF54" s="162"/>
      <c r="BG54" s="160"/>
      <c r="BH54" s="160"/>
      <c r="BI54" s="162"/>
      <c r="BJ54" s="162"/>
      <c r="BK54" s="160"/>
      <c r="BL54" s="162"/>
      <c r="BM54" s="162"/>
      <c r="BN54" s="161" t="s">
        <v>2236</v>
      </c>
    </row>
    <row r="55" ht="15.75" customHeight="1">
      <c r="A55" s="159">
        <v>45257.0</v>
      </c>
      <c r="B55" s="160" t="s">
        <v>4498</v>
      </c>
      <c r="C55" s="161">
        <v>0.0</v>
      </c>
      <c r="D55" s="161" t="s">
        <v>4499</v>
      </c>
      <c r="E55" s="161" t="s">
        <v>2229</v>
      </c>
      <c r="F55" s="161" t="s">
        <v>2430</v>
      </c>
      <c r="G55" s="162"/>
      <c r="H55" s="161" t="s">
        <v>4500</v>
      </c>
      <c r="I55" s="162"/>
      <c r="J55" s="161" t="s">
        <v>4501</v>
      </c>
      <c r="K55" s="161" t="s">
        <v>4502</v>
      </c>
      <c r="L55" s="161" t="s">
        <v>4503</v>
      </c>
      <c r="M55" s="161" t="s">
        <v>4504</v>
      </c>
      <c r="N55" s="160"/>
      <c r="O55" s="161" t="s">
        <v>4489</v>
      </c>
      <c r="P55" s="161" t="s">
        <v>2235</v>
      </c>
      <c r="Q55" s="161" t="s">
        <v>4505</v>
      </c>
      <c r="R55" s="161" t="s">
        <v>1669</v>
      </c>
      <c r="S55" s="161" t="s">
        <v>4506</v>
      </c>
      <c r="T55" s="161" t="s">
        <v>4507</v>
      </c>
      <c r="U55" s="161" t="s">
        <v>1764</v>
      </c>
      <c r="V55" s="162"/>
      <c r="W55" s="161" t="s">
        <v>4508</v>
      </c>
      <c r="X55" s="161" t="s">
        <v>4509</v>
      </c>
      <c r="Y55" s="161" t="s">
        <v>4510</v>
      </c>
      <c r="Z55" s="160"/>
      <c r="AA55" s="161" t="s">
        <v>4511</v>
      </c>
      <c r="AB55" s="161" t="s">
        <v>4512</v>
      </c>
      <c r="AC55" s="161" t="s">
        <v>4513</v>
      </c>
      <c r="AD55" s="161" t="s">
        <v>4514</v>
      </c>
      <c r="AE55" s="160"/>
      <c r="AF55" s="161" t="s">
        <v>4515</v>
      </c>
      <c r="AG55" s="160"/>
      <c r="AH55" s="161" t="s">
        <v>2235</v>
      </c>
      <c r="AI55" s="161" t="s">
        <v>4516</v>
      </c>
      <c r="AJ55" s="161" t="s">
        <v>2232</v>
      </c>
      <c r="AK55" s="160"/>
      <c r="AL55" s="160"/>
      <c r="AM55" s="160"/>
      <c r="AN55" s="160"/>
      <c r="AO55" s="160"/>
      <c r="AP55" s="160"/>
      <c r="AQ55" s="163" t="s">
        <v>4482</v>
      </c>
      <c r="AR55" s="162"/>
      <c r="AS55" s="161" t="s">
        <v>2237</v>
      </c>
      <c r="AT55" s="162"/>
      <c r="AU55" s="162"/>
      <c r="AV55" s="162"/>
      <c r="AW55" s="162"/>
      <c r="AX55" s="162"/>
      <c r="AY55" s="161" t="s">
        <v>4517</v>
      </c>
      <c r="AZ55" s="162"/>
      <c r="BA55" s="162"/>
      <c r="BB55" s="162"/>
      <c r="BC55" s="162"/>
      <c r="BD55" s="162"/>
      <c r="BE55" s="162"/>
      <c r="BF55" s="162"/>
      <c r="BG55" s="160"/>
      <c r="BH55" s="160"/>
      <c r="BI55" s="162"/>
      <c r="BJ55" s="162"/>
      <c r="BK55" s="160"/>
      <c r="BL55" s="162"/>
      <c r="BM55" s="162"/>
      <c r="BN55" s="164" t="s">
        <v>2230</v>
      </c>
    </row>
    <row r="56" ht="15.75" customHeight="1">
      <c r="A56" s="165">
        <v>45258.0</v>
      </c>
      <c r="B56" s="160"/>
      <c r="C56" s="161" t="s">
        <v>2291</v>
      </c>
      <c r="D56" s="161" t="s">
        <v>4518</v>
      </c>
      <c r="E56" s="161" t="s">
        <v>4519</v>
      </c>
      <c r="F56" s="161" t="s">
        <v>4520</v>
      </c>
      <c r="G56" s="162"/>
      <c r="H56" s="161" t="s">
        <v>4521</v>
      </c>
      <c r="I56" s="162"/>
      <c r="J56" s="161" t="s">
        <v>4522</v>
      </c>
      <c r="K56" s="161" t="s">
        <v>4523</v>
      </c>
      <c r="L56" s="161" t="s">
        <v>4524</v>
      </c>
      <c r="M56" s="161" t="s">
        <v>4525</v>
      </c>
      <c r="N56" s="160"/>
      <c r="O56" s="161" t="s">
        <v>4526</v>
      </c>
      <c r="P56" s="161" t="s">
        <v>4527</v>
      </c>
      <c r="Q56" s="161" t="s">
        <v>4528</v>
      </c>
      <c r="R56" s="161" t="s">
        <v>4529</v>
      </c>
      <c r="S56" s="161" t="s">
        <v>4530</v>
      </c>
      <c r="T56" s="161" t="s">
        <v>4531</v>
      </c>
      <c r="U56" s="161" t="s">
        <v>2235</v>
      </c>
      <c r="V56" s="162"/>
      <c r="W56" s="161" t="s">
        <v>4532</v>
      </c>
      <c r="X56" s="161" t="s">
        <v>4533</v>
      </c>
      <c r="Y56" s="161" t="s">
        <v>4534</v>
      </c>
      <c r="Z56" s="160"/>
      <c r="AA56" s="161" t="s">
        <v>4535</v>
      </c>
      <c r="AB56" s="161" t="s">
        <v>4536</v>
      </c>
      <c r="AC56" s="161" t="s">
        <v>4537</v>
      </c>
      <c r="AD56" s="161" t="s">
        <v>4538</v>
      </c>
      <c r="AE56" s="160"/>
      <c r="AF56" s="161" t="s">
        <v>4539</v>
      </c>
      <c r="AG56" s="160"/>
      <c r="AH56" s="161" t="s">
        <v>4540</v>
      </c>
      <c r="AI56" s="161" t="s">
        <v>4541</v>
      </c>
      <c r="AJ56" s="161" t="s">
        <v>1691</v>
      </c>
      <c r="AK56" s="160"/>
      <c r="AL56" s="160"/>
      <c r="AM56" s="160"/>
      <c r="AN56" s="160"/>
      <c r="AO56" s="160"/>
      <c r="AP56" s="160"/>
      <c r="AQ56" s="163" t="s">
        <v>4482</v>
      </c>
      <c r="AR56" s="162"/>
      <c r="AS56" s="161" t="s">
        <v>2237</v>
      </c>
      <c r="AT56" s="162"/>
      <c r="AU56" s="162"/>
      <c r="AV56" s="162"/>
      <c r="AW56" s="162"/>
      <c r="AX56" s="162"/>
      <c r="AY56" s="161" t="s">
        <v>4542</v>
      </c>
      <c r="AZ56" s="162"/>
      <c r="BA56" s="162"/>
      <c r="BB56" s="162"/>
      <c r="BC56" s="162"/>
      <c r="BD56" s="162"/>
      <c r="BE56" s="162"/>
      <c r="BF56" s="162"/>
      <c r="BG56" s="160"/>
      <c r="BH56" s="160"/>
      <c r="BI56" s="162"/>
      <c r="BJ56" s="162"/>
      <c r="BK56" s="160"/>
      <c r="BL56" s="162"/>
      <c r="BM56" s="162"/>
      <c r="BN56" s="164" t="s">
        <v>1668</v>
      </c>
    </row>
    <row r="57" ht="15.75" customHeight="1">
      <c r="A57" s="167">
        <v>45259.0</v>
      </c>
      <c r="B57" s="14"/>
      <c r="C57" s="149" t="s">
        <v>4543</v>
      </c>
      <c r="D57" s="149" t="s">
        <v>4544</v>
      </c>
      <c r="E57" s="149" t="s">
        <v>2235</v>
      </c>
      <c r="F57" s="149" t="s">
        <v>4545</v>
      </c>
      <c r="G57" s="148"/>
      <c r="H57" s="149" t="s">
        <v>4546</v>
      </c>
      <c r="I57" s="148"/>
      <c r="J57" s="149" t="s">
        <v>4547</v>
      </c>
      <c r="K57" s="149" t="s">
        <v>4548</v>
      </c>
      <c r="L57" s="149" t="s">
        <v>4549</v>
      </c>
      <c r="M57" s="149" t="s">
        <v>4550</v>
      </c>
      <c r="N57" s="14"/>
      <c r="O57" s="149" t="s">
        <v>4551</v>
      </c>
      <c r="P57" s="149" t="s">
        <v>4552</v>
      </c>
      <c r="Q57" s="149" t="s">
        <v>4553</v>
      </c>
      <c r="R57" s="149" t="s">
        <v>4554</v>
      </c>
      <c r="S57" s="149" t="s">
        <v>4555</v>
      </c>
      <c r="T57" s="149" t="s">
        <v>4556</v>
      </c>
      <c r="U57" s="149" t="s">
        <v>4557</v>
      </c>
      <c r="V57" s="148"/>
      <c r="W57" s="149" t="s">
        <v>4558</v>
      </c>
      <c r="X57" s="149" t="s">
        <v>4520</v>
      </c>
      <c r="Y57" s="149" t="s">
        <v>4559</v>
      </c>
      <c r="Z57" s="14"/>
      <c r="AA57" s="149" t="s">
        <v>4560</v>
      </c>
      <c r="AB57" s="149" t="s">
        <v>4519</v>
      </c>
      <c r="AC57" s="149" t="s">
        <v>4561</v>
      </c>
      <c r="AD57" s="149" t="s">
        <v>4562</v>
      </c>
      <c r="AE57" s="14"/>
      <c r="AF57" s="149" t="s">
        <v>4563</v>
      </c>
      <c r="AG57" s="14"/>
      <c r="AH57" s="149" t="s">
        <v>4564</v>
      </c>
      <c r="AI57" s="149" t="s">
        <v>4565</v>
      </c>
      <c r="AJ57" s="149" t="s">
        <v>4566</v>
      </c>
      <c r="AK57" s="14"/>
      <c r="AL57" s="14"/>
      <c r="AM57" s="14"/>
      <c r="AN57" s="14"/>
      <c r="AO57" s="14"/>
      <c r="AP57" s="14"/>
      <c r="AQ57" s="151"/>
      <c r="AR57" s="148"/>
      <c r="AS57" s="149" t="s">
        <v>4567</v>
      </c>
      <c r="AT57" s="148"/>
      <c r="AU57" s="148"/>
      <c r="AV57" s="148"/>
      <c r="AW57" s="148"/>
      <c r="AX57" s="148"/>
      <c r="AY57" s="149" t="s">
        <v>4568</v>
      </c>
      <c r="AZ57" s="148"/>
      <c r="BA57" s="148"/>
      <c r="BB57" s="148"/>
      <c r="BC57" s="148"/>
      <c r="BD57" s="148"/>
      <c r="BE57" s="148"/>
      <c r="BF57" s="148"/>
      <c r="BG57" s="14"/>
      <c r="BH57" s="14"/>
      <c r="BI57" s="148"/>
      <c r="BJ57" s="148"/>
      <c r="BK57" s="14"/>
      <c r="BL57" s="148"/>
      <c r="BM57" s="148"/>
      <c r="BN57" s="149" t="s">
        <v>4569</v>
      </c>
    </row>
    <row r="58" ht="15.75" customHeight="1">
      <c r="A58" s="24">
        <v>45261.0</v>
      </c>
      <c r="B58" s="10"/>
      <c r="C58" s="84" t="s">
        <v>4570</v>
      </c>
      <c r="D58" s="84" t="s">
        <v>4571</v>
      </c>
      <c r="E58" s="84" t="s">
        <v>4540</v>
      </c>
      <c r="F58" s="84" t="s">
        <v>4572</v>
      </c>
      <c r="G58" s="108"/>
      <c r="H58" s="84" t="s">
        <v>4573</v>
      </c>
      <c r="I58" s="108"/>
      <c r="J58" s="84" t="s">
        <v>4574</v>
      </c>
      <c r="K58" s="84" t="s">
        <v>4575</v>
      </c>
      <c r="L58" s="84" t="s">
        <v>4576</v>
      </c>
      <c r="M58" s="84" t="s">
        <v>4537</v>
      </c>
      <c r="N58" s="10"/>
      <c r="O58" s="84" t="s">
        <v>4577</v>
      </c>
      <c r="P58" s="84" t="s">
        <v>4578</v>
      </c>
      <c r="Q58" s="84" t="s">
        <v>4579</v>
      </c>
      <c r="R58" s="84" t="s">
        <v>4541</v>
      </c>
      <c r="S58" s="84" t="s">
        <v>4580</v>
      </c>
      <c r="T58" s="84" t="s">
        <v>4581</v>
      </c>
      <c r="U58" s="84" t="s">
        <v>4582</v>
      </c>
      <c r="V58" s="108"/>
      <c r="W58" s="84" t="s">
        <v>4583</v>
      </c>
      <c r="X58" s="84" t="s">
        <v>4584</v>
      </c>
      <c r="Y58" s="84" t="s">
        <v>2230</v>
      </c>
      <c r="Z58" s="10"/>
      <c r="AA58" s="84" t="s">
        <v>4539</v>
      </c>
      <c r="AB58" s="84" t="s">
        <v>4585</v>
      </c>
      <c r="AC58" s="84" t="s">
        <v>4586</v>
      </c>
      <c r="AD58" s="84" t="s">
        <v>4587</v>
      </c>
      <c r="AE58" s="10"/>
      <c r="AF58" s="84" t="s">
        <v>4588</v>
      </c>
      <c r="AG58" s="10"/>
      <c r="AH58" s="84" t="s">
        <v>4589</v>
      </c>
      <c r="AI58" s="84" t="s">
        <v>4590</v>
      </c>
      <c r="AJ58" s="84" t="s">
        <v>4591</v>
      </c>
      <c r="AK58" s="10"/>
      <c r="AL58" s="10"/>
      <c r="AM58" s="10"/>
      <c r="AN58" s="10"/>
      <c r="AO58" s="10"/>
      <c r="AP58" s="10"/>
      <c r="AQ58" s="86"/>
      <c r="AR58" s="108"/>
      <c r="AS58" s="84" t="s">
        <v>4592</v>
      </c>
      <c r="AT58" s="108"/>
      <c r="AU58" s="108"/>
      <c r="AV58" s="108"/>
      <c r="AW58" s="108"/>
      <c r="AX58" s="108"/>
      <c r="AY58" s="84" t="s">
        <v>4593</v>
      </c>
      <c r="AZ58" s="108"/>
      <c r="BA58" s="108"/>
      <c r="BB58" s="108"/>
      <c r="BC58" s="108"/>
      <c r="BD58" s="108"/>
      <c r="BE58" s="108"/>
      <c r="BF58" s="108"/>
      <c r="BG58" s="10"/>
      <c r="BH58" s="10"/>
      <c r="BI58" s="108"/>
      <c r="BJ58" s="108"/>
      <c r="BK58" s="10"/>
      <c r="BL58" s="108"/>
      <c r="BM58" s="108"/>
      <c r="BN58" s="84" t="s">
        <v>4594</v>
      </c>
    </row>
    <row r="59" ht="15.75" customHeight="1">
      <c r="A59" s="168">
        <v>45265.0</v>
      </c>
      <c r="B59" s="71"/>
      <c r="C59" s="92" t="s">
        <v>2233</v>
      </c>
      <c r="D59" s="92" t="s">
        <v>4595</v>
      </c>
      <c r="E59" s="92" t="s">
        <v>4490</v>
      </c>
      <c r="F59" s="92" t="s">
        <v>4596</v>
      </c>
      <c r="G59" s="71"/>
      <c r="H59" s="92" t="s">
        <v>4597</v>
      </c>
      <c r="I59" s="71"/>
      <c r="J59" s="92" t="s">
        <v>2233</v>
      </c>
      <c r="K59" s="92" t="s">
        <v>4598</v>
      </c>
      <c r="L59" s="92" t="s">
        <v>2230</v>
      </c>
      <c r="M59" s="92" t="s">
        <v>4595</v>
      </c>
      <c r="N59" s="71"/>
      <c r="O59" s="92" t="s">
        <v>1668</v>
      </c>
      <c r="P59" s="92" t="s">
        <v>4599</v>
      </c>
      <c r="Q59" s="92" t="s">
        <v>4476</v>
      </c>
      <c r="R59" s="92" t="s">
        <v>2237</v>
      </c>
      <c r="S59" s="92" t="s">
        <v>2298</v>
      </c>
      <c r="T59" s="92" t="s">
        <v>2430</v>
      </c>
      <c r="U59" s="92" t="s">
        <v>4600</v>
      </c>
      <c r="V59" s="169"/>
      <c r="W59" s="92" t="s">
        <v>1669</v>
      </c>
      <c r="X59" s="92" t="s">
        <v>4476</v>
      </c>
      <c r="Y59" s="92" t="s">
        <v>4601</v>
      </c>
      <c r="Z59" s="71"/>
      <c r="AA59" s="92" t="s">
        <v>2430</v>
      </c>
      <c r="AB59" s="92" t="s">
        <v>4476</v>
      </c>
      <c r="AC59" s="92" t="s">
        <v>4602</v>
      </c>
      <c r="AD59" s="92" t="s">
        <v>2291</v>
      </c>
      <c r="AE59" s="71"/>
      <c r="AF59" s="92" t="s">
        <v>2230</v>
      </c>
      <c r="AG59" s="71"/>
      <c r="AH59" s="92" t="s">
        <v>4603</v>
      </c>
      <c r="AI59" s="92" t="s">
        <v>2238</v>
      </c>
      <c r="AJ59" s="92" t="s">
        <v>2237</v>
      </c>
      <c r="AK59" s="71"/>
      <c r="AL59" s="71"/>
      <c r="AM59" s="71"/>
      <c r="AN59" s="71"/>
      <c r="AO59" s="71"/>
      <c r="AP59" s="71"/>
      <c r="AQ59" s="96"/>
      <c r="AR59" s="169"/>
      <c r="AS59" s="92" t="s">
        <v>2236</v>
      </c>
      <c r="AT59" s="169"/>
      <c r="AU59" s="169"/>
      <c r="AV59" s="169"/>
      <c r="AW59" s="169"/>
      <c r="AX59" s="169"/>
      <c r="AY59" s="92" t="s">
        <v>4604</v>
      </c>
      <c r="AZ59" s="71"/>
      <c r="BA59" s="71"/>
      <c r="BB59" s="71"/>
      <c r="BC59" s="71"/>
      <c r="BD59" s="71"/>
      <c r="BE59" s="169"/>
      <c r="BF59" s="169"/>
      <c r="BG59" s="71"/>
      <c r="BH59" s="71"/>
      <c r="BI59" s="169"/>
      <c r="BJ59" s="169"/>
      <c r="BK59" s="71"/>
      <c r="BL59" s="169"/>
      <c r="BM59" s="169"/>
      <c r="BN59" s="92" t="s">
        <v>1691</v>
      </c>
    </row>
    <row r="60" ht="15.75" customHeight="1">
      <c r="A60" s="10"/>
      <c r="B60" s="10"/>
      <c r="C60" s="10"/>
      <c r="D60" s="10"/>
      <c r="E60" s="10"/>
      <c r="F60" s="10"/>
      <c r="G60" s="10"/>
      <c r="H60" s="10"/>
      <c r="I60" s="10"/>
      <c r="J60" s="84"/>
      <c r="K60" s="84"/>
      <c r="L60" s="84"/>
      <c r="M60" s="84"/>
      <c r="N60" s="10"/>
      <c r="O60" s="84"/>
      <c r="P60" s="84"/>
      <c r="Q60" s="84"/>
      <c r="R60" s="84"/>
      <c r="S60" s="84"/>
      <c r="T60" s="84"/>
      <c r="U60" s="84"/>
      <c r="V60" s="108"/>
      <c r="W60" s="84"/>
      <c r="X60" s="84"/>
      <c r="Y60" s="84"/>
      <c r="Z60" s="10"/>
      <c r="AA60" s="84"/>
      <c r="AB60" s="84"/>
      <c r="AC60" s="84"/>
      <c r="AD60" s="84"/>
      <c r="AE60" s="10"/>
      <c r="AF60" s="84"/>
      <c r="AG60" s="10"/>
      <c r="AH60" s="84"/>
      <c r="AI60" s="84"/>
      <c r="AJ60" s="84"/>
      <c r="AK60" s="10"/>
      <c r="AL60" s="10"/>
      <c r="AM60" s="10"/>
      <c r="AN60" s="10"/>
      <c r="AO60" s="10"/>
      <c r="AP60" s="10"/>
      <c r="AQ60" s="86"/>
      <c r="AR60" s="10"/>
      <c r="AS60" s="84"/>
      <c r="AT60" s="10"/>
      <c r="AU60" s="10"/>
      <c r="AV60" s="10"/>
      <c r="AW60" s="10"/>
      <c r="AX60" s="10"/>
      <c r="AY60" s="84"/>
      <c r="AZ60" s="10"/>
      <c r="BA60" s="10"/>
      <c r="BB60" s="10"/>
      <c r="BC60" s="10"/>
      <c r="BD60" s="10"/>
      <c r="BE60" s="108"/>
      <c r="BF60" s="108"/>
      <c r="BG60" s="10"/>
      <c r="BH60" s="10"/>
      <c r="BI60" s="108"/>
      <c r="BJ60" s="108"/>
      <c r="BK60" s="10"/>
      <c r="BL60" s="108"/>
      <c r="BM60" s="108"/>
      <c r="BN60" s="84"/>
    </row>
    <row r="61" ht="15.75" customHeight="1">
      <c r="A61" s="71" t="s">
        <v>4605</v>
      </c>
      <c r="B61" s="71" t="s">
        <v>4606</v>
      </c>
      <c r="C61" s="71" t="s">
        <v>4607</v>
      </c>
      <c r="D61" s="71"/>
      <c r="E61" s="71"/>
      <c r="F61" s="71" t="s">
        <v>4607</v>
      </c>
      <c r="G61" s="71" t="s">
        <v>4608</v>
      </c>
      <c r="H61" s="71"/>
      <c r="I61" s="71"/>
      <c r="J61" s="71"/>
      <c r="K61" s="71"/>
      <c r="L61" s="71"/>
      <c r="M61" s="71"/>
      <c r="N61" s="71" t="s">
        <v>4608</v>
      </c>
      <c r="O61" s="71" t="s">
        <v>4608</v>
      </c>
      <c r="P61" s="71" t="s">
        <v>4607</v>
      </c>
      <c r="Q61" s="71" t="s">
        <v>4608</v>
      </c>
      <c r="R61" s="71"/>
      <c r="S61" s="71"/>
      <c r="T61" s="71"/>
      <c r="U61" s="71"/>
      <c r="V61" s="71"/>
      <c r="W61" s="71"/>
      <c r="X61" s="71"/>
      <c r="Y61" s="71"/>
      <c r="Z61" s="71" t="s">
        <v>4608</v>
      </c>
      <c r="AA61" s="71"/>
      <c r="AB61" s="71"/>
      <c r="AC61" s="71"/>
      <c r="AD61" s="71"/>
      <c r="AE61" s="71"/>
      <c r="AF61" s="71"/>
      <c r="AG61" s="71" t="s">
        <v>4608</v>
      </c>
      <c r="AH61" s="71"/>
      <c r="AI61" s="71"/>
      <c r="AJ61" s="71"/>
      <c r="AK61" s="71" t="s">
        <v>4608</v>
      </c>
      <c r="AL61" s="71" t="s">
        <v>4608</v>
      </c>
      <c r="AM61" s="71" t="s">
        <v>4607</v>
      </c>
      <c r="AN61" s="71" t="s">
        <v>4608</v>
      </c>
      <c r="AO61" s="71"/>
      <c r="AP61" s="71" t="s">
        <v>4607</v>
      </c>
      <c r="AQ61" s="71"/>
      <c r="AR61" s="71" t="s">
        <v>4608</v>
      </c>
      <c r="AS61" s="71"/>
      <c r="AT61" s="71"/>
      <c r="AU61" s="71" t="s">
        <v>4608</v>
      </c>
      <c r="AV61" s="71" t="s">
        <v>4607</v>
      </c>
      <c r="AW61" s="71" t="s">
        <v>4608</v>
      </c>
      <c r="AX61" s="71" t="s">
        <v>4607</v>
      </c>
      <c r="AY61" s="71"/>
      <c r="AZ61" s="71" t="s">
        <v>4608</v>
      </c>
      <c r="BA61" s="71" t="s">
        <v>4608</v>
      </c>
      <c r="BB61" s="71"/>
      <c r="BC61" s="71" t="s">
        <v>4608</v>
      </c>
      <c r="BD61" s="71" t="s">
        <v>4607</v>
      </c>
      <c r="BE61" s="71" t="s">
        <v>4608</v>
      </c>
      <c r="BF61" s="71" t="s">
        <v>4607</v>
      </c>
      <c r="BG61" s="71" t="s">
        <v>4607</v>
      </c>
      <c r="BH61" s="71" t="s">
        <v>4607</v>
      </c>
      <c r="BI61" s="71" t="s">
        <v>4608</v>
      </c>
      <c r="BJ61" s="71" t="s">
        <v>4607</v>
      </c>
      <c r="BK61" s="71" t="s">
        <v>4607</v>
      </c>
      <c r="BL61" s="71" t="s">
        <v>4607</v>
      </c>
      <c r="BM61" s="71" t="s">
        <v>4608</v>
      </c>
      <c r="BN61" s="71"/>
    </row>
    <row r="62" ht="15.75" customHeight="1">
      <c r="A62" s="24"/>
      <c r="B62" s="10" t="s">
        <v>4609</v>
      </c>
      <c r="C62" s="10"/>
      <c r="D62" s="10"/>
      <c r="E62" s="10"/>
      <c r="F62" s="10"/>
      <c r="G62" s="10"/>
      <c r="H62" s="10"/>
      <c r="I62" s="10"/>
      <c r="J62" s="10"/>
      <c r="K62" s="10"/>
      <c r="L62" s="10"/>
      <c r="M62" s="10"/>
      <c r="N62" s="10"/>
      <c r="O62" s="10"/>
      <c r="P62" s="10"/>
      <c r="Q62" s="10"/>
      <c r="R62" s="10"/>
      <c r="S62" s="10"/>
      <c r="T62" s="10"/>
      <c r="U62" s="10"/>
      <c r="V62" s="10"/>
      <c r="W62" s="10"/>
      <c r="X62" s="10"/>
      <c r="Y62" s="10"/>
      <c r="Z62" s="10" t="s">
        <v>4607</v>
      </c>
      <c r="AA62" s="10"/>
      <c r="AB62" s="10"/>
      <c r="AC62" s="10"/>
      <c r="AD62" s="10"/>
      <c r="AE62" s="10"/>
      <c r="AF62" s="10"/>
      <c r="AG62" s="10" t="s">
        <v>4607</v>
      </c>
      <c r="AH62" s="10"/>
      <c r="AI62" s="10"/>
      <c r="AJ62" s="10"/>
      <c r="AK62" s="10" t="s">
        <v>4608</v>
      </c>
      <c r="AL62" s="10" t="s">
        <v>4608</v>
      </c>
      <c r="AM62" s="10"/>
      <c r="AN62" s="10" t="s">
        <v>4607</v>
      </c>
      <c r="AO62" s="10" t="s">
        <v>4607</v>
      </c>
      <c r="AP62" s="10"/>
      <c r="AQ62" s="10"/>
      <c r="AR62" s="10"/>
      <c r="AS62" s="10"/>
      <c r="AT62" s="10" t="s">
        <v>4607</v>
      </c>
      <c r="AU62" s="10" t="s">
        <v>4607</v>
      </c>
      <c r="AV62" s="10"/>
      <c r="AW62" s="10" t="s">
        <v>4607</v>
      </c>
      <c r="AX62" s="10"/>
      <c r="AY62" s="10"/>
      <c r="AZ62" s="10" t="s">
        <v>4608</v>
      </c>
      <c r="BA62" s="10" t="s">
        <v>4607</v>
      </c>
      <c r="BB62" s="10"/>
      <c r="BC62" s="10" t="s">
        <v>4607</v>
      </c>
      <c r="BD62" s="10"/>
      <c r="BE62" s="10" t="s">
        <v>4608</v>
      </c>
      <c r="BF62" s="10"/>
      <c r="BG62" s="10"/>
      <c r="BH62" s="10"/>
      <c r="BI62" s="10" t="s">
        <v>4608</v>
      </c>
      <c r="BJ62" s="10"/>
      <c r="BK62" s="10"/>
      <c r="BL62" s="10"/>
      <c r="BM62" s="10" t="s">
        <v>4607</v>
      </c>
      <c r="BN62" s="10"/>
    </row>
    <row r="63" ht="15.75" customHeight="1">
      <c r="A63" s="27"/>
      <c r="B63" s="10" t="s">
        <v>4610</v>
      </c>
      <c r="C63" s="10"/>
      <c r="D63" s="10" t="s">
        <v>4611</v>
      </c>
      <c r="E63" s="10" t="s">
        <v>4611</v>
      </c>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t="s">
        <v>4611</v>
      </c>
      <c r="BA63" s="10"/>
      <c r="BB63" s="10"/>
      <c r="BC63" s="10"/>
      <c r="BD63" s="10"/>
      <c r="BE63" s="10"/>
      <c r="BF63" s="10"/>
      <c r="BG63" s="10" t="s">
        <v>4611</v>
      </c>
      <c r="BH63" s="10"/>
      <c r="BI63" s="10"/>
      <c r="BJ63" s="10" t="s">
        <v>4611</v>
      </c>
      <c r="BK63" s="10" t="s">
        <v>4611</v>
      </c>
      <c r="BL63" s="10" t="s">
        <v>4611</v>
      </c>
      <c r="BM63" s="10"/>
      <c r="BN63" s="10"/>
    </row>
    <row r="64" ht="15.75" customHeight="1">
      <c r="A64" s="24"/>
      <c r="B64" s="10" t="s">
        <v>4612</v>
      </c>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row>
    <row r="65" ht="15.75" customHeight="1">
      <c r="A65" s="10"/>
      <c r="B65" s="10" t="s">
        <v>4613</v>
      </c>
      <c r="C65" s="10"/>
      <c r="D65" s="10"/>
      <c r="E65" s="10"/>
      <c r="F65" s="10"/>
      <c r="G65" s="10"/>
      <c r="H65" s="10" t="s">
        <v>4614</v>
      </c>
      <c r="I65" s="10" t="s">
        <v>4614</v>
      </c>
      <c r="J65" s="10"/>
      <c r="K65" s="10" t="s">
        <v>4614</v>
      </c>
      <c r="L65" s="10" t="s">
        <v>4614</v>
      </c>
      <c r="M65" s="10" t="s">
        <v>4614</v>
      </c>
      <c r="N65" s="10"/>
      <c r="O65" s="10"/>
      <c r="P65" s="10"/>
      <c r="Q65" s="10"/>
      <c r="R65" s="10" t="s">
        <v>4614</v>
      </c>
      <c r="S65" s="10" t="s">
        <v>4614</v>
      </c>
      <c r="T65" s="10" t="s">
        <v>4614</v>
      </c>
      <c r="U65" s="10" t="s">
        <v>4614</v>
      </c>
      <c r="V65" s="10" t="s">
        <v>4614</v>
      </c>
      <c r="W65" s="10" t="s">
        <v>4614</v>
      </c>
      <c r="X65" s="10" t="s">
        <v>4614</v>
      </c>
      <c r="Y65" s="10" t="s">
        <v>4614</v>
      </c>
      <c r="Z65" s="10"/>
      <c r="AA65" s="10" t="s">
        <v>4614</v>
      </c>
      <c r="AB65" s="10" t="s">
        <v>4614</v>
      </c>
      <c r="AC65" s="10" t="s">
        <v>4614</v>
      </c>
      <c r="AD65" s="10" t="s">
        <v>4614</v>
      </c>
      <c r="AE65" s="10"/>
      <c r="AF65" s="10"/>
      <c r="AG65" s="10"/>
      <c r="AH65" s="10" t="s">
        <v>4614</v>
      </c>
      <c r="AI65" s="10" t="s">
        <v>4614</v>
      </c>
      <c r="AJ65" s="10" t="s">
        <v>4614</v>
      </c>
      <c r="AK65" s="10"/>
      <c r="AL65" s="10"/>
      <c r="AM65" s="10"/>
      <c r="AN65" s="10"/>
      <c r="AO65" s="10"/>
      <c r="AP65" s="10"/>
      <c r="AQ65" s="10" t="s">
        <v>4614</v>
      </c>
      <c r="AR65" s="10" t="s">
        <v>4614</v>
      </c>
      <c r="AS65" s="10" t="s">
        <v>4614</v>
      </c>
      <c r="AT65" s="10"/>
      <c r="AU65" s="10"/>
      <c r="AV65" s="10"/>
      <c r="AW65" s="10"/>
      <c r="AX65" s="10"/>
      <c r="AY65" s="10" t="s">
        <v>4614</v>
      </c>
      <c r="AZ65" s="10"/>
      <c r="BA65" s="10"/>
      <c r="BB65" s="10" t="s">
        <v>4614</v>
      </c>
      <c r="BC65" s="10"/>
      <c r="BD65" s="10"/>
      <c r="BE65" s="10"/>
      <c r="BF65" s="10"/>
      <c r="BG65" s="10"/>
      <c r="BH65" s="10"/>
      <c r="BI65" s="10"/>
      <c r="BJ65" s="10"/>
      <c r="BK65" s="10"/>
      <c r="BL65" s="10"/>
      <c r="BM65" s="10"/>
      <c r="BN65" s="10" t="s">
        <v>4614</v>
      </c>
    </row>
    <row r="66" ht="15.75" customHeight="1">
      <c r="A66" s="10"/>
      <c r="B66" s="10" t="s">
        <v>4615</v>
      </c>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t="s">
        <v>4616</v>
      </c>
      <c r="AJ66" s="10"/>
      <c r="AK66" s="10"/>
      <c r="AL66" s="10"/>
      <c r="AM66" s="10"/>
      <c r="AN66" s="10"/>
      <c r="AO66" s="10"/>
      <c r="AP66" s="10"/>
      <c r="AQ66" s="10" t="s">
        <v>4616</v>
      </c>
      <c r="AR66" s="10" t="s">
        <v>4616</v>
      </c>
      <c r="AS66" s="10" t="s">
        <v>4616</v>
      </c>
      <c r="AT66" s="10"/>
      <c r="AU66" s="10"/>
      <c r="AV66" s="10"/>
      <c r="AW66" s="10"/>
      <c r="AX66" s="10"/>
      <c r="AY66" s="10" t="s">
        <v>4616</v>
      </c>
      <c r="AZ66" s="10"/>
      <c r="BA66" s="10"/>
      <c r="BB66" s="10" t="s">
        <v>4616</v>
      </c>
      <c r="BC66" s="10"/>
      <c r="BD66" s="10"/>
      <c r="BE66" s="10"/>
      <c r="BF66" s="10"/>
      <c r="BG66" s="10"/>
      <c r="BH66" s="10"/>
      <c r="BI66" s="10"/>
      <c r="BJ66" s="10"/>
      <c r="BK66" s="10"/>
      <c r="BL66" s="10"/>
      <c r="BM66" s="10"/>
      <c r="BN66" s="10" t="s">
        <v>4616</v>
      </c>
    </row>
    <row r="67" ht="15.75" customHeight="1">
      <c r="A67" s="10"/>
      <c r="B67" s="10"/>
      <c r="C67" s="10"/>
      <c r="D67" s="10"/>
      <c r="E67" s="10"/>
      <c r="F67" s="10"/>
      <c r="G67" s="10"/>
      <c r="H67" s="10"/>
      <c r="I67" s="10"/>
      <c r="J67" s="10" t="s">
        <v>4617</v>
      </c>
      <c r="K67" s="10"/>
      <c r="L67" s="10"/>
      <c r="M67" s="10"/>
      <c r="N67" s="10"/>
      <c r="O67" s="10"/>
      <c r="P67" s="10"/>
      <c r="Q67" s="10"/>
      <c r="R67" s="10"/>
      <c r="S67" s="10"/>
      <c r="T67" s="10"/>
      <c r="U67" s="10"/>
      <c r="V67" s="108"/>
      <c r="W67" s="10"/>
      <c r="X67" s="10"/>
      <c r="Y67" s="10" t="s">
        <v>4618</v>
      </c>
      <c r="Z67" s="10"/>
      <c r="AA67" s="10"/>
      <c r="AB67" s="10"/>
      <c r="AC67" s="10"/>
      <c r="AD67" s="10"/>
      <c r="AE67" s="10" t="s">
        <v>4619</v>
      </c>
      <c r="AF67" s="10"/>
      <c r="AG67" s="10"/>
      <c r="AH67" s="10"/>
      <c r="AI67" s="10"/>
      <c r="AJ67" s="10" t="s">
        <v>4620</v>
      </c>
      <c r="AK67" s="10"/>
      <c r="AL67" s="10"/>
      <c r="AM67" s="10"/>
      <c r="AN67" s="10"/>
      <c r="AO67" s="10"/>
      <c r="AP67" s="10"/>
      <c r="AQ67" s="10"/>
      <c r="AR67" s="10"/>
      <c r="AS67" s="10"/>
      <c r="AT67" s="10"/>
      <c r="AU67" s="10"/>
      <c r="AV67" s="10"/>
      <c r="AW67" s="10"/>
      <c r="AX67" s="10"/>
      <c r="AY67" s="10" t="s">
        <v>4621</v>
      </c>
      <c r="AZ67" s="10"/>
      <c r="BA67" s="10"/>
      <c r="BB67" s="10"/>
      <c r="BC67" s="10"/>
      <c r="BD67" s="10"/>
      <c r="BE67" s="10"/>
      <c r="BF67" s="10"/>
      <c r="BG67" s="10"/>
      <c r="BH67" s="10"/>
      <c r="BI67" s="10"/>
      <c r="BJ67" s="10"/>
      <c r="BK67" s="10"/>
      <c r="BL67" s="10"/>
      <c r="BM67" s="10"/>
      <c r="BN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8"/>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8"/>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8"/>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8"/>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8"/>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8"/>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8"/>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8"/>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8"/>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8"/>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8"/>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8"/>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8"/>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8"/>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8"/>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8"/>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8"/>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8"/>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8"/>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8"/>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8"/>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8"/>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row>
    <row r="90" ht="15.75" customHeight="1">
      <c r="A90" s="10"/>
      <c r="B90" s="10"/>
      <c r="C90" s="10" t="s">
        <v>1462</v>
      </c>
      <c r="D90" s="10"/>
      <c r="E90" s="10"/>
      <c r="F90" s="10"/>
      <c r="G90" s="10"/>
      <c r="H90" s="10"/>
      <c r="I90" s="10"/>
      <c r="J90" s="10"/>
      <c r="K90" s="10"/>
      <c r="L90" s="10"/>
      <c r="M90" s="10"/>
      <c r="N90" s="10"/>
      <c r="O90" s="10"/>
      <c r="P90" s="10"/>
      <c r="Q90" s="10"/>
      <c r="R90" s="10"/>
      <c r="S90" s="10"/>
      <c r="T90" s="10"/>
      <c r="U90" s="10"/>
      <c r="V90" s="108"/>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8"/>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8"/>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8"/>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8"/>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8"/>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8"/>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8"/>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8"/>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8"/>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8"/>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8"/>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8"/>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8"/>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8"/>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8"/>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8"/>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8"/>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8"/>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8"/>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8"/>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8"/>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8"/>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8"/>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8"/>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8"/>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8"/>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8"/>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8"/>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8"/>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8"/>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8"/>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8"/>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8"/>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8"/>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8"/>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8"/>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8"/>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8"/>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8"/>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8"/>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8"/>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8"/>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8"/>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8"/>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8"/>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8"/>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8"/>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8"/>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8"/>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8"/>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8"/>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8"/>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8"/>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8"/>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8"/>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8"/>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8"/>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8"/>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8"/>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8"/>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8"/>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8"/>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8"/>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8"/>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8"/>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8"/>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8"/>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8"/>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8"/>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8"/>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8"/>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8"/>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8"/>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8"/>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8"/>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8"/>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8"/>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8"/>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8"/>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8"/>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8"/>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8"/>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8"/>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8"/>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8"/>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8"/>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8"/>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8"/>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8"/>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8"/>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8"/>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8"/>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8"/>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8"/>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8"/>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8"/>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8"/>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8"/>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8"/>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8"/>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8"/>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8"/>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8"/>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8"/>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8"/>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8"/>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8"/>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8"/>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8"/>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8"/>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8"/>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8"/>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8"/>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8"/>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8"/>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8"/>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8"/>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8"/>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8"/>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8"/>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8"/>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8"/>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8"/>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8"/>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8"/>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8"/>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8"/>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8"/>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8"/>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8"/>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8"/>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8"/>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8"/>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8"/>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8"/>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8"/>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8"/>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8"/>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8"/>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8"/>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8"/>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8"/>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8"/>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8"/>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8"/>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8"/>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8"/>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8"/>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8"/>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8"/>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8"/>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8"/>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8"/>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8"/>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8"/>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8"/>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8"/>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8"/>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8"/>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8"/>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8"/>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8"/>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8"/>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8"/>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8"/>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8"/>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8"/>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8"/>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8"/>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8"/>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8"/>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8"/>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8"/>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8"/>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8"/>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8"/>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8"/>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8"/>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8"/>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8"/>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8"/>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8"/>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8"/>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8"/>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8"/>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8"/>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8"/>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8"/>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8"/>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8"/>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8"/>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8"/>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8"/>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8"/>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8"/>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8"/>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8"/>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8"/>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8"/>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8"/>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row>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38"/>
    <col customWidth="1" min="2" max="2" width="6.63"/>
    <col customWidth="1" min="3" max="4" width="5.13"/>
    <col customWidth="1" min="5" max="5" width="29.38"/>
    <col customWidth="1" min="6" max="6" width="67.38"/>
    <col customWidth="1" min="7" max="7" width="5.13"/>
    <col customWidth="1" min="8" max="8" width="4.0"/>
    <col customWidth="1" min="9" max="9" width="2.88"/>
    <col customWidth="1" min="10" max="12" width="4.88"/>
    <col customWidth="1" min="13" max="13" width="4.13"/>
    <col customWidth="1" min="14" max="14" width="4.75"/>
    <col customWidth="1" min="15" max="15" width="8.75"/>
    <col customWidth="1" min="16" max="16" width="12.25"/>
  </cols>
  <sheetData>
    <row r="1" ht="15.75" customHeight="1">
      <c r="A1" s="20" t="s">
        <v>1462</v>
      </c>
      <c r="B1" s="21" t="s">
        <v>34</v>
      </c>
      <c r="C1" s="20" t="s">
        <v>35</v>
      </c>
      <c r="D1" s="20" t="s">
        <v>36</v>
      </c>
      <c r="E1" s="20" t="s">
        <v>37</v>
      </c>
      <c r="F1" s="20" t="s">
        <v>38</v>
      </c>
      <c r="G1" s="20" t="s">
        <v>39</v>
      </c>
      <c r="H1" s="20" t="s">
        <v>40</v>
      </c>
      <c r="I1" s="20" t="s">
        <v>41</v>
      </c>
      <c r="J1" s="20" t="s">
        <v>42</v>
      </c>
      <c r="K1" s="20" t="s">
        <v>43</v>
      </c>
      <c r="L1" s="20" t="s">
        <v>44</v>
      </c>
      <c r="M1" s="20" t="s">
        <v>45</v>
      </c>
      <c r="N1" s="20" t="s">
        <v>46</v>
      </c>
      <c r="O1" s="22" t="s">
        <v>47</v>
      </c>
      <c r="P1" s="23" t="s">
        <v>48</v>
      </c>
      <c r="Q1" s="10"/>
      <c r="R1" s="10"/>
      <c r="S1" s="10"/>
      <c r="T1" s="10"/>
      <c r="U1" s="10"/>
      <c r="V1" s="10"/>
      <c r="W1" s="10"/>
      <c r="X1" s="10"/>
      <c r="Y1" s="10"/>
      <c r="Z1" s="10"/>
    </row>
    <row r="2" ht="15.75" customHeight="1">
      <c r="A2" s="139">
        <v>45229.0</v>
      </c>
      <c r="B2" s="10">
        <v>0.0</v>
      </c>
      <c r="C2" s="25">
        <v>0.5</v>
      </c>
      <c r="D2" s="25">
        <v>0.04861111111111111</v>
      </c>
      <c r="E2" s="170" t="s">
        <v>4622</v>
      </c>
      <c r="F2" s="10" t="s">
        <v>4623</v>
      </c>
      <c r="G2" s="10">
        <v>31.0</v>
      </c>
      <c r="H2" s="10">
        <v>5.0</v>
      </c>
      <c r="I2" s="10">
        <v>12.0</v>
      </c>
      <c r="J2" s="10">
        <v>13.0</v>
      </c>
      <c r="K2" s="10">
        <v>10.0</v>
      </c>
      <c r="L2" s="10">
        <v>0.0</v>
      </c>
      <c r="M2" s="10">
        <v>7.0</v>
      </c>
      <c r="N2" s="10">
        <v>3.0</v>
      </c>
      <c r="O2" s="10"/>
      <c r="P2" s="10"/>
      <c r="Q2" s="10"/>
      <c r="R2" s="10"/>
      <c r="S2" s="10"/>
      <c r="T2" s="10"/>
      <c r="U2" s="10"/>
      <c r="V2" s="10"/>
      <c r="W2" s="10"/>
      <c r="X2" s="10"/>
      <c r="Y2" s="10"/>
      <c r="Z2" s="10"/>
    </row>
    <row r="3" ht="15.75" customHeight="1">
      <c r="A3" s="10"/>
      <c r="B3" s="10"/>
      <c r="C3" s="25"/>
      <c r="D3" s="25"/>
      <c r="E3" s="10"/>
      <c r="F3" s="10"/>
      <c r="G3" s="10"/>
      <c r="H3" s="10"/>
      <c r="I3" s="10"/>
      <c r="J3" s="10"/>
      <c r="K3" s="10"/>
      <c r="L3" s="10"/>
      <c r="M3" s="10"/>
      <c r="N3" s="10"/>
      <c r="O3" s="10"/>
      <c r="P3" s="10"/>
      <c r="Q3" s="10"/>
      <c r="R3" s="10"/>
      <c r="S3" s="10"/>
      <c r="T3" s="10"/>
      <c r="U3" s="10"/>
      <c r="V3" s="10"/>
      <c r="W3" s="10"/>
      <c r="X3" s="10"/>
      <c r="Y3" s="10"/>
      <c r="Z3" s="10"/>
    </row>
    <row r="4" ht="15.75" customHeight="1">
      <c r="A4" s="24">
        <v>45230.0</v>
      </c>
      <c r="B4" s="10">
        <v>0.0</v>
      </c>
      <c r="C4" s="25">
        <v>0.4270833333333333</v>
      </c>
      <c r="D4" s="25">
        <v>0.4583333333333333</v>
      </c>
      <c r="E4" s="170" t="s">
        <v>4624</v>
      </c>
      <c r="F4" s="10" t="s">
        <v>4625</v>
      </c>
      <c r="G4" s="10"/>
      <c r="H4" s="10"/>
      <c r="I4" s="10"/>
      <c r="J4" s="10"/>
      <c r="K4" s="10"/>
      <c r="L4" s="10"/>
      <c r="M4" s="10"/>
      <c r="N4" s="10"/>
      <c r="O4" s="10"/>
      <c r="P4" s="10"/>
      <c r="Q4" s="10"/>
      <c r="R4" s="10"/>
      <c r="S4" s="10"/>
      <c r="T4" s="10"/>
      <c r="U4" s="10"/>
      <c r="V4" s="10"/>
      <c r="W4" s="10"/>
      <c r="X4" s="10"/>
      <c r="Y4" s="10"/>
      <c r="Z4" s="10"/>
    </row>
    <row r="5" ht="15.75" customHeight="1">
      <c r="A5" s="24"/>
      <c r="B5" s="10"/>
      <c r="C5" s="25"/>
      <c r="D5" s="25"/>
      <c r="E5" s="170"/>
      <c r="F5" s="10"/>
      <c r="G5" s="10"/>
      <c r="H5" s="10"/>
      <c r="I5" s="10"/>
      <c r="J5" s="10"/>
      <c r="K5" s="10"/>
      <c r="L5" s="10"/>
      <c r="M5" s="10"/>
      <c r="N5" s="10"/>
      <c r="O5" s="10"/>
      <c r="P5" s="10"/>
      <c r="Q5" s="10"/>
      <c r="R5" s="10"/>
      <c r="S5" s="10"/>
      <c r="T5" s="10"/>
      <c r="U5" s="10"/>
      <c r="V5" s="10"/>
      <c r="W5" s="10"/>
      <c r="X5" s="10"/>
      <c r="Y5" s="10"/>
      <c r="Z5" s="10"/>
    </row>
    <row r="6" ht="15.75" customHeight="1">
      <c r="A6" s="24">
        <v>45230.0</v>
      </c>
      <c r="B6" s="10">
        <v>0.0</v>
      </c>
      <c r="C6" s="25">
        <v>0.09375</v>
      </c>
      <c r="D6" s="25">
        <v>0.15625</v>
      </c>
      <c r="E6" s="170" t="s">
        <v>4626</v>
      </c>
      <c r="F6" s="10" t="s">
        <v>4627</v>
      </c>
      <c r="G6" s="10">
        <v>111.0</v>
      </c>
      <c r="H6" s="10">
        <v>54.0</v>
      </c>
      <c r="I6" s="10">
        <v>36.0</v>
      </c>
      <c r="J6" s="10">
        <v>21.0</v>
      </c>
      <c r="K6" s="10">
        <v>19.0</v>
      </c>
      <c r="L6" s="10">
        <v>0.0</v>
      </c>
      <c r="M6" s="10">
        <v>30.0</v>
      </c>
      <c r="N6" s="10">
        <v>42.0</v>
      </c>
      <c r="O6" s="10"/>
      <c r="P6" s="10"/>
      <c r="Q6" s="10"/>
      <c r="R6" s="10"/>
      <c r="S6" s="10"/>
      <c r="T6" s="10"/>
      <c r="U6" s="10"/>
      <c r="V6" s="10"/>
      <c r="W6" s="10"/>
      <c r="X6" s="10"/>
      <c r="Y6" s="10"/>
      <c r="Z6" s="10"/>
    </row>
    <row r="7" ht="15.75" customHeight="1">
      <c r="A7" s="10"/>
      <c r="B7" s="10"/>
      <c r="C7" s="10"/>
      <c r="D7" s="10"/>
      <c r="E7" s="10"/>
      <c r="F7" s="10"/>
      <c r="G7" s="10"/>
      <c r="H7" s="10"/>
      <c r="I7" s="10"/>
      <c r="J7" s="10"/>
      <c r="K7" s="10"/>
      <c r="L7" s="10"/>
      <c r="M7" s="10"/>
      <c r="N7" s="10"/>
      <c r="O7" s="10"/>
      <c r="P7" s="10"/>
      <c r="Q7" s="10"/>
      <c r="R7" s="10"/>
      <c r="S7" s="10"/>
      <c r="T7" s="10"/>
      <c r="U7" s="10"/>
      <c r="V7" s="10"/>
      <c r="W7" s="10"/>
      <c r="X7" s="10"/>
      <c r="Y7" s="10"/>
      <c r="Z7" s="10"/>
    </row>
    <row r="8" ht="15.75" customHeight="1">
      <c r="A8" s="27">
        <v>45231.0</v>
      </c>
      <c r="B8" s="10">
        <v>0.0</v>
      </c>
      <c r="C8" s="25">
        <v>0.4166666666666667</v>
      </c>
      <c r="D8" s="25">
        <v>0.48194444444444445</v>
      </c>
      <c r="E8" s="170" t="s">
        <v>4628</v>
      </c>
      <c r="F8" s="10" t="s">
        <v>4629</v>
      </c>
      <c r="G8" s="10">
        <v>97.0</v>
      </c>
      <c r="H8" s="10">
        <v>47.0</v>
      </c>
      <c r="I8" s="10">
        <v>37.0</v>
      </c>
      <c r="J8" s="10">
        <v>9.0</v>
      </c>
      <c r="K8" s="10">
        <v>41.0</v>
      </c>
      <c r="L8" s="10">
        <v>2.0</v>
      </c>
      <c r="M8" s="10">
        <v>1.0</v>
      </c>
      <c r="N8" s="10">
        <v>44.0</v>
      </c>
      <c r="O8" s="10"/>
      <c r="P8" s="10"/>
      <c r="Q8" s="10"/>
      <c r="R8" s="10"/>
      <c r="S8" s="10"/>
      <c r="T8" s="10"/>
      <c r="U8" s="10"/>
      <c r="V8" s="10"/>
      <c r="W8" s="10"/>
      <c r="X8" s="10"/>
      <c r="Y8" s="10"/>
      <c r="Z8" s="10"/>
    </row>
    <row r="9" ht="15.75"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5.75" customHeight="1">
      <c r="A10" s="24">
        <v>45232.0</v>
      </c>
      <c r="B10" s="10">
        <v>0.0</v>
      </c>
      <c r="C10" s="25">
        <v>0.4722222222222222</v>
      </c>
      <c r="D10" s="25">
        <v>0.53125</v>
      </c>
      <c r="E10" s="170" t="s">
        <v>4630</v>
      </c>
      <c r="F10" s="10" t="s">
        <v>4631</v>
      </c>
      <c r="G10" s="10">
        <v>104.0</v>
      </c>
      <c r="H10" s="10"/>
      <c r="I10" s="10"/>
      <c r="J10" s="10">
        <v>10.0</v>
      </c>
      <c r="K10" s="10">
        <v>15.0</v>
      </c>
      <c r="L10" s="10">
        <v>4.0</v>
      </c>
      <c r="M10" s="10">
        <v>31.0</v>
      </c>
      <c r="N10" s="10">
        <v>37.0</v>
      </c>
      <c r="O10" s="10"/>
      <c r="P10" s="10"/>
      <c r="Q10" s="10"/>
      <c r="R10" s="10"/>
      <c r="S10" s="10"/>
      <c r="T10" s="10"/>
      <c r="U10" s="10"/>
      <c r="V10" s="10"/>
      <c r="W10" s="10"/>
      <c r="X10" s="10"/>
      <c r="Y10" s="10"/>
      <c r="Z10" s="10"/>
    </row>
    <row r="11" ht="15.75" customHeight="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ht="15.75" customHeight="1">
      <c r="A12" s="24">
        <v>45233.0</v>
      </c>
      <c r="B12" s="10">
        <v>0.0</v>
      </c>
      <c r="C12" s="25">
        <v>0.4041666666666667</v>
      </c>
      <c r="D12" s="25">
        <v>0.47638888888888886</v>
      </c>
      <c r="E12" s="170" t="s">
        <v>4632</v>
      </c>
      <c r="F12" s="10" t="s">
        <v>4633</v>
      </c>
      <c r="G12" s="10">
        <v>124.0</v>
      </c>
      <c r="H12" s="10">
        <v>56.0</v>
      </c>
      <c r="I12" s="10">
        <v>33.0</v>
      </c>
      <c r="J12" s="10">
        <v>15.0</v>
      </c>
      <c r="K12" s="10">
        <v>14.0</v>
      </c>
      <c r="L12" s="10">
        <v>19.0</v>
      </c>
      <c r="M12" s="10">
        <v>21.0</v>
      </c>
      <c r="N12" s="10">
        <v>54.0</v>
      </c>
      <c r="O12" s="10"/>
      <c r="P12" s="10"/>
      <c r="Q12" s="10"/>
      <c r="R12" s="10"/>
      <c r="S12" s="10"/>
      <c r="T12" s="10"/>
      <c r="U12" s="10"/>
      <c r="V12" s="10"/>
      <c r="W12" s="10"/>
      <c r="X12" s="10"/>
      <c r="Y12" s="10"/>
      <c r="Z12" s="10"/>
    </row>
    <row r="13" ht="15.75" customHeight="1">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ht="15.75" customHeight="1">
      <c r="A14" s="27">
        <v>45236.0</v>
      </c>
      <c r="B14" s="10">
        <v>0.0</v>
      </c>
      <c r="C14" s="25">
        <v>0.4965277777777778</v>
      </c>
      <c r="D14" s="25">
        <v>0.05277777777777778</v>
      </c>
      <c r="E14" s="170" t="s">
        <v>4634</v>
      </c>
      <c r="F14" s="10" t="s">
        <v>4635</v>
      </c>
      <c r="G14" s="10">
        <v>97.0</v>
      </c>
      <c r="H14" s="10">
        <v>39.0</v>
      </c>
      <c r="I14" s="10">
        <v>33.0</v>
      </c>
      <c r="J14" s="10">
        <v>3.0</v>
      </c>
      <c r="K14" s="10">
        <v>22.0</v>
      </c>
      <c r="L14" s="10">
        <v>22.0</v>
      </c>
      <c r="M14" s="10">
        <v>14.0</v>
      </c>
      <c r="N14" s="10">
        <v>36.0</v>
      </c>
      <c r="O14" s="10"/>
      <c r="P14" s="10"/>
      <c r="Q14" s="10"/>
      <c r="R14" s="10"/>
      <c r="S14" s="10"/>
      <c r="T14" s="10"/>
      <c r="U14" s="10"/>
      <c r="V14" s="10"/>
      <c r="W14" s="10"/>
      <c r="X14" s="10"/>
      <c r="Y14" s="10"/>
      <c r="Z14" s="10"/>
    </row>
    <row r="15" ht="15.75" customHeight="1">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ht="15.75" customHeight="1">
      <c r="A16" s="27">
        <v>45237.0</v>
      </c>
      <c r="B16" s="10"/>
      <c r="C16" s="25">
        <v>0.4</v>
      </c>
      <c r="D16" s="25">
        <v>0.4236111111111111</v>
      </c>
      <c r="E16" s="10" t="s">
        <v>4636</v>
      </c>
      <c r="F16" s="109" t="s">
        <v>4637</v>
      </c>
      <c r="G16" s="10"/>
      <c r="H16" s="10"/>
      <c r="I16" s="10"/>
      <c r="J16" s="10"/>
      <c r="K16" s="10"/>
      <c r="L16" s="10"/>
      <c r="M16" s="10"/>
      <c r="N16" s="10"/>
      <c r="O16" s="10"/>
      <c r="P16" s="10"/>
      <c r="Q16" s="10"/>
      <c r="R16" s="10"/>
      <c r="S16" s="10"/>
      <c r="T16" s="10"/>
      <c r="U16" s="10"/>
      <c r="V16" s="10"/>
      <c r="W16" s="10"/>
      <c r="X16" s="10"/>
      <c r="Y16" s="10"/>
      <c r="Z16" s="10"/>
    </row>
    <row r="17" ht="15.75" customHeight="1">
      <c r="A17" s="10"/>
      <c r="B17" s="10"/>
      <c r="C17" s="25">
        <v>0.44027777777777777</v>
      </c>
      <c r="D17" s="25">
        <v>0.4722222222222222</v>
      </c>
      <c r="E17" s="170" t="s">
        <v>4638</v>
      </c>
      <c r="F17" s="109" t="s">
        <v>4639</v>
      </c>
      <c r="G17" s="10">
        <v>74.0</v>
      </c>
      <c r="H17" s="10">
        <v>29.0</v>
      </c>
      <c r="I17" s="10">
        <v>20.0</v>
      </c>
      <c r="J17" s="10">
        <v>0.0</v>
      </c>
      <c r="K17" s="10">
        <v>5.0</v>
      </c>
      <c r="L17" s="10">
        <v>25.0</v>
      </c>
      <c r="M17" s="10">
        <v>20.0</v>
      </c>
      <c r="N17" s="10">
        <v>25.0</v>
      </c>
      <c r="O17" s="10"/>
      <c r="P17" s="10"/>
      <c r="Q17" s="10"/>
      <c r="R17" s="10"/>
      <c r="S17" s="10"/>
      <c r="T17" s="10"/>
      <c r="U17" s="10"/>
      <c r="V17" s="10"/>
      <c r="W17" s="10"/>
      <c r="X17" s="10"/>
      <c r="Y17" s="10"/>
      <c r="Z17" s="10"/>
    </row>
    <row r="18" ht="15.75" customHeight="1">
      <c r="A18" s="10"/>
      <c r="B18" s="10">
        <v>1.0</v>
      </c>
      <c r="C18" s="25">
        <v>0.5125</v>
      </c>
      <c r="D18" s="25">
        <v>0.04375</v>
      </c>
      <c r="E18" s="10" t="s">
        <v>4640</v>
      </c>
      <c r="F18" s="133" t="s">
        <v>4641</v>
      </c>
      <c r="G18" s="10"/>
      <c r="H18" s="10"/>
      <c r="I18" s="10"/>
      <c r="J18" s="10"/>
      <c r="K18" s="10"/>
      <c r="L18" s="10"/>
      <c r="M18" s="10"/>
      <c r="N18" s="10"/>
      <c r="O18" s="10"/>
      <c r="P18" s="10"/>
      <c r="Q18" s="171"/>
      <c r="R18" s="10"/>
      <c r="S18" s="10"/>
      <c r="T18" s="10"/>
      <c r="U18" s="10"/>
      <c r="V18" s="10"/>
      <c r="W18" s="10"/>
      <c r="X18" s="10"/>
      <c r="Y18" s="10"/>
      <c r="Z18" s="10"/>
    </row>
    <row r="19" ht="15.75" customHeight="1">
      <c r="A19" s="10"/>
      <c r="B19" s="10"/>
      <c r="C19" s="25">
        <v>0.06597222222222222</v>
      </c>
      <c r="D19" s="25">
        <v>0.1361111111111111</v>
      </c>
      <c r="E19" s="170" t="s">
        <v>4642</v>
      </c>
      <c r="F19" s="10" t="s">
        <v>4643</v>
      </c>
      <c r="G19" s="10">
        <v>145.0</v>
      </c>
      <c r="H19" s="10">
        <v>56.0</v>
      </c>
      <c r="I19" s="10">
        <v>60.0</v>
      </c>
      <c r="J19" s="10">
        <v>4.0</v>
      </c>
      <c r="K19" s="10">
        <v>12.0</v>
      </c>
      <c r="L19" s="10">
        <v>24.0</v>
      </c>
      <c r="M19" s="10">
        <v>65.0</v>
      </c>
      <c r="N19" s="10">
        <v>41.0</v>
      </c>
      <c r="O19" s="10"/>
      <c r="P19" s="10"/>
      <c r="Q19" s="172" t="s">
        <v>4644</v>
      </c>
      <c r="R19" s="10"/>
      <c r="S19" s="10"/>
      <c r="T19" s="10"/>
      <c r="U19" s="10"/>
      <c r="V19" s="10"/>
      <c r="W19" s="10"/>
      <c r="X19" s="10"/>
      <c r="Y19" s="10"/>
      <c r="Z19" s="10"/>
    </row>
    <row r="20" ht="15.75" customHeight="1">
      <c r="A20" s="10"/>
      <c r="B20" s="10"/>
      <c r="C20" s="25">
        <v>0.14305555555555555</v>
      </c>
      <c r="D20" s="25">
        <v>0.16805555555555557</v>
      </c>
      <c r="E20" s="10" t="s">
        <v>4645</v>
      </c>
      <c r="F20" s="10"/>
      <c r="G20" s="10"/>
      <c r="H20" s="10"/>
      <c r="I20" s="10"/>
      <c r="J20" s="10"/>
      <c r="K20" s="10"/>
      <c r="L20" s="10"/>
      <c r="M20" s="10"/>
      <c r="N20" s="10"/>
      <c r="O20" s="10"/>
      <c r="P20" s="10"/>
      <c r="Q20" s="171"/>
      <c r="R20" s="10"/>
      <c r="S20" s="10"/>
      <c r="T20" s="10"/>
      <c r="U20" s="10"/>
      <c r="V20" s="10"/>
      <c r="W20" s="10"/>
      <c r="X20" s="10"/>
      <c r="Y20" s="10"/>
      <c r="Z20" s="10"/>
    </row>
    <row r="21" ht="15.75" customHeight="1">
      <c r="A21" s="10"/>
      <c r="B21" s="10"/>
      <c r="C21" s="10"/>
      <c r="D21" s="10"/>
      <c r="E21" s="10"/>
      <c r="F21" s="10"/>
      <c r="G21" s="10"/>
      <c r="H21" s="10"/>
      <c r="I21" s="10"/>
      <c r="J21" s="10"/>
      <c r="K21" s="10"/>
      <c r="L21" s="10"/>
      <c r="M21" s="10"/>
      <c r="N21" s="10"/>
      <c r="O21" s="10"/>
      <c r="P21" s="10"/>
      <c r="Q21" s="171"/>
      <c r="R21" s="10"/>
      <c r="S21" s="10"/>
      <c r="T21" s="10"/>
      <c r="U21" s="10"/>
      <c r="V21" s="10"/>
      <c r="W21" s="10"/>
      <c r="X21" s="10"/>
      <c r="Y21" s="10"/>
      <c r="Z21" s="10"/>
    </row>
    <row r="22" ht="15.75" customHeight="1">
      <c r="A22" s="27">
        <v>45238.0</v>
      </c>
      <c r="B22" s="10">
        <v>2.0</v>
      </c>
      <c r="C22" s="25">
        <v>0.4479166666666667</v>
      </c>
      <c r="D22" s="25">
        <v>0.46944444444444444</v>
      </c>
      <c r="E22" s="10" t="s">
        <v>4646</v>
      </c>
      <c r="F22" s="10"/>
      <c r="G22" s="10"/>
      <c r="H22" s="10"/>
      <c r="I22" s="10"/>
      <c r="J22" s="10"/>
      <c r="K22" s="10"/>
      <c r="L22" s="10"/>
      <c r="M22" s="10"/>
      <c r="N22" s="10"/>
      <c r="O22" s="10"/>
      <c r="P22" s="10"/>
      <c r="Q22" s="171"/>
      <c r="R22" s="10"/>
      <c r="S22" s="10"/>
      <c r="T22" s="10"/>
      <c r="U22" s="10"/>
      <c r="V22" s="10"/>
      <c r="W22" s="10"/>
      <c r="X22" s="10"/>
      <c r="Y22" s="10"/>
      <c r="Z22" s="10"/>
    </row>
    <row r="23" ht="15.75" customHeight="1">
      <c r="A23" s="10"/>
      <c r="B23" s="10"/>
      <c r="C23" s="25">
        <v>0.4791666666666667</v>
      </c>
      <c r="D23" s="25">
        <v>0.5277777777777778</v>
      </c>
      <c r="E23" s="170" t="s">
        <v>4647</v>
      </c>
      <c r="F23" s="10" t="s">
        <v>4648</v>
      </c>
      <c r="G23" s="10"/>
      <c r="H23" s="10"/>
      <c r="I23" s="10"/>
      <c r="J23" s="10"/>
      <c r="K23" s="10"/>
      <c r="L23" s="10"/>
      <c r="M23" s="10"/>
      <c r="N23" s="10"/>
      <c r="O23" s="10"/>
      <c r="P23" s="10"/>
      <c r="Q23" s="171"/>
      <c r="R23" s="10"/>
      <c r="S23" s="10"/>
      <c r="T23" s="10"/>
      <c r="U23" s="10"/>
      <c r="V23" s="10"/>
      <c r="W23" s="10"/>
      <c r="X23" s="10"/>
      <c r="Y23" s="10"/>
      <c r="Z23" s="10"/>
    </row>
    <row r="24" ht="15.75" customHeight="1">
      <c r="A24" s="10"/>
      <c r="B24" s="10"/>
      <c r="C24" s="25">
        <v>0.53125</v>
      </c>
      <c r="D24" s="25">
        <v>0.059027777777777776</v>
      </c>
      <c r="E24" s="10" t="s">
        <v>4645</v>
      </c>
      <c r="F24" s="10" t="s">
        <v>4649</v>
      </c>
      <c r="G24" s="10"/>
      <c r="H24" s="10"/>
      <c r="I24" s="10"/>
      <c r="J24" s="10"/>
      <c r="K24" s="10"/>
      <c r="L24" s="10"/>
      <c r="M24" s="10"/>
      <c r="N24" s="10"/>
      <c r="O24" s="10"/>
      <c r="P24" s="10"/>
      <c r="Q24" s="171"/>
      <c r="R24" s="10"/>
      <c r="S24" s="10"/>
      <c r="T24" s="10"/>
      <c r="U24" s="10"/>
      <c r="V24" s="10"/>
      <c r="W24" s="10"/>
      <c r="X24" s="10"/>
      <c r="Y24" s="10"/>
      <c r="Z24" s="10"/>
    </row>
    <row r="25" ht="15.75" customHeight="1">
      <c r="A25" s="10"/>
      <c r="B25" s="10"/>
      <c r="C25" s="25">
        <v>0.06597222222222222</v>
      </c>
      <c r="D25" s="25">
        <v>0.10625</v>
      </c>
      <c r="E25" s="170" t="s">
        <v>4650</v>
      </c>
      <c r="F25" s="10" t="s">
        <v>4651</v>
      </c>
      <c r="G25" s="10">
        <v>80.0</v>
      </c>
      <c r="H25" s="10">
        <v>44.0</v>
      </c>
      <c r="I25" s="10">
        <v>32.0</v>
      </c>
      <c r="J25" s="10">
        <v>1.0</v>
      </c>
      <c r="K25" s="10">
        <v>10.0</v>
      </c>
      <c r="L25" s="10">
        <v>3.0</v>
      </c>
      <c r="M25" s="10">
        <v>15.0</v>
      </c>
      <c r="N25" s="10">
        <v>51.0</v>
      </c>
      <c r="O25" s="10"/>
      <c r="P25" s="10"/>
      <c r="Q25" s="171"/>
      <c r="R25" s="10"/>
      <c r="S25" s="10"/>
      <c r="T25" s="10"/>
      <c r="U25" s="10"/>
      <c r="V25" s="10"/>
      <c r="W25" s="10"/>
      <c r="X25" s="10"/>
      <c r="Y25" s="10"/>
      <c r="Z25" s="10"/>
    </row>
    <row r="26" ht="15.75" customHeight="1">
      <c r="A26" s="10"/>
      <c r="B26" s="10"/>
      <c r="C26" s="25">
        <v>0.1111111111111111</v>
      </c>
      <c r="D26" s="10"/>
      <c r="E26" s="10" t="s">
        <v>4652</v>
      </c>
      <c r="F26" s="10" t="s">
        <v>4653</v>
      </c>
      <c r="G26" s="10"/>
      <c r="H26" s="10"/>
      <c r="I26" s="10"/>
      <c r="J26" s="10"/>
      <c r="K26" s="10"/>
      <c r="L26" s="10"/>
      <c r="M26" s="10"/>
      <c r="N26" s="10"/>
      <c r="O26" s="10"/>
      <c r="P26" s="10"/>
      <c r="Q26" s="171"/>
      <c r="R26" s="10"/>
      <c r="S26" s="10"/>
      <c r="T26" s="10"/>
      <c r="U26" s="10"/>
      <c r="V26" s="10"/>
      <c r="W26" s="10"/>
      <c r="X26" s="10"/>
      <c r="Y26" s="10"/>
      <c r="Z26" s="10"/>
    </row>
    <row r="27" ht="15.75" customHeight="1">
      <c r="A27" s="33"/>
      <c r="B27" s="10"/>
      <c r="C27" s="10"/>
      <c r="D27" s="10"/>
      <c r="E27" s="10"/>
      <c r="F27" s="10"/>
      <c r="G27" s="10"/>
      <c r="H27" s="10"/>
      <c r="I27" s="10"/>
      <c r="J27" s="10"/>
      <c r="K27" s="10"/>
      <c r="L27" s="10"/>
      <c r="M27" s="10"/>
      <c r="N27" s="10"/>
      <c r="O27" s="10"/>
      <c r="P27" s="10"/>
      <c r="Q27" s="171"/>
      <c r="R27" s="10"/>
      <c r="S27" s="10"/>
      <c r="T27" s="10"/>
      <c r="U27" s="10"/>
      <c r="V27" s="10"/>
      <c r="W27" s="10"/>
      <c r="X27" s="10"/>
      <c r="Y27" s="10"/>
      <c r="Z27" s="10"/>
    </row>
    <row r="28" ht="15.75" customHeight="1">
      <c r="A28" s="33">
        <v>45239.0</v>
      </c>
      <c r="B28" s="10">
        <v>3.0</v>
      </c>
      <c r="C28" s="25">
        <v>0.38680555555555557</v>
      </c>
      <c r="D28" s="25">
        <v>0.41597222222222224</v>
      </c>
      <c r="E28" s="10" t="s">
        <v>4640</v>
      </c>
      <c r="F28" s="10" t="s">
        <v>4654</v>
      </c>
      <c r="G28" s="10"/>
      <c r="H28" s="10"/>
      <c r="I28" s="10"/>
      <c r="J28" s="10"/>
      <c r="K28" s="10"/>
      <c r="L28" s="10"/>
      <c r="M28" s="10"/>
      <c r="N28" s="10"/>
      <c r="O28" s="10"/>
      <c r="P28" s="10"/>
      <c r="Q28" s="171"/>
      <c r="R28" s="10"/>
      <c r="S28" s="10"/>
      <c r="T28" s="10"/>
      <c r="U28" s="10"/>
      <c r="V28" s="10"/>
      <c r="W28" s="10"/>
      <c r="X28" s="10"/>
      <c r="Y28" s="10"/>
      <c r="Z28" s="10"/>
    </row>
    <row r="29" ht="15.75" customHeight="1">
      <c r="A29" s="10"/>
      <c r="B29" s="10"/>
      <c r="C29" s="25">
        <v>0.4215277777777778</v>
      </c>
      <c r="D29" s="25">
        <v>0.4666666666666667</v>
      </c>
      <c r="E29" s="170" t="s">
        <v>4655</v>
      </c>
      <c r="F29" s="10" t="s">
        <v>4656</v>
      </c>
      <c r="G29" s="10">
        <v>60.0</v>
      </c>
      <c r="H29" s="10">
        <v>28.0</v>
      </c>
      <c r="I29" s="10">
        <v>25.0</v>
      </c>
      <c r="J29" s="10">
        <v>3.0</v>
      </c>
      <c r="K29" s="10">
        <v>18.0</v>
      </c>
      <c r="L29" s="10">
        <v>3.0</v>
      </c>
      <c r="M29" s="10">
        <v>4.0</v>
      </c>
      <c r="N29" s="10">
        <v>34.0</v>
      </c>
      <c r="O29" s="10"/>
      <c r="P29" s="10"/>
      <c r="Q29" s="171"/>
      <c r="R29" s="10"/>
      <c r="S29" s="10"/>
      <c r="T29" s="10"/>
      <c r="U29" s="10"/>
      <c r="V29" s="10"/>
      <c r="W29" s="10"/>
      <c r="X29" s="10"/>
      <c r="Y29" s="10"/>
      <c r="Z29" s="10"/>
    </row>
    <row r="30" ht="15.75" customHeight="1">
      <c r="A30" s="10"/>
      <c r="B30" s="10"/>
      <c r="C30" s="25">
        <v>0.46944444444444444</v>
      </c>
      <c r="D30" s="25">
        <v>0.5006944444444444</v>
      </c>
      <c r="E30" s="10" t="s">
        <v>4645</v>
      </c>
      <c r="F30" s="10"/>
      <c r="G30" s="10"/>
      <c r="H30" s="10"/>
      <c r="I30" s="10"/>
      <c r="J30" s="10"/>
      <c r="K30" s="10"/>
      <c r="L30" s="10"/>
      <c r="M30" s="10"/>
      <c r="N30" s="10"/>
      <c r="O30" s="10"/>
      <c r="P30" s="10"/>
      <c r="Q30" s="171"/>
      <c r="R30" s="10"/>
      <c r="S30" s="10"/>
      <c r="T30" s="10"/>
      <c r="U30" s="10"/>
      <c r="V30" s="10"/>
      <c r="W30" s="10"/>
      <c r="X30" s="10"/>
      <c r="Y30" s="10"/>
      <c r="Z30" s="10"/>
    </row>
    <row r="31" ht="15.75" customHeight="1">
      <c r="A31" s="10"/>
      <c r="B31" s="10"/>
      <c r="C31" s="25">
        <v>0.5048611111111111</v>
      </c>
      <c r="D31" s="25">
        <v>0.07291666666666667</v>
      </c>
      <c r="E31" s="170" t="s">
        <v>4657</v>
      </c>
      <c r="F31" s="10" t="s">
        <v>4658</v>
      </c>
      <c r="G31" s="10">
        <v>121.0</v>
      </c>
      <c r="H31" s="10">
        <v>61.0</v>
      </c>
      <c r="I31" s="10">
        <v>47.0</v>
      </c>
      <c r="J31" s="10">
        <v>11.0</v>
      </c>
      <c r="K31" s="10">
        <v>24.0</v>
      </c>
      <c r="L31" s="10">
        <v>1.0</v>
      </c>
      <c r="M31" s="10">
        <v>34.0</v>
      </c>
      <c r="N31" s="10">
        <v>53.0</v>
      </c>
      <c r="O31" s="10"/>
      <c r="P31" s="10"/>
      <c r="Q31" s="171"/>
      <c r="R31" s="10"/>
      <c r="S31" s="10"/>
      <c r="T31" s="10"/>
      <c r="U31" s="10"/>
      <c r="V31" s="10"/>
      <c r="W31" s="10"/>
      <c r="X31" s="10"/>
      <c r="Y31" s="10"/>
      <c r="Z31" s="10"/>
    </row>
    <row r="32" ht="15.75" customHeight="1">
      <c r="A32" s="10"/>
      <c r="B32" s="10"/>
      <c r="C32" s="25">
        <v>0.075</v>
      </c>
      <c r="D32" s="25">
        <v>0.11666666666666667</v>
      </c>
      <c r="E32" s="10" t="s">
        <v>4659</v>
      </c>
      <c r="F32" s="10"/>
      <c r="G32" s="10"/>
      <c r="H32" s="10"/>
      <c r="I32" s="10"/>
      <c r="J32" s="10"/>
      <c r="K32" s="10"/>
      <c r="L32" s="10"/>
      <c r="M32" s="10"/>
      <c r="N32" s="10"/>
      <c r="O32" s="10"/>
      <c r="P32" s="10"/>
      <c r="Q32" s="171"/>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71"/>
      <c r="R33" s="10"/>
      <c r="S33" s="10"/>
      <c r="T33" s="10"/>
      <c r="U33" s="10"/>
      <c r="V33" s="10"/>
      <c r="W33" s="10"/>
      <c r="X33" s="10"/>
      <c r="Y33" s="10"/>
      <c r="Z33" s="10"/>
    </row>
    <row r="34" ht="15.75" customHeight="1">
      <c r="A34" s="27">
        <v>45240.0</v>
      </c>
      <c r="B34" s="10">
        <v>4.0</v>
      </c>
      <c r="C34" s="25">
        <v>0.37777777777777777</v>
      </c>
      <c r="D34" s="25">
        <v>0.3993055555555556</v>
      </c>
      <c r="E34" s="10" t="s">
        <v>57</v>
      </c>
      <c r="F34" s="10"/>
      <c r="G34" s="10"/>
      <c r="H34" s="10"/>
      <c r="I34" s="10"/>
      <c r="J34" s="10"/>
      <c r="K34" s="10"/>
      <c r="L34" s="10"/>
      <c r="M34" s="10"/>
      <c r="N34" s="10"/>
      <c r="O34" s="10"/>
      <c r="P34" s="10"/>
      <c r="Q34" s="171"/>
      <c r="R34" s="10"/>
      <c r="S34" s="10"/>
      <c r="T34" s="10"/>
      <c r="U34" s="10"/>
      <c r="V34" s="10"/>
      <c r="W34" s="10"/>
      <c r="X34" s="10"/>
      <c r="Y34" s="10"/>
      <c r="Z34" s="10"/>
    </row>
    <row r="35" ht="15.75" customHeight="1">
      <c r="A35" s="10"/>
      <c r="B35" s="10"/>
      <c r="C35" s="25">
        <v>0.4131944444444444</v>
      </c>
      <c r="D35" s="25">
        <v>0.47847222222222224</v>
      </c>
      <c r="E35" s="170" t="s">
        <v>4660</v>
      </c>
      <c r="F35" s="10" t="s">
        <v>4661</v>
      </c>
      <c r="G35" s="10">
        <v>122.0</v>
      </c>
      <c r="H35" s="10">
        <v>60.0</v>
      </c>
      <c r="I35" s="10">
        <v>54.0</v>
      </c>
      <c r="J35" s="10">
        <v>2.0</v>
      </c>
      <c r="K35" s="10">
        <v>18.0</v>
      </c>
      <c r="L35" s="10">
        <v>6.0</v>
      </c>
      <c r="M35" s="10">
        <v>45.0</v>
      </c>
      <c r="N35" s="10">
        <v>52.0</v>
      </c>
      <c r="O35" s="10"/>
      <c r="P35" s="10"/>
      <c r="Q35" s="171"/>
      <c r="R35" s="10"/>
      <c r="S35" s="10"/>
      <c r="T35" s="10"/>
      <c r="U35" s="10"/>
      <c r="V35" s="10"/>
      <c r="W35" s="10"/>
      <c r="X35" s="10"/>
      <c r="Y35" s="10"/>
      <c r="Z35" s="10"/>
    </row>
    <row r="36" ht="15.75" customHeight="1">
      <c r="A36" s="10"/>
      <c r="B36" s="10"/>
      <c r="C36" s="25">
        <v>0.48055555555555557</v>
      </c>
      <c r="D36" s="25">
        <v>0.5048611111111111</v>
      </c>
      <c r="E36" s="10" t="s">
        <v>60</v>
      </c>
      <c r="F36" s="10"/>
      <c r="G36" s="10"/>
      <c r="H36" s="10"/>
      <c r="I36" s="10"/>
      <c r="J36" s="10"/>
      <c r="K36" s="10"/>
      <c r="L36" s="10"/>
      <c r="M36" s="10"/>
      <c r="N36" s="10"/>
      <c r="O36" s="10"/>
      <c r="P36" s="10"/>
      <c r="Q36" s="171"/>
      <c r="R36" s="10"/>
      <c r="S36" s="10"/>
      <c r="T36" s="10"/>
      <c r="U36" s="10"/>
      <c r="V36" s="10"/>
      <c r="W36" s="10"/>
      <c r="X36" s="10"/>
      <c r="Y36" s="10"/>
      <c r="Z36" s="10"/>
    </row>
    <row r="37" ht="15.75" customHeight="1">
      <c r="A37" s="10"/>
      <c r="B37" s="10"/>
      <c r="C37" s="25">
        <v>0.5152777777777777</v>
      </c>
      <c r="D37" s="10" t="s">
        <v>4662</v>
      </c>
      <c r="E37" s="170" t="s">
        <v>4663</v>
      </c>
      <c r="F37" s="10" t="s">
        <v>4664</v>
      </c>
      <c r="G37" s="10">
        <v>129.0</v>
      </c>
      <c r="H37" s="10">
        <v>63.0</v>
      </c>
      <c r="I37" s="10">
        <v>63.0</v>
      </c>
      <c r="J37" s="10">
        <v>1.0</v>
      </c>
      <c r="K37" s="10">
        <v>13.0</v>
      </c>
      <c r="L37" s="10">
        <v>2.0</v>
      </c>
      <c r="M37" s="10">
        <v>60.0</v>
      </c>
      <c r="N37" s="10">
        <v>58.0</v>
      </c>
      <c r="O37" s="10"/>
      <c r="P37" s="10"/>
      <c r="Q37" s="171"/>
      <c r="R37" s="10"/>
      <c r="S37" s="10"/>
      <c r="T37" s="10"/>
      <c r="U37" s="10"/>
      <c r="V37" s="10"/>
      <c r="W37" s="10"/>
      <c r="X37" s="10"/>
      <c r="Y37" s="10"/>
      <c r="Z37" s="10"/>
    </row>
    <row r="38" ht="15.75" customHeight="1">
      <c r="A38" s="10"/>
      <c r="B38" s="10"/>
      <c r="C38" s="25">
        <v>0.08333333333333333</v>
      </c>
      <c r="D38" s="25">
        <v>0.10416666666666667</v>
      </c>
      <c r="E38" s="10"/>
      <c r="F38" s="10"/>
      <c r="G38" s="10"/>
      <c r="H38" s="10"/>
      <c r="I38" s="10"/>
      <c r="J38" s="10"/>
      <c r="K38" s="10"/>
      <c r="L38" s="10"/>
      <c r="M38" s="10"/>
      <c r="N38" s="10"/>
      <c r="O38" s="10"/>
      <c r="P38" s="10"/>
      <c r="Q38" s="171"/>
      <c r="R38" s="10"/>
      <c r="S38" s="10"/>
      <c r="T38" s="10"/>
      <c r="U38" s="10"/>
      <c r="V38" s="10"/>
      <c r="W38" s="10"/>
      <c r="X38" s="10"/>
      <c r="Y38" s="10"/>
      <c r="Z38" s="10"/>
    </row>
    <row r="39" ht="15.75" customHeight="1">
      <c r="A39" s="10"/>
      <c r="B39" s="10"/>
      <c r="C39" s="10"/>
      <c r="D39" s="10"/>
      <c r="E39" s="10"/>
      <c r="F39" s="173" t="s">
        <v>4665</v>
      </c>
      <c r="G39" s="10"/>
      <c r="H39" s="10"/>
      <c r="I39" s="10"/>
      <c r="J39" s="10"/>
      <c r="K39" s="10"/>
      <c r="L39" s="10"/>
      <c r="M39" s="10"/>
      <c r="N39" s="10"/>
      <c r="O39" s="10"/>
      <c r="P39" s="10"/>
      <c r="Q39" s="152"/>
      <c r="R39" s="10"/>
      <c r="S39" s="10"/>
      <c r="T39" s="10"/>
      <c r="U39" s="10"/>
      <c r="V39" s="10"/>
      <c r="W39" s="10"/>
      <c r="X39" s="10"/>
      <c r="Y39" s="10"/>
      <c r="Z39" s="10"/>
    </row>
    <row r="40" ht="15.75" customHeight="1">
      <c r="A40" s="27">
        <v>45243.0</v>
      </c>
      <c r="B40" s="10">
        <v>5.0</v>
      </c>
      <c r="C40" s="25">
        <v>0.4236111111111111</v>
      </c>
      <c r="D40" s="25">
        <v>0.4527777777777778</v>
      </c>
      <c r="E40" s="10" t="s">
        <v>2543</v>
      </c>
      <c r="F40" s="10" t="s">
        <v>4666</v>
      </c>
      <c r="G40" s="10"/>
      <c r="H40" s="10"/>
      <c r="I40" s="10"/>
      <c r="J40" s="10"/>
      <c r="K40" s="10"/>
      <c r="L40" s="10"/>
      <c r="M40" s="10"/>
      <c r="N40" s="10"/>
      <c r="O40" s="10"/>
      <c r="P40" s="10"/>
      <c r="Q40" s="152"/>
      <c r="R40" s="10"/>
      <c r="S40" s="10"/>
      <c r="T40" s="10"/>
      <c r="U40" s="10"/>
      <c r="V40" s="10"/>
      <c r="W40" s="10"/>
      <c r="X40" s="10"/>
      <c r="Y40" s="10"/>
      <c r="Z40" s="10"/>
    </row>
    <row r="41" ht="15.75" customHeight="1">
      <c r="A41" s="10"/>
      <c r="B41" s="10"/>
      <c r="C41" s="25">
        <v>0.46041666666666664</v>
      </c>
      <c r="D41" s="25">
        <v>0.46875</v>
      </c>
      <c r="E41" s="13" t="s">
        <v>1462</v>
      </c>
      <c r="F41" s="10" t="s">
        <v>4667</v>
      </c>
      <c r="G41" s="10"/>
      <c r="H41" s="10"/>
      <c r="I41" s="10"/>
      <c r="J41" s="10"/>
      <c r="K41" s="10"/>
      <c r="L41" s="10"/>
      <c r="M41" s="10"/>
      <c r="N41" s="10"/>
      <c r="O41" s="10"/>
      <c r="P41" s="10"/>
      <c r="Q41" s="152"/>
      <c r="R41" s="10"/>
      <c r="S41" s="10"/>
      <c r="T41" s="10"/>
      <c r="U41" s="10"/>
      <c r="V41" s="10"/>
      <c r="W41" s="10"/>
      <c r="X41" s="10"/>
      <c r="Y41" s="10"/>
      <c r="Z41" s="10"/>
    </row>
    <row r="42" ht="15.75" customHeight="1">
      <c r="A42" s="10"/>
      <c r="B42" s="10"/>
      <c r="C42" s="25">
        <v>0.4756944444444444</v>
      </c>
      <c r="D42" s="25">
        <v>0.4826388888888889</v>
      </c>
      <c r="E42" s="13" t="s">
        <v>4668</v>
      </c>
      <c r="F42" s="10" t="s">
        <v>4669</v>
      </c>
      <c r="G42" s="10"/>
      <c r="H42" s="10"/>
      <c r="I42" s="10"/>
      <c r="J42" s="10"/>
      <c r="K42" s="10"/>
      <c r="L42" s="10"/>
      <c r="M42" s="10"/>
      <c r="N42" s="10"/>
      <c r="O42" s="10"/>
      <c r="P42" s="10"/>
      <c r="Q42" s="152"/>
      <c r="R42" s="10"/>
      <c r="S42" s="10"/>
      <c r="T42" s="10"/>
      <c r="U42" s="10"/>
      <c r="V42" s="10"/>
      <c r="W42" s="10"/>
      <c r="X42" s="10"/>
      <c r="Y42" s="10"/>
      <c r="Z42" s="10"/>
    </row>
    <row r="43" ht="15.75" customHeight="1">
      <c r="A43" s="10"/>
      <c r="B43" s="10"/>
      <c r="C43" s="25">
        <v>0.4861111111111111</v>
      </c>
      <c r="D43" s="25">
        <v>0.5138888888888888</v>
      </c>
      <c r="E43" s="170" t="s">
        <v>4670</v>
      </c>
      <c r="F43" s="10" t="s">
        <v>4671</v>
      </c>
      <c r="G43" s="10">
        <v>63.0</v>
      </c>
      <c r="H43" s="10">
        <v>28.0</v>
      </c>
      <c r="I43" s="10">
        <v>33.0</v>
      </c>
      <c r="J43" s="10">
        <v>1.0</v>
      </c>
      <c r="K43" s="10">
        <v>5.0</v>
      </c>
      <c r="L43" s="10">
        <v>0.0</v>
      </c>
      <c r="M43" s="10">
        <v>30.0</v>
      </c>
      <c r="N43" s="10">
        <v>26.0</v>
      </c>
      <c r="O43" s="10"/>
      <c r="P43" s="10"/>
      <c r="Q43" s="152"/>
      <c r="R43" s="10"/>
      <c r="S43" s="10"/>
      <c r="T43" s="10"/>
      <c r="U43" s="10"/>
      <c r="V43" s="10"/>
      <c r="W43" s="10"/>
      <c r="X43" s="10"/>
      <c r="Y43" s="10"/>
      <c r="Z43" s="10"/>
    </row>
    <row r="44" ht="15.75" customHeight="1">
      <c r="A44" s="10"/>
      <c r="B44" s="10"/>
      <c r="C44" s="25">
        <v>0.5326388888888889</v>
      </c>
      <c r="D44" s="25">
        <v>0.059722222222222225</v>
      </c>
      <c r="E44" s="10" t="s">
        <v>60</v>
      </c>
      <c r="F44" s="10" t="s">
        <v>4672</v>
      </c>
      <c r="G44" s="10"/>
      <c r="H44" s="10"/>
      <c r="I44" s="10"/>
      <c r="J44" s="10"/>
      <c r="K44" s="10"/>
      <c r="L44" s="10"/>
      <c r="M44" s="10"/>
      <c r="N44" s="10"/>
      <c r="O44" s="10"/>
      <c r="P44" s="10"/>
      <c r="Q44" s="171"/>
      <c r="R44" s="10"/>
      <c r="S44" s="10"/>
      <c r="T44" s="10"/>
      <c r="U44" s="10"/>
      <c r="V44" s="10"/>
      <c r="W44" s="10"/>
      <c r="X44" s="10"/>
      <c r="Y44" s="10"/>
      <c r="Z44" s="10"/>
    </row>
    <row r="45" ht="15.75" customHeight="1">
      <c r="A45" s="10"/>
      <c r="B45" s="10"/>
      <c r="C45" s="25">
        <v>0.06388888888888888</v>
      </c>
      <c r="D45" s="25">
        <v>0.12222222222222222</v>
      </c>
      <c r="E45" s="170" t="s">
        <v>4673</v>
      </c>
      <c r="F45" s="10" t="s">
        <v>4674</v>
      </c>
      <c r="G45" s="10">
        <v>110.0</v>
      </c>
      <c r="H45" s="10">
        <v>61.0</v>
      </c>
      <c r="I45" s="10">
        <v>46.0</v>
      </c>
      <c r="J45" s="10">
        <v>0.0</v>
      </c>
      <c r="K45" s="10">
        <v>14.0</v>
      </c>
      <c r="L45" s="10">
        <v>2.0</v>
      </c>
      <c r="M45" s="10">
        <v>48.0</v>
      </c>
      <c r="N45" s="10">
        <v>46.0</v>
      </c>
      <c r="O45" s="10"/>
      <c r="P45" s="10"/>
      <c r="Q45" s="171" t="s">
        <v>4644</v>
      </c>
      <c r="R45" s="10"/>
      <c r="S45" s="10"/>
      <c r="T45" s="10"/>
      <c r="U45" s="10"/>
      <c r="V45" s="10"/>
      <c r="W45" s="10"/>
      <c r="X45" s="10"/>
      <c r="Y45" s="10"/>
      <c r="Z45" s="10"/>
    </row>
    <row r="46" ht="15.75" customHeight="1">
      <c r="A46" s="10"/>
      <c r="B46" s="10"/>
      <c r="C46" s="25">
        <v>0.1284722222222222</v>
      </c>
      <c r="D46" s="25">
        <v>0.15138888888888888</v>
      </c>
      <c r="E46" s="10" t="s">
        <v>4659</v>
      </c>
      <c r="F46" s="10" t="s">
        <v>4666</v>
      </c>
      <c r="G46" s="10"/>
      <c r="H46" s="10"/>
      <c r="I46" s="10"/>
      <c r="J46" s="10"/>
      <c r="K46" s="10"/>
      <c r="L46" s="10"/>
      <c r="M46" s="10"/>
      <c r="N46" s="10"/>
      <c r="O46" s="10"/>
      <c r="P46" s="10"/>
      <c r="Q46" s="171"/>
      <c r="R46" s="10"/>
      <c r="S46" s="10"/>
      <c r="T46" s="10"/>
      <c r="U46" s="10"/>
      <c r="V46" s="10"/>
      <c r="W46" s="10"/>
      <c r="X46" s="10"/>
      <c r="Y46" s="10"/>
      <c r="Z46" s="10"/>
    </row>
    <row r="47" ht="15.75" customHeight="1">
      <c r="A47" s="27"/>
      <c r="B47" s="10"/>
      <c r="C47" s="25"/>
      <c r="D47" s="25"/>
      <c r="E47" s="10"/>
      <c r="F47" s="10"/>
      <c r="G47" s="10"/>
      <c r="H47" s="10"/>
      <c r="I47" s="10"/>
      <c r="J47" s="10"/>
      <c r="K47" s="10"/>
      <c r="L47" s="10"/>
      <c r="M47" s="10"/>
      <c r="N47" s="10"/>
      <c r="O47" s="10"/>
      <c r="P47" s="10"/>
      <c r="Q47" s="171"/>
      <c r="R47" s="10"/>
      <c r="S47" s="10"/>
      <c r="T47" s="10"/>
      <c r="U47" s="10"/>
      <c r="V47" s="10"/>
      <c r="W47" s="10"/>
      <c r="X47" s="10"/>
      <c r="Y47" s="10"/>
      <c r="Z47" s="10"/>
    </row>
    <row r="48" ht="15.75" customHeight="1">
      <c r="A48" s="27">
        <v>45244.0</v>
      </c>
      <c r="B48" s="10">
        <v>6.0</v>
      </c>
      <c r="C48" s="25">
        <v>0.38125</v>
      </c>
      <c r="D48" s="25">
        <v>0.4041666666666667</v>
      </c>
      <c r="E48" s="10" t="s">
        <v>4675</v>
      </c>
      <c r="F48" s="10" t="s">
        <v>4666</v>
      </c>
      <c r="G48" s="10"/>
      <c r="H48" s="10"/>
      <c r="I48" s="10"/>
      <c r="J48" s="10"/>
      <c r="K48" s="10"/>
      <c r="L48" s="10"/>
      <c r="M48" s="10"/>
      <c r="N48" s="10"/>
      <c r="O48" s="10"/>
      <c r="P48" s="10"/>
      <c r="Q48" s="171"/>
      <c r="R48" s="10"/>
      <c r="S48" s="10"/>
      <c r="T48" s="10"/>
      <c r="U48" s="10"/>
      <c r="V48" s="10"/>
      <c r="W48" s="10"/>
      <c r="X48" s="10"/>
      <c r="Y48" s="10"/>
      <c r="Z48" s="10"/>
    </row>
    <row r="49" ht="15.75" customHeight="1">
      <c r="A49" s="10"/>
      <c r="B49" s="10"/>
      <c r="C49" s="25">
        <v>0.4097222222222222</v>
      </c>
      <c r="D49" s="25">
        <v>0.4722222222222222</v>
      </c>
      <c r="E49" s="170" t="s">
        <v>4676</v>
      </c>
      <c r="F49" s="10" t="s">
        <v>4677</v>
      </c>
      <c r="G49" s="10">
        <v>111.0</v>
      </c>
      <c r="H49" s="10">
        <v>48.0</v>
      </c>
      <c r="I49" s="10">
        <v>34.0</v>
      </c>
      <c r="J49" s="10">
        <v>3.0</v>
      </c>
      <c r="K49" s="10">
        <v>6.0</v>
      </c>
      <c r="L49" s="10">
        <v>25.0</v>
      </c>
      <c r="M49" s="10">
        <v>40.0</v>
      </c>
      <c r="N49" s="10">
        <v>37.0</v>
      </c>
      <c r="O49" s="10"/>
      <c r="P49" s="10"/>
      <c r="Q49" s="171"/>
      <c r="R49" s="10"/>
      <c r="S49" s="10"/>
      <c r="T49" s="10"/>
      <c r="U49" s="10"/>
      <c r="V49" s="10"/>
      <c r="W49" s="10"/>
      <c r="X49" s="10"/>
      <c r="Y49" s="10"/>
      <c r="Z49" s="10"/>
    </row>
    <row r="50" ht="15.75" customHeight="1">
      <c r="A50" s="10"/>
      <c r="B50" s="10"/>
      <c r="C50" s="25">
        <v>0.4756944444444444</v>
      </c>
      <c r="D50" s="25">
        <v>0.5097222222222222</v>
      </c>
      <c r="E50" s="10" t="s">
        <v>4678</v>
      </c>
      <c r="F50" s="10"/>
      <c r="G50" s="10"/>
      <c r="H50" s="10"/>
      <c r="I50" s="10"/>
      <c r="J50" s="10"/>
      <c r="K50" s="10"/>
      <c r="L50" s="10"/>
      <c r="M50" s="10"/>
      <c r="N50" s="10"/>
      <c r="O50" s="10"/>
      <c r="P50" s="10"/>
      <c r="Q50" s="171"/>
      <c r="R50" s="10"/>
      <c r="S50" s="10"/>
      <c r="T50" s="10"/>
      <c r="U50" s="10"/>
      <c r="V50" s="10"/>
      <c r="W50" s="10"/>
      <c r="X50" s="10"/>
      <c r="Y50" s="10"/>
      <c r="Z50" s="10"/>
    </row>
    <row r="51" ht="15.75" customHeight="1">
      <c r="A51" s="10"/>
      <c r="B51" s="10"/>
      <c r="C51" s="25">
        <v>0.5138888888888888</v>
      </c>
      <c r="D51" s="25">
        <v>0.07916666666666666</v>
      </c>
      <c r="E51" s="170" t="s">
        <v>4679</v>
      </c>
      <c r="F51" s="10" t="s">
        <v>4680</v>
      </c>
      <c r="G51" s="10">
        <v>112.0</v>
      </c>
      <c r="H51" s="10">
        <v>56.0</v>
      </c>
      <c r="I51" s="10">
        <v>40.0</v>
      </c>
      <c r="J51" s="10">
        <v>2.0</v>
      </c>
      <c r="K51" s="10">
        <v>9.0</v>
      </c>
      <c r="L51" s="10">
        <v>13.0</v>
      </c>
      <c r="M51" s="10">
        <v>50.0</v>
      </c>
      <c r="N51" s="10">
        <v>38.0</v>
      </c>
      <c r="O51" s="10"/>
      <c r="P51" s="10"/>
      <c r="Q51" s="171"/>
      <c r="R51" s="10"/>
      <c r="S51" s="10"/>
      <c r="T51" s="10"/>
      <c r="U51" s="10"/>
      <c r="V51" s="10"/>
      <c r="W51" s="10"/>
      <c r="X51" s="10"/>
      <c r="Y51" s="10"/>
      <c r="Z51" s="10"/>
    </row>
    <row r="52" ht="15.75" customHeight="1">
      <c r="A52" s="10"/>
      <c r="B52" s="10"/>
      <c r="C52" s="25">
        <v>0.08263888888888889</v>
      </c>
      <c r="D52" s="25">
        <v>0.10833333333333334</v>
      </c>
      <c r="E52" s="10" t="s">
        <v>4681</v>
      </c>
      <c r="F52" s="10"/>
      <c r="G52" s="10"/>
      <c r="H52" s="10"/>
      <c r="I52" s="10"/>
      <c r="J52" s="10"/>
      <c r="K52" s="10"/>
      <c r="L52" s="10"/>
      <c r="M52" s="10"/>
      <c r="N52" s="10"/>
      <c r="O52" s="10"/>
      <c r="P52" s="10"/>
      <c r="Q52" s="171"/>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71"/>
      <c r="R53" s="10"/>
      <c r="S53" s="10"/>
      <c r="T53" s="10"/>
      <c r="U53" s="10"/>
      <c r="V53" s="10"/>
      <c r="W53" s="10"/>
      <c r="X53" s="10"/>
      <c r="Y53" s="10"/>
      <c r="Z53" s="10"/>
    </row>
    <row r="54" ht="15.75" customHeight="1">
      <c r="A54" s="27">
        <v>45245.0</v>
      </c>
      <c r="B54" s="10">
        <v>7.0</v>
      </c>
      <c r="C54" s="25">
        <v>0.38333333333333336</v>
      </c>
      <c r="D54" s="25">
        <v>0.40625</v>
      </c>
      <c r="E54" s="10" t="s">
        <v>57</v>
      </c>
      <c r="F54" s="10" t="s">
        <v>4682</v>
      </c>
      <c r="G54" s="10"/>
      <c r="H54" s="10"/>
      <c r="I54" s="10"/>
      <c r="J54" s="10"/>
      <c r="K54" s="10"/>
      <c r="L54" s="10"/>
      <c r="M54" s="10"/>
      <c r="N54" s="10"/>
      <c r="O54" s="10"/>
      <c r="P54" s="10"/>
      <c r="Q54" s="171"/>
      <c r="R54" s="10"/>
      <c r="S54" s="10"/>
      <c r="T54" s="10"/>
      <c r="U54" s="10"/>
      <c r="V54" s="10"/>
      <c r="W54" s="10"/>
      <c r="X54" s="10"/>
      <c r="Y54" s="10"/>
      <c r="Z54" s="10"/>
    </row>
    <row r="55" ht="15.75" customHeight="1">
      <c r="A55" s="10"/>
      <c r="B55" s="10"/>
      <c r="C55" s="25">
        <v>0.4201388888888889</v>
      </c>
      <c r="D55" s="25">
        <v>0.46458333333333335</v>
      </c>
      <c r="E55" s="170" t="s">
        <v>4683</v>
      </c>
      <c r="F55" s="10" t="s">
        <v>4684</v>
      </c>
      <c r="G55" s="10">
        <v>71.0</v>
      </c>
      <c r="H55" s="10">
        <v>18.0</v>
      </c>
      <c r="I55" s="10">
        <v>18.0</v>
      </c>
      <c r="J55" s="10">
        <v>1.0</v>
      </c>
      <c r="K55" s="10">
        <v>7.0</v>
      </c>
      <c r="L55" s="10">
        <v>33.0</v>
      </c>
      <c r="M55" s="10">
        <v>15.0</v>
      </c>
      <c r="N55" s="10">
        <v>15.0</v>
      </c>
      <c r="O55" s="10"/>
      <c r="P55" s="10"/>
      <c r="Q55" s="171"/>
      <c r="R55" s="10"/>
      <c r="S55" s="10"/>
      <c r="T55" s="10"/>
      <c r="U55" s="10"/>
      <c r="V55" s="10"/>
      <c r="W55" s="10"/>
      <c r="X55" s="10"/>
      <c r="Y55" s="10"/>
      <c r="Z55" s="10"/>
    </row>
    <row r="56" ht="15.75" customHeight="1">
      <c r="A56" s="10"/>
      <c r="B56" s="10"/>
      <c r="C56" s="25">
        <v>0.4652777777777778</v>
      </c>
      <c r="D56" s="25">
        <v>0.49027777777777776</v>
      </c>
      <c r="E56" s="10" t="s">
        <v>60</v>
      </c>
      <c r="F56" s="10"/>
      <c r="G56" s="10"/>
      <c r="H56" s="10"/>
      <c r="I56" s="10"/>
      <c r="J56" s="10"/>
      <c r="K56" s="10"/>
      <c r="L56" s="10"/>
      <c r="M56" s="10"/>
      <c r="N56" s="10"/>
      <c r="O56" s="10"/>
      <c r="P56" s="10"/>
      <c r="Q56" s="171"/>
      <c r="R56" s="10"/>
      <c r="S56" s="10"/>
      <c r="T56" s="10"/>
      <c r="U56" s="10"/>
      <c r="V56" s="10"/>
      <c r="W56" s="10"/>
      <c r="X56" s="10"/>
      <c r="Y56" s="10"/>
      <c r="Z56" s="10"/>
    </row>
    <row r="57" ht="15.75" customHeight="1">
      <c r="A57" s="10"/>
      <c r="B57" s="10"/>
      <c r="C57" s="25">
        <v>0.5166666666666667</v>
      </c>
      <c r="D57" s="25">
        <v>0.08263888888888889</v>
      </c>
      <c r="E57" s="170" t="s">
        <v>4685</v>
      </c>
      <c r="F57" s="10" t="s">
        <v>4686</v>
      </c>
      <c r="G57" s="10">
        <v>102.0</v>
      </c>
      <c r="H57" s="10">
        <v>28.0</v>
      </c>
      <c r="I57" s="10">
        <v>20.0</v>
      </c>
      <c r="J57" s="10">
        <v>4.0</v>
      </c>
      <c r="K57" s="10">
        <v>8.0</v>
      </c>
      <c r="L57" s="10">
        <v>49.0</v>
      </c>
      <c r="M57" s="10">
        <v>14.0</v>
      </c>
      <c r="N57" s="10">
        <v>27.0</v>
      </c>
      <c r="O57" s="10"/>
      <c r="P57" s="10"/>
      <c r="Q57" s="171"/>
      <c r="R57" s="10"/>
      <c r="S57" s="10"/>
      <c r="T57" s="10"/>
      <c r="U57" s="10"/>
      <c r="V57" s="10"/>
      <c r="W57" s="10"/>
      <c r="X57" s="10"/>
      <c r="Y57" s="10"/>
      <c r="Z57" s="10"/>
    </row>
    <row r="58" ht="15.75" customHeight="1">
      <c r="A58" s="10"/>
      <c r="B58" s="10"/>
      <c r="C58" s="25">
        <v>0.08402777777777778</v>
      </c>
      <c r="D58" s="25">
        <v>0.10972222222222222</v>
      </c>
      <c r="E58" s="10" t="s">
        <v>63</v>
      </c>
      <c r="F58" s="10"/>
      <c r="G58" s="10"/>
      <c r="H58" s="10"/>
      <c r="I58" s="10"/>
      <c r="J58" s="10"/>
      <c r="K58" s="10"/>
      <c r="L58" s="10"/>
      <c r="M58" s="10"/>
      <c r="N58" s="10"/>
      <c r="O58" s="10"/>
      <c r="P58" s="10"/>
      <c r="Q58" s="171"/>
      <c r="R58" s="10"/>
      <c r="S58" s="10"/>
      <c r="T58" s="10"/>
      <c r="U58" s="10"/>
      <c r="V58" s="10"/>
      <c r="W58" s="10"/>
      <c r="X58" s="10"/>
      <c r="Y58" s="10"/>
      <c r="Z58" s="10"/>
    </row>
    <row r="59" ht="15.75" customHeight="1">
      <c r="A59" s="10"/>
      <c r="B59" s="10"/>
      <c r="C59" s="25">
        <v>0.11736111111111111</v>
      </c>
      <c r="D59" s="25">
        <v>0.18333333333333332</v>
      </c>
      <c r="E59" s="170" t="s">
        <v>4687</v>
      </c>
      <c r="F59" s="10" t="s">
        <v>4688</v>
      </c>
      <c r="G59" s="10">
        <v>112.0</v>
      </c>
      <c r="H59" s="10">
        <v>35.0</v>
      </c>
      <c r="I59" s="10">
        <v>41.0</v>
      </c>
      <c r="J59" s="10">
        <v>2.0</v>
      </c>
      <c r="K59" s="10">
        <v>11.0</v>
      </c>
      <c r="L59" s="10">
        <v>34.0</v>
      </c>
      <c r="M59" s="10">
        <v>31.0</v>
      </c>
      <c r="N59" s="10">
        <v>35.0</v>
      </c>
      <c r="O59" s="10"/>
      <c r="P59" s="10"/>
      <c r="Q59" s="171"/>
      <c r="R59" s="10"/>
      <c r="S59" s="10"/>
      <c r="T59" s="10"/>
      <c r="U59" s="10"/>
      <c r="V59" s="10"/>
      <c r="W59" s="10"/>
      <c r="X59" s="10"/>
      <c r="Y59" s="10"/>
      <c r="Z59" s="10"/>
    </row>
    <row r="60" ht="15.75" customHeight="1">
      <c r="A60" s="10"/>
      <c r="B60" s="10"/>
      <c r="C60" s="25">
        <v>0.1840277777777778</v>
      </c>
      <c r="D60" s="25">
        <v>0.2125</v>
      </c>
      <c r="E60" s="10" t="s">
        <v>4689</v>
      </c>
      <c r="F60" s="10"/>
      <c r="G60" s="10"/>
      <c r="H60" s="10"/>
      <c r="I60" s="10"/>
      <c r="J60" s="10"/>
      <c r="K60" s="10"/>
      <c r="L60" s="10"/>
      <c r="M60" s="10"/>
      <c r="N60" s="10"/>
      <c r="O60" s="10"/>
      <c r="P60" s="10"/>
      <c r="Q60" s="171"/>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71"/>
      <c r="R61" s="10"/>
      <c r="S61" s="10"/>
      <c r="T61" s="10"/>
      <c r="U61" s="10"/>
      <c r="V61" s="10"/>
      <c r="W61" s="10"/>
      <c r="X61" s="10"/>
      <c r="Y61" s="10"/>
      <c r="Z61" s="10"/>
    </row>
    <row r="62" ht="15.75" customHeight="1">
      <c r="A62" s="27">
        <v>45246.0</v>
      </c>
      <c r="B62" s="10">
        <v>8.0</v>
      </c>
      <c r="C62" s="25">
        <v>0.4097222222222222</v>
      </c>
      <c r="D62" s="25">
        <v>0.4375</v>
      </c>
      <c r="E62" s="10" t="s">
        <v>57</v>
      </c>
      <c r="F62" s="10" t="s">
        <v>4690</v>
      </c>
      <c r="G62" s="10"/>
      <c r="H62" s="10"/>
      <c r="I62" s="10"/>
      <c r="J62" s="10"/>
      <c r="K62" s="10"/>
      <c r="L62" s="10"/>
      <c r="M62" s="10"/>
      <c r="N62" s="10"/>
      <c r="O62" s="10"/>
      <c r="P62" s="10"/>
      <c r="Q62" s="171"/>
      <c r="R62" s="10"/>
      <c r="S62" s="10"/>
      <c r="T62" s="10"/>
      <c r="U62" s="10"/>
      <c r="V62" s="10"/>
      <c r="W62" s="10"/>
      <c r="X62" s="10"/>
      <c r="Y62" s="10"/>
      <c r="Z62" s="10"/>
    </row>
    <row r="63" ht="15.75" customHeight="1">
      <c r="A63" s="10"/>
      <c r="B63" s="10"/>
      <c r="C63" s="25">
        <v>0.4479166666666667</v>
      </c>
      <c r="D63" s="25">
        <v>0.5152777777777777</v>
      </c>
      <c r="E63" s="170" t="s">
        <v>4691</v>
      </c>
      <c r="F63" s="10" t="s">
        <v>4692</v>
      </c>
      <c r="G63" s="10">
        <v>100.0</v>
      </c>
      <c r="H63" s="10">
        <v>47.0</v>
      </c>
      <c r="I63" s="10">
        <v>29.0</v>
      </c>
      <c r="J63" s="10">
        <v>1.0</v>
      </c>
      <c r="K63" s="10">
        <v>10.0</v>
      </c>
      <c r="L63" s="10">
        <v>21.0</v>
      </c>
      <c r="M63" s="10">
        <v>38.0</v>
      </c>
      <c r="N63" s="10">
        <v>31.0</v>
      </c>
      <c r="O63" s="10"/>
      <c r="P63" s="10"/>
      <c r="Q63" s="171"/>
      <c r="R63" s="10"/>
      <c r="S63" s="10"/>
      <c r="T63" s="10"/>
      <c r="U63" s="10"/>
      <c r="V63" s="10"/>
      <c r="W63" s="10"/>
      <c r="X63" s="10"/>
      <c r="Y63" s="10"/>
      <c r="Z63" s="10"/>
    </row>
    <row r="64" ht="15.75" customHeight="1">
      <c r="A64" s="10"/>
      <c r="B64" s="10"/>
      <c r="C64" s="25">
        <v>0.51875</v>
      </c>
      <c r="D64" s="25">
        <v>0.04722222222222222</v>
      </c>
      <c r="E64" s="10" t="s">
        <v>60</v>
      </c>
      <c r="F64" s="10"/>
      <c r="G64" s="10"/>
      <c r="H64" s="10"/>
      <c r="I64" s="10"/>
      <c r="J64" s="10"/>
      <c r="K64" s="10"/>
      <c r="L64" s="10"/>
      <c r="M64" s="10"/>
      <c r="N64" s="10"/>
      <c r="O64" s="10"/>
      <c r="P64" s="10"/>
      <c r="Q64" s="171"/>
      <c r="R64" s="10"/>
      <c r="S64" s="10"/>
      <c r="T64" s="10"/>
      <c r="U64" s="10"/>
      <c r="V64" s="10"/>
      <c r="W64" s="10"/>
      <c r="X64" s="10"/>
      <c r="Y64" s="10"/>
      <c r="Z64" s="10"/>
    </row>
    <row r="65" ht="15.75" customHeight="1">
      <c r="A65" s="10"/>
      <c r="B65" s="10"/>
      <c r="C65" s="25">
        <v>0.06111111111111111</v>
      </c>
      <c r="D65" s="25">
        <v>0.08472222222222223</v>
      </c>
      <c r="E65" s="170" t="s">
        <v>4693</v>
      </c>
      <c r="F65" s="10" t="s">
        <v>4694</v>
      </c>
      <c r="G65" s="10">
        <v>42.0</v>
      </c>
      <c r="H65" s="10">
        <v>17.0</v>
      </c>
      <c r="I65" s="10">
        <v>23.0</v>
      </c>
      <c r="J65" s="10">
        <v>0.0</v>
      </c>
      <c r="K65" s="10">
        <v>7.0</v>
      </c>
      <c r="L65" s="10">
        <v>2.0</v>
      </c>
      <c r="M65" s="10">
        <v>16.0</v>
      </c>
      <c r="N65" s="10">
        <v>16.0</v>
      </c>
      <c r="O65" s="10"/>
      <c r="P65" s="10"/>
      <c r="Q65" s="171"/>
      <c r="R65" s="10"/>
      <c r="S65" s="10"/>
      <c r="T65" s="10"/>
      <c r="U65" s="10"/>
      <c r="V65" s="10"/>
      <c r="W65" s="10"/>
      <c r="X65" s="10"/>
      <c r="Y65" s="10"/>
      <c r="Z65" s="10"/>
    </row>
    <row r="66" ht="15.75" customHeight="1">
      <c r="A66" s="10"/>
      <c r="B66" s="10"/>
      <c r="C66" s="25">
        <v>0.09027777777777778</v>
      </c>
      <c r="D66" s="25">
        <v>0.12222222222222222</v>
      </c>
      <c r="E66" s="170" t="s">
        <v>4695</v>
      </c>
      <c r="F66" s="10" t="s">
        <v>4696</v>
      </c>
      <c r="G66" s="10">
        <v>55.0</v>
      </c>
      <c r="H66" s="10">
        <v>30.0</v>
      </c>
      <c r="I66" s="10">
        <v>22.0</v>
      </c>
      <c r="J66" s="10">
        <v>0.0</v>
      </c>
      <c r="K66" s="10">
        <v>12.0</v>
      </c>
      <c r="L66" s="10">
        <v>3.0</v>
      </c>
      <c r="M66" s="10">
        <v>20.0</v>
      </c>
      <c r="N66" s="10">
        <v>19.0</v>
      </c>
      <c r="O66" s="10"/>
      <c r="P66" s="10"/>
      <c r="Q66" s="171"/>
      <c r="R66" s="10"/>
      <c r="S66" s="10"/>
      <c r="T66" s="10"/>
      <c r="U66" s="10"/>
      <c r="V66" s="10"/>
      <c r="W66" s="10"/>
      <c r="X66" s="10"/>
      <c r="Y66" s="10"/>
      <c r="Z66" s="10"/>
    </row>
    <row r="67" ht="15.75" customHeight="1">
      <c r="A67" s="10"/>
      <c r="B67" s="10"/>
      <c r="C67" s="25">
        <v>0.125</v>
      </c>
      <c r="D67" s="25">
        <v>0.14583333333333334</v>
      </c>
      <c r="E67" s="10" t="s">
        <v>63</v>
      </c>
      <c r="F67" s="10"/>
      <c r="G67" s="10"/>
      <c r="H67" s="10"/>
      <c r="I67" s="10"/>
      <c r="J67" s="10"/>
      <c r="K67" s="10"/>
      <c r="L67" s="10"/>
      <c r="M67" s="10"/>
      <c r="N67" s="10"/>
      <c r="O67" s="10"/>
      <c r="P67" s="10"/>
      <c r="Q67" s="171"/>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27">
        <v>45247.0</v>
      </c>
      <c r="B69" s="10">
        <v>9.0</v>
      </c>
      <c r="C69" s="25">
        <v>0.41180555555555554</v>
      </c>
      <c r="D69" s="25">
        <v>0.4375</v>
      </c>
      <c r="E69" s="10" t="s">
        <v>57</v>
      </c>
      <c r="F69" s="10" t="s">
        <v>4690</v>
      </c>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25">
        <v>0.4444444444444444</v>
      </c>
      <c r="D70" s="25">
        <v>0.5118055555555555</v>
      </c>
      <c r="E70" s="170" t="s">
        <v>4697</v>
      </c>
      <c r="F70" s="10" t="s">
        <v>4698</v>
      </c>
      <c r="G70" s="10">
        <v>91.0</v>
      </c>
      <c r="H70" s="10">
        <v>31.0</v>
      </c>
      <c r="I70" s="10">
        <v>35.0</v>
      </c>
      <c r="J70" s="10">
        <v>0.0</v>
      </c>
      <c r="K70" s="10">
        <v>13.0</v>
      </c>
      <c r="L70" s="10">
        <v>24.0</v>
      </c>
      <c r="M70" s="10">
        <v>15.0</v>
      </c>
      <c r="N70" s="10">
        <v>39.0</v>
      </c>
      <c r="O70" s="10"/>
      <c r="P70" s="10"/>
      <c r="Q70" s="10"/>
      <c r="R70" s="10"/>
      <c r="S70" s="10"/>
      <c r="T70" s="10"/>
      <c r="U70" s="10"/>
      <c r="V70" s="10"/>
      <c r="W70" s="10"/>
      <c r="X70" s="10"/>
      <c r="Y70" s="10"/>
      <c r="Z70" s="10"/>
    </row>
    <row r="71" ht="15.75" customHeight="1">
      <c r="A71" s="10"/>
      <c r="B71" s="10"/>
      <c r="C71" s="25">
        <v>0.5138888888888888</v>
      </c>
      <c r="D71" s="25">
        <v>0.5402777777777777</v>
      </c>
      <c r="E71" s="10" t="s">
        <v>60</v>
      </c>
      <c r="F71" s="10" t="s">
        <v>4690</v>
      </c>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25">
        <v>0.043055555555555555</v>
      </c>
      <c r="D72" s="25">
        <v>0.10972222222222222</v>
      </c>
      <c r="E72" s="170" t="s">
        <v>4699</v>
      </c>
      <c r="F72" s="10" t="s">
        <v>4700</v>
      </c>
      <c r="G72" s="10">
        <v>111.0</v>
      </c>
      <c r="H72" s="10">
        <v>46.0</v>
      </c>
      <c r="I72" s="10">
        <v>47.0</v>
      </c>
      <c r="J72" s="10">
        <v>1.0</v>
      </c>
      <c r="K72" s="10">
        <v>14.0</v>
      </c>
      <c r="L72" s="10">
        <v>16.0</v>
      </c>
      <c r="M72" s="10">
        <v>32.0</v>
      </c>
      <c r="N72" s="10">
        <v>50.0</v>
      </c>
      <c r="O72" s="10"/>
      <c r="P72" s="10"/>
      <c r="Q72" s="10"/>
      <c r="R72" s="10"/>
      <c r="S72" s="10"/>
      <c r="T72" s="10"/>
      <c r="U72" s="10"/>
      <c r="V72" s="10"/>
      <c r="W72" s="10"/>
      <c r="X72" s="10"/>
      <c r="Y72" s="10"/>
      <c r="Z72" s="10"/>
    </row>
    <row r="73" ht="15.75" customHeight="1">
      <c r="A73" s="10"/>
      <c r="B73" s="10"/>
      <c r="C73" s="25">
        <v>0.1125</v>
      </c>
      <c r="D73" s="25">
        <v>0.1375</v>
      </c>
      <c r="E73" s="10" t="s">
        <v>63</v>
      </c>
      <c r="F73" s="10" t="s">
        <v>4701</v>
      </c>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27">
        <v>45248.0</v>
      </c>
      <c r="B75" s="10">
        <v>10.0</v>
      </c>
      <c r="C75" s="25">
        <v>0.4486111111111111</v>
      </c>
      <c r="D75" s="25">
        <v>0.4736111111111111</v>
      </c>
      <c r="E75" s="10" t="s">
        <v>57</v>
      </c>
      <c r="F75" s="10" t="s">
        <v>4702</v>
      </c>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25">
        <v>0.47708333333333336</v>
      </c>
      <c r="D76" s="25">
        <v>0.5402777777777777</v>
      </c>
      <c r="E76" s="170" t="s">
        <v>4703</v>
      </c>
      <c r="F76" s="10" t="s">
        <v>4704</v>
      </c>
      <c r="G76" s="10">
        <v>95.0</v>
      </c>
      <c r="H76" s="10">
        <v>29.0</v>
      </c>
      <c r="I76" s="10">
        <v>24.0</v>
      </c>
      <c r="J76" s="10">
        <v>3.0</v>
      </c>
      <c r="K76" s="10">
        <v>3.0</v>
      </c>
      <c r="L76" s="10">
        <v>38.0</v>
      </c>
      <c r="M76" s="10">
        <v>26.0</v>
      </c>
      <c r="N76" s="10">
        <v>25.0</v>
      </c>
      <c r="O76" s="10"/>
      <c r="P76" s="10"/>
      <c r="Q76" s="10"/>
      <c r="R76" s="10"/>
      <c r="S76" s="10"/>
      <c r="T76" s="10"/>
      <c r="U76" s="10"/>
      <c r="V76" s="10"/>
      <c r="W76" s="10"/>
      <c r="X76" s="10"/>
      <c r="Y76" s="10"/>
      <c r="Z76" s="10"/>
    </row>
    <row r="77" ht="15.75" customHeight="1">
      <c r="A77" s="10"/>
      <c r="B77" s="10"/>
      <c r="C77" s="25">
        <v>0.041666666666666664</v>
      </c>
      <c r="D77" s="25">
        <v>0.06527777777777778</v>
      </c>
      <c r="E77" s="10" t="s">
        <v>60</v>
      </c>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25">
        <v>0.0875</v>
      </c>
      <c r="D78" s="25">
        <v>0.12152777777777778</v>
      </c>
      <c r="E78" s="170" t="s">
        <v>4705</v>
      </c>
      <c r="F78" s="10" t="s">
        <v>4706</v>
      </c>
      <c r="G78" s="10">
        <v>58.0</v>
      </c>
      <c r="H78" s="10">
        <v>24.0</v>
      </c>
      <c r="I78" s="10">
        <v>24.0</v>
      </c>
      <c r="J78" s="10">
        <v>1.0</v>
      </c>
      <c r="K78" s="10">
        <v>6.0</v>
      </c>
      <c r="L78" s="10">
        <v>9.0</v>
      </c>
      <c r="M78" s="10">
        <v>19.0</v>
      </c>
      <c r="N78" s="10">
        <v>24.0</v>
      </c>
      <c r="O78" s="10"/>
      <c r="P78" s="10"/>
      <c r="Q78" s="10"/>
      <c r="R78" s="10"/>
      <c r="S78" s="10"/>
      <c r="T78" s="10"/>
      <c r="U78" s="10"/>
      <c r="V78" s="10"/>
      <c r="W78" s="10"/>
      <c r="X78" s="10"/>
      <c r="Y78" s="10"/>
      <c r="Z78" s="10"/>
    </row>
    <row r="79" ht="15.75" customHeight="1">
      <c r="A79" s="10"/>
      <c r="B79" s="10"/>
      <c r="C79" s="25">
        <v>0.12222222222222222</v>
      </c>
      <c r="D79" s="25">
        <v>0.15625</v>
      </c>
      <c r="E79" s="170" t="s">
        <v>4707</v>
      </c>
      <c r="F79" s="10" t="s">
        <v>4708</v>
      </c>
      <c r="G79" s="10">
        <v>45.0</v>
      </c>
      <c r="H79" s="10">
        <v>17.0</v>
      </c>
      <c r="I79" s="10">
        <v>21.0</v>
      </c>
      <c r="J79" s="10">
        <v>0.0</v>
      </c>
      <c r="K79" s="10">
        <v>6.0</v>
      </c>
      <c r="L79" s="10">
        <v>7.0</v>
      </c>
      <c r="M79" s="10">
        <v>15.0</v>
      </c>
      <c r="N79" s="10">
        <v>17.0</v>
      </c>
      <c r="O79" s="10"/>
      <c r="P79" s="10"/>
      <c r="Q79" s="10"/>
      <c r="R79" s="10"/>
      <c r="S79" s="10"/>
      <c r="T79" s="10"/>
      <c r="U79" s="10"/>
      <c r="V79" s="10"/>
      <c r="W79" s="10"/>
      <c r="X79" s="10"/>
      <c r="Y79" s="10"/>
      <c r="Z79" s="10"/>
    </row>
    <row r="80" ht="15.75" customHeight="1">
      <c r="A80" s="10"/>
      <c r="B80" s="10"/>
      <c r="C80" s="25">
        <v>0.15902777777777777</v>
      </c>
      <c r="D80" s="25">
        <v>0.18263888888888888</v>
      </c>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27">
        <v>45250.0</v>
      </c>
      <c r="B82" s="10">
        <v>11.0</v>
      </c>
      <c r="C82" s="25">
        <v>0.4305555555555556</v>
      </c>
      <c r="D82" s="25">
        <v>0.4548611111111111</v>
      </c>
      <c r="E82" s="10" t="s">
        <v>57</v>
      </c>
      <c r="F82" s="10" t="s">
        <v>4690</v>
      </c>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25">
        <v>0.4618055555555556</v>
      </c>
      <c r="D83" s="25">
        <v>0.5222222222222223</v>
      </c>
      <c r="E83" s="170" t="s">
        <v>4709</v>
      </c>
      <c r="F83" s="10" t="s">
        <v>4710</v>
      </c>
      <c r="G83" s="10">
        <v>95.0</v>
      </c>
      <c r="H83" s="10">
        <v>15.0</v>
      </c>
      <c r="I83" s="10">
        <v>13.0</v>
      </c>
      <c r="J83" s="10">
        <v>4.0</v>
      </c>
      <c r="K83" s="10">
        <v>11.0</v>
      </c>
      <c r="L83" s="10">
        <v>54.0</v>
      </c>
      <c r="M83" s="10">
        <v>6.0</v>
      </c>
      <c r="N83" s="10">
        <v>19.0</v>
      </c>
      <c r="O83" s="10"/>
      <c r="P83" s="10"/>
      <c r="Q83" s="10"/>
      <c r="R83" s="10"/>
      <c r="S83" s="10"/>
      <c r="T83" s="10"/>
      <c r="U83" s="10"/>
      <c r="V83" s="10"/>
      <c r="W83" s="10"/>
      <c r="X83" s="10"/>
      <c r="Y83" s="10"/>
      <c r="Z83" s="10"/>
    </row>
    <row r="84" ht="15.75" customHeight="1">
      <c r="A84" s="10"/>
      <c r="B84" s="10"/>
      <c r="C84" s="25">
        <v>0.5243055555555556</v>
      </c>
      <c r="D84" s="25">
        <v>0.04861111111111111</v>
      </c>
      <c r="E84" s="10" t="s">
        <v>60</v>
      </c>
      <c r="F84" s="10" t="s">
        <v>4690</v>
      </c>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25">
        <v>0.05555555555555555</v>
      </c>
      <c r="D85" s="25">
        <v>0.11875</v>
      </c>
      <c r="E85" s="170" t="s">
        <v>4711</v>
      </c>
      <c r="F85" s="10" t="s">
        <v>4712</v>
      </c>
      <c r="G85" s="10">
        <v>111.0</v>
      </c>
      <c r="H85" s="10">
        <v>23.0</v>
      </c>
      <c r="I85" s="10">
        <v>25.0</v>
      </c>
      <c r="J85" s="10">
        <v>1.0</v>
      </c>
      <c r="K85" s="10">
        <v>6.0</v>
      </c>
      <c r="L85" s="10">
        <v>60.0</v>
      </c>
      <c r="M85" s="10">
        <v>16.0</v>
      </c>
      <c r="N85" s="10">
        <v>28.0</v>
      </c>
      <c r="O85" s="10"/>
      <c r="P85" s="10"/>
      <c r="Q85" s="10"/>
      <c r="R85" s="10"/>
      <c r="S85" s="10"/>
      <c r="T85" s="10"/>
      <c r="U85" s="10"/>
      <c r="V85" s="10"/>
      <c r="W85" s="10"/>
      <c r="X85" s="10"/>
      <c r="Y85" s="10"/>
      <c r="Z85" s="10"/>
    </row>
    <row r="86" ht="15.75" customHeight="1">
      <c r="A86" s="10"/>
      <c r="B86" s="10"/>
      <c r="C86" s="25">
        <v>0.12152777777777778</v>
      </c>
      <c r="D86" s="25">
        <v>0.14444444444444443</v>
      </c>
      <c r="E86" s="10" t="s">
        <v>63</v>
      </c>
      <c r="F86" s="10" t="s">
        <v>4690</v>
      </c>
      <c r="G86" s="10"/>
      <c r="H86" s="10"/>
      <c r="I86" s="10"/>
      <c r="J86" s="10"/>
      <c r="K86" s="10"/>
      <c r="L86" s="10"/>
      <c r="M86" s="10"/>
      <c r="N86" s="10"/>
      <c r="O86" s="10"/>
      <c r="P86" s="10"/>
      <c r="Q86" s="10"/>
      <c r="R86" s="10"/>
      <c r="S86" s="10"/>
      <c r="T86" s="10"/>
      <c r="U86" s="10"/>
      <c r="V86" s="10"/>
      <c r="W86" s="10"/>
      <c r="X86" s="10"/>
      <c r="Y86" s="10"/>
      <c r="Z86" s="10"/>
    </row>
    <row r="87" ht="15.75" customHeight="1">
      <c r="A87" s="27"/>
      <c r="B87" s="10"/>
      <c r="C87" s="25"/>
      <c r="D87" s="25"/>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27">
        <v>45251.0</v>
      </c>
      <c r="B88" s="10">
        <v>12.0</v>
      </c>
      <c r="C88" s="25">
        <v>0.3840277777777778</v>
      </c>
      <c r="D88" s="25">
        <v>0.40902777777777777</v>
      </c>
      <c r="E88" s="10" t="s">
        <v>57</v>
      </c>
      <c r="F88" s="10" t="s">
        <v>4713</v>
      </c>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25">
        <v>0.4166666666666667</v>
      </c>
      <c r="D89" s="25">
        <v>0.4791666666666667</v>
      </c>
      <c r="E89" s="174" t="s">
        <v>4714</v>
      </c>
      <c r="F89" s="10" t="s">
        <v>4715</v>
      </c>
      <c r="G89" s="10">
        <v>108.0</v>
      </c>
      <c r="H89" s="10">
        <v>36.0</v>
      </c>
      <c r="I89" s="10">
        <v>32.0</v>
      </c>
      <c r="J89" s="10">
        <v>0.0</v>
      </c>
      <c r="K89" s="10">
        <v>6.0</v>
      </c>
      <c r="L89" s="10">
        <v>39.0</v>
      </c>
      <c r="M89" s="10">
        <v>22.0</v>
      </c>
      <c r="N89" s="10">
        <v>43.0</v>
      </c>
      <c r="O89" s="10"/>
      <c r="P89" s="10"/>
      <c r="Q89" s="10"/>
      <c r="R89" s="10"/>
      <c r="S89" s="10"/>
      <c r="T89" s="10"/>
      <c r="U89" s="10"/>
      <c r="V89" s="10"/>
      <c r="W89" s="10"/>
      <c r="X89" s="10"/>
      <c r="Y89" s="10"/>
      <c r="Z89" s="10"/>
    </row>
    <row r="90" ht="15.75" customHeight="1">
      <c r="A90" s="10"/>
      <c r="B90" s="10"/>
      <c r="C90" s="25">
        <v>0.48125</v>
      </c>
      <c r="D90" s="25">
        <v>0.5048611111111111</v>
      </c>
      <c r="E90" s="10" t="s">
        <v>60</v>
      </c>
      <c r="F90" s="10" t="s">
        <v>4713</v>
      </c>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25">
        <v>0.5069444444444444</v>
      </c>
      <c r="D91" s="25">
        <v>0.059027777777777776</v>
      </c>
      <c r="E91" s="174" t="s">
        <v>4716</v>
      </c>
      <c r="F91" s="10" t="s">
        <v>4717</v>
      </c>
      <c r="G91" s="10">
        <v>105.0</v>
      </c>
      <c r="H91" s="10">
        <v>38.0</v>
      </c>
      <c r="I91" s="10">
        <v>39.0</v>
      </c>
      <c r="J91" s="10">
        <v>0.0</v>
      </c>
      <c r="K91" s="10">
        <v>4.0</v>
      </c>
      <c r="L91" s="10">
        <v>28.0</v>
      </c>
      <c r="M91" s="10">
        <v>31.0</v>
      </c>
      <c r="N91" s="10">
        <v>42.0</v>
      </c>
      <c r="O91" s="10"/>
      <c r="P91" s="10"/>
      <c r="Q91" s="10"/>
      <c r="R91" s="10"/>
      <c r="S91" s="10"/>
      <c r="T91" s="10"/>
      <c r="U91" s="10"/>
      <c r="V91" s="10"/>
      <c r="W91" s="10"/>
      <c r="X91" s="10"/>
      <c r="Y91" s="10"/>
      <c r="Z91" s="10"/>
    </row>
    <row r="92" ht="15.75" customHeight="1">
      <c r="A92" s="10"/>
      <c r="B92" s="10"/>
      <c r="C92" s="25">
        <v>0.06319444444444444</v>
      </c>
      <c r="D92" s="25">
        <v>0.09236111111111112</v>
      </c>
      <c r="E92" s="10" t="s">
        <v>63</v>
      </c>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27">
        <v>45252.0</v>
      </c>
      <c r="B94" s="10">
        <v>13.0</v>
      </c>
      <c r="C94" s="25">
        <v>0.4201388888888889</v>
      </c>
      <c r="D94" s="25">
        <v>0.4444444444444444</v>
      </c>
      <c r="E94" s="10" t="s">
        <v>57</v>
      </c>
      <c r="F94" s="10" t="s">
        <v>4690</v>
      </c>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25">
        <v>0.4527777777777778</v>
      </c>
      <c r="D95" s="25">
        <v>0.5208333333333334</v>
      </c>
      <c r="E95" s="174" t="s">
        <v>4718</v>
      </c>
      <c r="F95" s="10" t="s">
        <v>4719</v>
      </c>
      <c r="G95" s="10">
        <v>129.0</v>
      </c>
      <c r="H95" s="10">
        <v>52.0</v>
      </c>
      <c r="I95" s="10">
        <v>41.0</v>
      </c>
      <c r="J95" s="10">
        <v>0.0</v>
      </c>
      <c r="K95" s="10">
        <v>8.0</v>
      </c>
      <c r="L95" s="10">
        <v>34.0</v>
      </c>
      <c r="M95" s="10">
        <v>40.0</v>
      </c>
      <c r="N95" s="10">
        <v>46.0</v>
      </c>
      <c r="O95" s="10"/>
      <c r="P95" s="10"/>
      <c r="Q95" s="10"/>
      <c r="R95" s="10"/>
      <c r="S95" s="10"/>
      <c r="T95" s="10"/>
      <c r="U95" s="10"/>
      <c r="V95" s="10"/>
      <c r="W95" s="10"/>
      <c r="X95" s="10"/>
      <c r="Y95" s="10"/>
      <c r="Z95" s="10"/>
    </row>
    <row r="96" ht="15.75" customHeight="1">
      <c r="A96" s="10"/>
      <c r="B96" s="10"/>
      <c r="C96" s="25">
        <v>0.5243055555555556</v>
      </c>
      <c r="D96" s="25">
        <v>0.050694444444444445</v>
      </c>
      <c r="E96" s="10" t="s">
        <v>60</v>
      </c>
      <c r="F96" s="10" t="s">
        <v>4690</v>
      </c>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25">
        <v>0.058333333333333334</v>
      </c>
      <c r="D97" s="25">
        <v>0.12361111111111112</v>
      </c>
      <c r="E97" s="174" t="s">
        <v>4720</v>
      </c>
      <c r="F97" s="10" t="s">
        <v>4721</v>
      </c>
      <c r="G97" s="10">
        <v>126.0</v>
      </c>
      <c r="H97" s="10">
        <v>46.0</v>
      </c>
      <c r="I97" s="10">
        <v>40.0</v>
      </c>
      <c r="J97" s="10">
        <v>1.0</v>
      </c>
      <c r="K97" s="10">
        <v>6.0</v>
      </c>
      <c r="L97" s="10">
        <v>39.0</v>
      </c>
      <c r="M97" s="10">
        <v>30.0</v>
      </c>
      <c r="N97" s="10">
        <v>51.0</v>
      </c>
      <c r="O97" s="10"/>
      <c r="P97" s="10"/>
      <c r="Q97" s="10"/>
      <c r="R97" s="10"/>
      <c r="S97" s="10"/>
      <c r="T97" s="10"/>
      <c r="U97" s="10"/>
      <c r="V97" s="10"/>
      <c r="W97" s="10"/>
      <c r="X97" s="10"/>
      <c r="Y97" s="10"/>
      <c r="Z97" s="10"/>
    </row>
    <row r="98" ht="15.75" customHeight="1">
      <c r="A98" s="10"/>
      <c r="B98" s="10"/>
      <c r="C98" s="25">
        <v>0.12638888888888888</v>
      </c>
      <c r="D98" s="25">
        <v>0.14930555555555555</v>
      </c>
      <c r="E98" s="10" t="s">
        <v>63</v>
      </c>
      <c r="F98" s="10" t="s">
        <v>4690</v>
      </c>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27">
        <v>45257.0</v>
      </c>
      <c r="B100" s="10">
        <v>14.0</v>
      </c>
      <c r="C100" s="25">
        <v>0.4027777777777778</v>
      </c>
      <c r="D100" s="25">
        <v>0.42986111111111114</v>
      </c>
      <c r="E100" s="10" t="s">
        <v>57</v>
      </c>
      <c r="F100" s="10" t="s">
        <v>4690</v>
      </c>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25">
        <v>0.4409722222222222</v>
      </c>
      <c r="D101" s="25">
        <v>0.5006944444444444</v>
      </c>
      <c r="E101" s="174" t="s">
        <v>4722</v>
      </c>
      <c r="F101" s="10" t="s">
        <v>4723</v>
      </c>
      <c r="G101" s="10">
        <v>103.0</v>
      </c>
      <c r="H101" s="10">
        <v>27.0</v>
      </c>
      <c r="I101" s="10">
        <v>19.0</v>
      </c>
      <c r="J101" s="10">
        <v>4.0</v>
      </c>
      <c r="K101" s="10">
        <v>9.0</v>
      </c>
      <c r="L101" s="10">
        <v>49.0</v>
      </c>
      <c r="M101" s="10">
        <v>10.0</v>
      </c>
      <c r="N101" s="10">
        <v>33.0</v>
      </c>
      <c r="O101" s="10"/>
      <c r="P101" s="10"/>
      <c r="Q101" s="10"/>
      <c r="R101" s="10"/>
      <c r="S101" s="10"/>
      <c r="T101" s="10"/>
      <c r="U101" s="10"/>
      <c r="V101" s="10"/>
      <c r="W101" s="10"/>
      <c r="X101" s="10"/>
      <c r="Y101" s="10"/>
      <c r="Z101" s="10"/>
    </row>
    <row r="102" ht="15.75" customHeight="1">
      <c r="A102" s="10"/>
      <c r="B102" s="10"/>
      <c r="C102" s="25">
        <v>0.5041666666666667</v>
      </c>
      <c r="D102" s="25">
        <v>0.5326388888888889</v>
      </c>
      <c r="E102" s="10" t="s">
        <v>60</v>
      </c>
      <c r="F102" s="10" t="s">
        <v>4690</v>
      </c>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25">
        <v>0.5368055555555555</v>
      </c>
      <c r="D103" s="25">
        <v>0.052083333333333336</v>
      </c>
      <c r="E103" s="174" t="s">
        <v>4724</v>
      </c>
      <c r="F103" s="10" t="s">
        <v>4725</v>
      </c>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25">
        <v>0.06111111111111111</v>
      </c>
      <c r="D104" s="25">
        <v>0.11319444444444444</v>
      </c>
      <c r="E104" s="174" t="s">
        <v>4726</v>
      </c>
      <c r="F104" s="10" t="s">
        <v>4727</v>
      </c>
      <c r="G104" s="10">
        <v>105.0</v>
      </c>
      <c r="H104" s="10">
        <v>27.0</v>
      </c>
      <c r="I104" s="10">
        <v>18.0</v>
      </c>
      <c r="J104" s="10">
        <v>2.0</v>
      </c>
      <c r="K104" s="10">
        <v>4.0</v>
      </c>
      <c r="L104" s="10">
        <v>56.0</v>
      </c>
      <c r="M104" s="10">
        <v>7.0</v>
      </c>
      <c r="N104" s="10">
        <v>35.0</v>
      </c>
      <c r="O104" s="10"/>
      <c r="P104" s="10"/>
      <c r="Q104" s="10"/>
      <c r="R104" s="10"/>
      <c r="S104" s="10"/>
      <c r="T104" s="10"/>
      <c r="U104" s="10"/>
      <c r="V104" s="10"/>
      <c r="W104" s="10"/>
      <c r="X104" s="10"/>
      <c r="Y104" s="10"/>
      <c r="Z104" s="10"/>
    </row>
    <row r="105" ht="15.75" customHeight="1">
      <c r="A105" s="10"/>
      <c r="B105" s="10"/>
      <c r="C105" s="25">
        <v>0.11666666666666667</v>
      </c>
      <c r="D105" s="25">
        <v>0.16805555555555557</v>
      </c>
      <c r="E105" s="10" t="s">
        <v>63</v>
      </c>
      <c r="F105" s="10" t="s">
        <v>4690</v>
      </c>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27">
        <v>45258.0</v>
      </c>
      <c r="B107" s="10">
        <v>15.0</v>
      </c>
      <c r="C107" s="25">
        <v>0.4083333333333333</v>
      </c>
      <c r="D107" s="25">
        <v>0.43125</v>
      </c>
      <c r="E107" s="10" t="s">
        <v>57</v>
      </c>
      <c r="F107" s="10" t="s">
        <v>4690</v>
      </c>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25">
        <v>0.4375</v>
      </c>
      <c r="D108" s="25">
        <v>0.4826388888888889</v>
      </c>
      <c r="E108" s="174" t="s">
        <v>4728</v>
      </c>
      <c r="F108" s="10" t="s">
        <v>4729</v>
      </c>
      <c r="G108" s="10">
        <v>85.0</v>
      </c>
      <c r="H108" s="10">
        <v>17.0</v>
      </c>
      <c r="I108" s="10">
        <v>26.0</v>
      </c>
      <c r="J108" s="10">
        <v>2.0</v>
      </c>
      <c r="K108" s="10">
        <v>4.0</v>
      </c>
      <c r="L108" s="10">
        <v>39.0</v>
      </c>
      <c r="M108" s="10">
        <v>20.0</v>
      </c>
      <c r="N108" s="10">
        <v>20.0</v>
      </c>
      <c r="O108" s="10"/>
      <c r="P108" s="10"/>
      <c r="Q108" s="10"/>
      <c r="R108" s="10"/>
      <c r="S108" s="10"/>
      <c r="T108" s="10"/>
      <c r="U108" s="10"/>
      <c r="V108" s="10"/>
      <c r="W108" s="10"/>
      <c r="X108" s="10"/>
      <c r="Y108" s="10"/>
      <c r="Z108" s="10"/>
    </row>
    <row r="109" ht="15.75" customHeight="1">
      <c r="A109" s="10"/>
      <c r="B109" s="10"/>
      <c r="C109" s="25">
        <v>0.48819444444444443</v>
      </c>
      <c r="D109" s="25">
        <v>0.5180555555555556</v>
      </c>
      <c r="E109" s="10" t="s">
        <v>60</v>
      </c>
      <c r="F109" s="10" t="s">
        <v>4713</v>
      </c>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25">
        <v>0.5215277777777778</v>
      </c>
      <c r="D110" s="25">
        <v>0.08541666666666667</v>
      </c>
      <c r="E110" s="174" t="s">
        <v>4730</v>
      </c>
      <c r="F110" s="10" t="s">
        <v>4731</v>
      </c>
      <c r="G110" s="10">
        <v>115.0</v>
      </c>
      <c r="H110" s="10">
        <v>36.0</v>
      </c>
      <c r="I110" s="10">
        <v>36.0</v>
      </c>
      <c r="J110" s="10">
        <v>0.0</v>
      </c>
      <c r="K110" s="10">
        <v>13.0</v>
      </c>
      <c r="L110" s="10">
        <v>42.0</v>
      </c>
      <c r="M110" s="10">
        <v>22.0</v>
      </c>
      <c r="N110" s="10">
        <v>39.0</v>
      </c>
      <c r="O110" s="10"/>
      <c r="P110" s="10"/>
      <c r="Q110" s="10"/>
      <c r="R110" s="10"/>
      <c r="S110" s="10"/>
      <c r="T110" s="10"/>
      <c r="U110" s="10"/>
      <c r="V110" s="10"/>
      <c r="W110" s="10"/>
      <c r="X110" s="10"/>
      <c r="Y110" s="10"/>
      <c r="Z110" s="10"/>
    </row>
    <row r="111" ht="15.75" customHeight="1">
      <c r="A111" s="10"/>
      <c r="B111" s="10"/>
      <c r="C111" s="25">
        <v>0.08680555555555555</v>
      </c>
      <c r="D111" s="25">
        <v>0.1125</v>
      </c>
      <c r="E111" s="10" t="s">
        <v>63</v>
      </c>
      <c r="F111" s="10" t="s">
        <v>4732</v>
      </c>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27">
        <v>45259.0</v>
      </c>
      <c r="B113" s="10">
        <v>16.0</v>
      </c>
      <c r="C113" s="25">
        <v>0.41180555555555554</v>
      </c>
      <c r="D113" s="25">
        <v>0.4375</v>
      </c>
      <c r="E113" s="10" t="s">
        <v>57</v>
      </c>
      <c r="F113" s="10" t="s">
        <v>4690</v>
      </c>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25">
        <v>0.4465277777777778</v>
      </c>
      <c r="D114" s="25">
        <v>0.5104166666666666</v>
      </c>
      <c r="E114" s="174" t="s">
        <v>4733</v>
      </c>
      <c r="F114" s="10" t="s">
        <v>4734</v>
      </c>
      <c r="G114" s="10">
        <v>117.0</v>
      </c>
      <c r="H114" s="10">
        <v>32.0</v>
      </c>
      <c r="I114" s="10">
        <v>37.0</v>
      </c>
      <c r="J114" s="10">
        <v>0.0</v>
      </c>
      <c r="K114" s="10">
        <v>8.0</v>
      </c>
      <c r="L114" s="10">
        <v>48.0</v>
      </c>
      <c r="M114" s="10">
        <v>26.0</v>
      </c>
      <c r="N114" s="10">
        <v>36.0</v>
      </c>
      <c r="O114" s="10"/>
      <c r="P114" s="10"/>
      <c r="Q114" s="10"/>
      <c r="R114" s="10"/>
      <c r="S114" s="10"/>
      <c r="T114" s="10"/>
      <c r="U114" s="10"/>
      <c r="V114" s="10"/>
      <c r="W114" s="10"/>
      <c r="X114" s="10"/>
      <c r="Y114" s="10"/>
      <c r="Z114" s="10"/>
    </row>
    <row r="115" ht="15.75" customHeight="1">
      <c r="A115" s="10"/>
      <c r="B115" s="10"/>
      <c r="C115" s="25">
        <v>0.5138888888888888</v>
      </c>
      <c r="D115" s="25">
        <v>0.5388888888888889</v>
      </c>
      <c r="E115" s="10" t="s">
        <v>60</v>
      </c>
      <c r="F115" s="10" t="s">
        <v>4690</v>
      </c>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25">
        <v>0.044444444444444446</v>
      </c>
      <c r="D116" s="25">
        <v>0.10972222222222222</v>
      </c>
      <c r="E116" s="174" t="s">
        <v>4735</v>
      </c>
      <c r="F116" s="10" t="s">
        <v>4736</v>
      </c>
      <c r="G116" s="10">
        <v>126.0</v>
      </c>
      <c r="H116" s="10">
        <v>43.0</v>
      </c>
      <c r="I116" s="10">
        <v>49.0</v>
      </c>
      <c r="J116" s="10">
        <v>0.0</v>
      </c>
      <c r="K116" s="10">
        <v>7.0</v>
      </c>
      <c r="L116" s="10">
        <v>34.0</v>
      </c>
      <c r="M116" s="10">
        <v>48.0</v>
      </c>
      <c r="N116" s="10">
        <v>38.0</v>
      </c>
      <c r="O116" s="10"/>
      <c r="P116" s="10"/>
      <c r="Q116" s="10"/>
      <c r="R116" s="10"/>
      <c r="S116" s="10"/>
      <c r="T116" s="10"/>
      <c r="U116" s="10"/>
      <c r="V116" s="10"/>
      <c r="W116" s="10"/>
      <c r="X116" s="10"/>
      <c r="Y116" s="10"/>
      <c r="Z116" s="10"/>
    </row>
    <row r="117" ht="15.75" customHeight="1">
      <c r="A117" s="10"/>
      <c r="B117" s="10"/>
      <c r="C117" s="25">
        <v>0.1111111111111111</v>
      </c>
      <c r="D117" s="10"/>
      <c r="E117" s="10" t="s">
        <v>4737</v>
      </c>
      <c r="F117" s="10" t="s">
        <v>4666</v>
      </c>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27">
        <v>45260.0</v>
      </c>
      <c r="B119" s="10">
        <v>17.0</v>
      </c>
      <c r="C119" s="25">
        <v>0.39444444444444443</v>
      </c>
      <c r="D119" s="25">
        <v>0.41944444444444445</v>
      </c>
      <c r="E119" s="10" t="s">
        <v>57</v>
      </c>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25">
        <v>0.42430555555555555</v>
      </c>
      <c r="D120" s="25">
        <v>0.4895833333333333</v>
      </c>
      <c r="E120" s="174" t="s">
        <v>4738</v>
      </c>
      <c r="F120" s="10" t="s">
        <v>4739</v>
      </c>
      <c r="G120" s="10">
        <v>109.0</v>
      </c>
      <c r="H120" s="10">
        <v>35.0</v>
      </c>
      <c r="I120" s="10">
        <v>35.0</v>
      </c>
      <c r="J120" s="10">
        <v>0.0</v>
      </c>
      <c r="K120" s="10">
        <v>8.0</v>
      </c>
      <c r="L120" s="10">
        <v>38.0</v>
      </c>
      <c r="M120" s="10">
        <v>30.0</v>
      </c>
      <c r="N120" s="10">
        <v>34.0</v>
      </c>
      <c r="O120" s="10"/>
      <c r="P120" s="10"/>
      <c r="Q120" s="10"/>
      <c r="R120" s="10"/>
      <c r="S120" s="10"/>
      <c r="T120" s="10"/>
      <c r="U120" s="10"/>
      <c r="V120" s="10"/>
      <c r="W120" s="10"/>
      <c r="X120" s="10"/>
      <c r="Y120" s="10"/>
      <c r="Z120" s="10"/>
    </row>
    <row r="121" ht="15.75" customHeight="1">
      <c r="A121" s="10"/>
      <c r="B121" s="10"/>
      <c r="C121" s="25">
        <v>0.4930555555555556</v>
      </c>
      <c r="D121" s="25">
        <v>0.5166666666666667</v>
      </c>
      <c r="E121" s="10" t="s">
        <v>60</v>
      </c>
      <c r="F121" s="10" t="s">
        <v>4666</v>
      </c>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25">
        <v>0.5194444444444445</v>
      </c>
      <c r="D122" s="25">
        <v>0.08333333333333333</v>
      </c>
      <c r="E122" s="174" t="s">
        <v>4740</v>
      </c>
      <c r="F122" s="10" t="s">
        <v>4741</v>
      </c>
      <c r="G122" s="10">
        <v>116.0</v>
      </c>
      <c r="H122" s="10">
        <v>38.0</v>
      </c>
      <c r="I122" s="10">
        <v>50.0</v>
      </c>
      <c r="J122" s="10">
        <v>2.0</v>
      </c>
      <c r="K122" s="10">
        <v>10.0</v>
      </c>
      <c r="L122" s="10">
        <v>25.0</v>
      </c>
      <c r="M122" s="10">
        <v>46.0</v>
      </c>
      <c r="N122" s="10">
        <v>34.0</v>
      </c>
      <c r="O122" s="10"/>
      <c r="P122" s="10"/>
      <c r="Q122" s="10"/>
      <c r="R122" s="10"/>
      <c r="S122" s="10"/>
      <c r="T122" s="10"/>
      <c r="U122" s="10"/>
      <c r="V122" s="10"/>
      <c r="W122" s="10"/>
      <c r="X122" s="10"/>
      <c r="Y122" s="10"/>
      <c r="Z122" s="10"/>
    </row>
    <row r="123" ht="15.75" customHeight="1">
      <c r="A123" s="10"/>
      <c r="B123" s="10"/>
      <c r="C123" s="25">
        <v>0.08541666666666667</v>
      </c>
      <c r="D123" s="10"/>
      <c r="E123" s="10" t="s">
        <v>4737</v>
      </c>
      <c r="F123" s="10" t="s">
        <v>4666</v>
      </c>
      <c r="O123" s="10"/>
      <c r="P123" s="10"/>
      <c r="Q123" s="10"/>
      <c r="R123" s="10"/>
      <c r="S123" s="10"/>
      <c r="T123" s="10"/>
      <c r="U123" s="10"/>
      <c r="V123" s="10"/>
      <c r="W123" s="10"/>
      <c r="X123" s="10"/>
      <c r="Y123" s="10"/>
      <c r="Z123" s="10"/>
    </row>
    <row r="124" ht="15.75" customHeight="1">
      <c r="A124" s="10"/>
      <c r="B124" s="10"/>
      <c r="C124" s="10"/>
      <c r="D124" s="10"/>
      <c r="E124" s="10"/>
      <c r="F124" s="10"/>
      <c r="O124" s="10"/>
      <c r="P124" s="10"/>
      <c r="Q124" s="10"/>
      <c r="R124" s="10"/>
      <c r="S124" s="10"/>
      <c r="T124" s="10"/>
      <c r="U124" s="10"/>
      <c r="V124" s="10"/>
      <c r="W124" s="10"/>
      <c r="X124" s="10"/>
      <c r="Y124" s="10"/>
      <c r="Z124" s="10"/>
    </row>
    <row r="125" ht="15.75" customHeight="1">
      <c r="A125" s="27">
        <v>45261.0</v>
      </c>
      <c r="B125" s="10">
        <v>18.0</v>
      </c>
      <c r="C125" s="25">
        <v>0.39444444444444443</v>
      </c>
      <c r="D125" s="25">
        <v>0.4270833333333333</v>
      </c>
      <c r="E125" s="10" t="s">
        <v>57</v>
      </c>
      <c r="F125" s="10" t="s">
        <v>4690</v>
      </c>
      <c r="O125" s="10"/>
      <c r="P125" s="10"/>
      <c r="Q125" s="10"/>
      <c r="R125" s="10"/>
      <c r="S125" s="10"/>
      <c r="T125" s="10"/>
      <c r="U125" s="10"/>
      <c r="V125" s="10"/>
      <c r="W125" s="10"/>
      <c r="X125" s="10"/>
      <c r="Y125" s="10"/>
      <c r="Z125" s="10"/>
    </row>
    <row r="126" ht="15.75" customHeight="1">
      <c r="A126" s="10"/>
      <c r="B126" s="10"/>
      <c r="C126" s="25">
        <v>0.4340277777777778</v>
      </c>
      <c r="D126" s="25">
        <v>0.4986111111111111</v>
      </c>
      <c r="E126" s="174" t="s">
        <v>4742</v>
      </c>
      <c r="F126" s="10" t="s">
        <v>4743</v>
      </c>
      <c r="G126" s="10">
        <v>123.0</v>
      </c>
      <c r="H126" s="10">
        <v>41.0</v>
      </c>
      <c r="I126" s="10">
        <v>43.0</v>
      </c>
      <c r="J126" s="10">
        <v>0.0</v>
      </c>
      <c r="K126" s="10">
        <v>11.0</v>
      </c>
      <c r="L126" s="10">
        <v>38.0</v>
      </c>
      <c r="M126" s="10">
        <v>30.0</v>
      </c>
      <c r="N126" s="10">
        <v>44.0</v>
      </c>
      <c r="O126" s="10"/>
      <c r="P126" s="10"/>
      <c r="Q126" s="10"/>
      <c r="R126" s="10"/>
      <c r="S126" s="10"/>
      <c r="T126" s="10"/>
      <c r="U126" s="10"/>
      <c r="V126" s="10"/>
      <c r="W126" s="10"/>
      <c r="X126" s="10"/>
      <c r="Y126" s="10"/>
      <c r="Z126" s="10"/>
    </row>
    <row r="127" ht="15.75" customHeight="1">
      <c r="A127" s="10"/>
      <c r="B127" s="10"/>
      <c r="C127" s="25">
        <v>0.5</v>
      </c>
      <c r="D127" s="25">
        <v>0.5222222222222223</v>
      </c>
      <c r="E127" s="10" t="s">
        <v>60</v>
      </c>
      <c r="F127" s="10" t="s">
        <v>4690</v>
      </c>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25">
        <v>0.5277777777777778</v>
      </c>
      <c r="D128" s="25">
        <v>0.09513888888888888</v>
      </c>
      <c r="E128" s="174" t="s">
        <v>4744</v>
      </c>
      <c r="F128" s="10" t="s">
        <v>4745</v>
      </c>
      <c r="G128" s="10">
        <v>146.0</v>
      </c>
      <c r="H128" s="10">
        <v>43.0</v>
      </c>
      <c r="I128" s="10">
        <v>47.0</v>
      </c>
      <c r="J128" s="10">
        <v>0.0</v>
      </c>
      <c r="K128" s="10">
        <v>3.0</v>
      </c>
      <c r="L128" s="10">
        <v>55.0</v>
      </c>
      <c r="M128" s="10">
        <v>41.0</v>
      </c>
      <c r="N128" s="10">
        <v>46.0</v>
      </c>
      <c r="O128" s="10"/>
      <c r="P128" s="10"/>
      <c r="Q128" s="10"/>
      <c r="R128" s="10"/>
      <c r="S128" s="10"/>
      <c r="T128" s="10"/>
      <c r="U128" s="10"/>
      <c r="V128" s="10"/>
      <c r="W128" s="10"/>
      <c r="X128" s="10"/>
      <c r="Y128" s="10"/>
      <c r="Z128" s="10"/>
    </row>
    <row r="129" ht="15.75" customHeight="1">
      <c r="A129" s="10"/>
      <c r="B129" s="10"/>
      <c r="C129" s="25">
        <v>0.09722222222222222</v>
      </c>
      <c r="D129" s="25">
        <v>0.125</v>
      </c>
      <c r="E129" s="10" t="s">
        <v>63</v>
      </c>
      <c r="F129" s="10" t="s">
        <v>4690</v>
      </c>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27">
        <v>45264.0</v>
      </c>
      <c r="B131" s="10">
        <v>19.0</v>
      </c>
      <c r="C131" s="25">
        <v>0.40555555555555556</v>
      </c>
      <c r="D131" s="25">
        <v>0.42777777777777776</v>
      </c>
      <c r="E131" s="10" t="s">
        <v>57</v>
      </c>
      <c r="F131" s="10" t="s">
        <v>4666</v>
      </c>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25">
        <v>0.4340277777777778</v>
      </c>
      <c r="D132" s="25">
        <v>0.48333333333333334</v>
      </c>
      <c r="E132" s="175" t="s">
        <v>4746</v>
      </c>
      <c r="F132" s="10" t="s">
        <v>4747</v>
      </c>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25">
        <v>0.4875</v>
      </c>
      <c r="D133" s="25">
        <v>0.5208333333333334</v>
      </c>
      <c r="E133" s="10" t="s">
        <v>60</v>
      </c>
      <c r="F133" s="10" t="s">
        <v>4666</v>
      </c>
      <c r="G133" s="10">
        <v>117.0</v>
      </c>
      <c r="H133" s="10">
        <v>54.0</v>
      </c>
      <c r="I133" s="10">
        <v>63.0</v>
      </c>
      <c r="J133" s="10">
        <v>0.0</v>
      </c>
      <c r="K133" s="10">
        <v>12.0</v>
      </c>
      <c r="L133" s="10">
        <v>0.0</v>
      </c>
      <c r="M133" s="10">
        <v>53.0</v>
      </c>
      <c r="N133" s="10">
        <v>58.0</v>
      </c>
      <c r="O133" s="10"/>
      <c r="P133" s="10"/>
      <c r="Q133" s="10"/>
      <c r="R133" s="10"/>
      <c r="S133" s="10"/>
      <c r="T133" s="10"/>
      <c r="U133" s="10"/>
      <c r="V133" s="10"/>
      <c r="W133" s="10"/>
      <c r="X133" s="10"/>
      <c r="Y133" s="10"/>
      <c r="Z133" s="10"/>
    </row>
    <row r="134" ht="15.75" customHeight="1">
      <c r="A134" s="10"/>
      <c r="B134" s="10"/>
      <c r="C134" s="25">
        <v>0.5243055555555556</v>
      </c>
      <c r="D134" s="25">
        <v>0.09722222222222222</v>
      </c>
      <c r="E134" s="175" t="s">
        <v>4748</v>
      </c>
      <c r="F134" s="10" t="s">
        <v>4749</v>
      </c>
      <c r="G134" s="10">
        <v>150.0</v>
      </c>
      <c r="H134" s="10">
        <v>54.0</v>
      </c>
      <c r="I134" s="10">
        <v>81.0</v>
      </c>
      <c r="J134" s="10">
        <v>0.0</v>
      </c>
      <c r="K134" s="10">
        <v>25.0</v>
      </c>
      <c r="L134" s="10">
        <v>14.0</v>
      </c>
      <c r="M134" s="10">
        <v>50.0</v>
      </c>
      <c r="N134" s="10">
        <v>59.0</v>
      </c>
      <c r="O134" s="10"/>
      <c r="P134" s="10"/>
      <c r="Q134" s="10"/>
      <c r="R134" s="10"/>
      <c r="S134" s="10"/>
      <c r="T134" s="10"/>
      <c r="U134" s="10"/>
      <c r="V134" s="10"/>
      <c r="W134" s="10"/>
      <c r="X134" s="10"/>
      <c r="Y134" s="10"/>
      <c r="Z134" s="10"/>
    </row>
    <row r="135" ht="15.75" customHeight="1">
      <c r="A135" s="10"/>
      <c r="B135" s="10"/>
      <c r="C135" s="25">
        <v>0.10138888888888889</v>
      </c>
      <c r="D135" s="25">
        <v>0.1388888888888889</v>
      </c>
      <c r="E135" s="10" t="s">
        <v>63</v>
      </c>
      <c r="F135" s="10" t="s">
        <v>4690</v>
      </c>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27">
        <v>45265.0</v>
      </c>
      <c r="B137" s="10">
        <v>20.0</v>
      </c>
      <c r="C137" s="25">
        <v>0.4027777777777778</v>
      </c>
      <c r="D137" s="25">
        <v>0.42916666666666664</v>
      </c>
      <c r="E137" s="10" t="s">
        <v>57</v>
      </c>
      <c r="F137" s="10" t="s">
        <v>4666</v>
      </c>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25">
        <v>0.44305555555555554</v>
      </c>
      <c r="D138" s="25">
        <v>0.5083333333333333</v>
      </c>
      <c r="E138" s="175" t="s">
        <v>4748</v>
      </c>
      <c r="F138" s="10" t="s">
        <v>4750</v>
      </c>
      <c r="G138" s="10">
        <v>146.0</v>
      </c>
      <c r="H138" s="10">
        <v>72.0</v>
      </c>
      <c r="I138" s="10">
        <v>70.0</v>
      </c>
      <c r="J138" s="10">
        <v>0.0</v>
      </c>
      <c r="K138" s="10">
        <v>28.0</v>
      </c>
      <c r="L138" s="10">
        <v>4.0</v>
      </c>
      <c r="M138" s="10">
        <v>45.0</v>
      </c>
      <c r="N138" s="10">
        <v>71.0</v>
      </c>
      <c r="O138" s="10"/>
      <c r="P138" s="10"/>
      <c r="Q138" s="10"/>
      <c r="R138" s="10"/>
      <c r="S138" s="10"/>
      <c r="T138" s="10"/>
      <c r="U138" s="10"/>
      <c r="V138" s="10"/>
      <c r="W138" s="10"/>
      <c r="X138" s="10"/>
      <c r="Y138" s="10"/>
      <c r="Z138" s="10"/>
    </row>
    <row r="139" ht="15.75" customHeight="1">
      <c r="A139" s="10"/>
      <c r="B139" s="10"/>
      <c r="C139" s="25">
        <v>0.5104166666666666</v>
      </c>
      <c r="D139" s="25">
        <v>0.5361111111111111</v>
      </c>
      <c r="E139" s="10" t="s">
        <v>60</v>
      </c>
      <c r="F139" s="10" t="s">
        <v>4666</v>
      </c>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25">
        <v>0.5402777777777777</v>
      </c>
      <c r="D140" s="25">
        <v>0.10416666666666667</v>
      </c>
      <c r="E140" s="175" t="s">
        <v>4748</v>
      </c>
      <c r="F140" s="10" t="s">
        <v>4751</v>
      </c>
      <c r="G140" s="10">
        <v>124.0</v>
      </c>
      <c r="H140" s="10">
        <v>59.0</v>
      </c>
      <c r="I140" s="10">
        <v>65.0</v>
      </c>
      <c r="J140" s="10">
        <v>0.0</v>
      </c>
      <c r="K140" s="10">
        <v>30.0</v>
      </c>
      <c r="L140" s="10">
        <v>0.0</v>
      </c>
      <c r="M140" s="10">
        <v>47.0</v>
      </c>
      <c r="N140" s="10">
        <v>50.0</v>
      </c>
      <c r="O140" s="10"/>
      <c r="P140" s="10"/>
      <c r="Q140" s="10"/>
      <c r="R140" s="10"/>
      <c r="S140" s="10"/>
      <c r="T140" s="10"/>
      <c r="U140" s="10"/>
      <c r="V140" s="10"/>
      <c r="W140" s="10"/>
      <c r="X140" s="10"/>
      <c r="Y140" s="10"/>
      <c r="Z140" s="10"/>
    </row>
    <row r="141" ht="15.75" customHeight="1">
      <c r="A141" s="10"/>
      <c r="B141" s="10"/>
      <c r="C141" s="25">
        <v>0.11041666666666666</v>
      </c>
      <c r="D141" s="25">
        <v>0.13819444444444445</v>
      </c>
      <c r="E141" s="10" t="s">
        <v>63</v>
      </c>
      <c r="F141" s="10" t="s">
        <v>4752</v>
      </c>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27">
        <v>45266.0</v>
      </c>
      <c r="B143" s="10">
        <v>21.0</v>
      </c>
      <c r="C143" s="25">
        <v>0.4388888888888889</v>
      </c>
      <c r="D143" s="25">
        <v>0.4666666666666667</v>
      </c>
      <c r="E143" s="10" t="s">
        <v>57</v>
      </c>
      <c r="F143" s="10" t="s">
        <v>4666</v>
      </c>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25">
        <v>0.47152777777777777</v>
      </c>
      <c r="D144" s="25">
        <v>0.5354166666666667</v>
      </c>
      <c r="E144" s="175" t="s">
        <v>4748</v>
      </c>
      <c r="F144" s="10" t="s">
        <v>4666</v>
      </c>
      <c r="G144" s="10">
        <v>133.0</v>
      </c>
      <c r="H144" s="10">
        <v>75.0</v>
      </c>
      <c r="I144" s="10">
        <v>55.0</v>
      </c>
      <c r="J144" s="10">
        <v>2.0</v>
      </c>
      <c r="K144" s="10">
        <v>18.0</v>
      </c>
      <c r="L144" s="10">
        <v>0.0</v>
      </c>
      <c r="M144" s="10">
        <v>61.0</v>
      </c>
      <c r="N144" s="10">
        <v>52.0</v>
      </c>
      <c r="O144" s="10"/>
      <c r="P144" s="10"/>
      <c r="Q144" s="10"/>
      <c r="R144" s="10"/>
      <c r="S144" s="10"/>
      <c r="T144" s="10"/>
      <c r="U144" s="10"/>
      <c r="V144" s="10"/>
      <c r="W144" s="10"/>
      <c r="X144" s="10"/>
      <c r="Y144" s="10"/>
      <c r="Z144" s="10"/>
    </row>
    <row r="145" ht="15.75" customHeight="1">
      <c r="A145" s="10"/>
      <c r="B145" s="10"/>
      <c r="C145" s="25">
        <v>0.5375</v>
      </c>
      <c r="D145" s="25">
        <v>0.06180555555555556</v>
      </c>
      <c r="E145" s="10" t="s">
        <v>60</v>
      </c>
      <c r="F145" s="10" t="s">
        <v>4666</v>
      </c>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25">
        <v>0.06597222222222222</v>
      </c>
      <c r="D146" s="25">
        <v>0.11805555555555555</v>
      </c>
      <c r="E146" s="175" t="s">
        <v>4748</v>
      </c>
      <c r="F146" s="10" t="s">
        <v>4753</v>
      </c>
      <c r="G146" s="10">
        <v>105.0</v>
      </c>
      <c r="H146" s="10">
        <v>50.0</v>
      </c>
      <c r="I146" s="10">
        <v>52.0</v>
      </c>
      <c r="J146" s="10">
        <v>0.0</v>
      </c>
      <c r="K146" s="10">
        <v>11.0</v>
      </c>
      <c r="L146" s="10">
        <v>2.0</v>
      </c>
      <c r="M146" s="10">
        <v>54.0</v>
      </c>
      <c r="N146" s="10">
        <v>38.0</v>
      </c>
      <c r="O146" s="10"/>
      <c r="P146" s="10"/>
      <c r="Q146" s="10"/>
      <c r="R146" s="10"/>
      <c r="S146" s="10"/>
      <c r="T146" s="10"/>
      <c r="U146" s="10"/>
      <c r="V146" s="10"/>
      <c r="W146" s="10"/>
      <c r="X146" s="10"/>
      <c r="Y146" s="10"/>
      <c r="Z146" s="10"/>
    </row>
    <row r="147" ht="15.75" customHeight="1">
      <c r="A147" s="10"/>
      <c r="B147" s="10"/>
      <c r="C147" s="25">
        <v>0.12083333333333333</v>
      </c>
      <c r="D147" s="25">
        <v>0.1451388888888889</v>
      </c>
      <c r="E147" s="10" t="s">
        <v>63</v>
      </c>
      <c r="F147" s="10" t="s">
        <v>4754</v>
      </c>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27">
        <v>45267.0</v>
      </c>
      <c r="B149" s="10">
        <v>22.0</v>
      </c>
      <c r="C149" s="25">
        <v>0.39444444444444443</v>
      </c>
      <c r="D149" s="25">
        <v>0.4173611111111111</v>
      </c>
      <c r="E149" s="10" t="s">
        <v>57</v>
      </c>
      <c r="F149" s="10" t="s">
        <v>4755</v>
      </c>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25">
        <v>0.42083333333333334</v>
      </c>
      <c r="D150" s="25">
        <v>0.4652777777777778</v>
      </c>
      <c r="E150" s="175" t="s">
        <v>4748</v>
      </c>
      <c r="F150" s="10" t="s">
        <v>4756</v>
      </c>
      <c r="G150" s="10">
        <v>102.0</v>
      </c>
      <c r="H150" s="10">
        <v>52.0</v>
      </c>
      <c r="I150" s="10">
        <v>50.0</v>
      </c>
      <c r="J150" s="10">
        <v>0.0</v>
      </c>
      <c r="K150" s="10">
        <v>2.0</v>
      </c>
      <c r="L150" s="10">
        <v>0.0</v>
      </c>
      <c r="M150" s="10">
        <v>66.0</v>
      </c>
      <c r="N150" s="10">
        <v>34.0</v>
      </c>
      <c r="O150" s="10"/>
      <c r="P150" s="10"/>
      <c r="Q150" s="10"/>
      <c r="R150" s="10"/>
      <c r="S150" s="10"/>
      <c r="T150" s="10"/>
      <c r="U150" s="10"/>
      <c r="V150" s="10"/>
      <c r="W150" s="10"/>
      <c r="X150" s="10"/>
      <c r="Y150" s="10"/>
      <c r="Z150" s="10"/>
    </row>
    <row r="151" ht="15.75" customHeight="1">
      <c r="A151" s="10"/>
      <c r="B151" s="10"/>
      <c r="C151" s="25">
        <v>0.4673611111111111</v>
      </c>
      <c r="D151" s="10">
        <v>1142.0</v>
      </c>
      <c r="E151" s="10" t="s">
        <v>60</v>
      </c>
      <c r="F151" s="10" t="s">
        <v>4757</v>
      </c>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25">
        <v>0.5298611111111111</v>
      </c>
      <c r="D152" s="25">
        <v>0.09861111111111111</v>
      </c>
      <c r="E152" s="175" t="s">
        <v>4748</v>
      </c>
      <c r="F152" s="10" t="s">
        <v>4758</v>
      </c>
      <c r="G152" s="10">
        <v>148.0</v>
      </c>
      <c r="H152" s="10">
        <v>75.0</v>
      </c>
      <c r="I152" s="10">
        <v>70.0</v>
      </c>
      <c r="J152" s="10">
        <v>1.0</v>
      </c>
      <c r="K152" s="10">
        <v>13.0</v>
      </c>
      <c r="L152" s="10">
        <v>2.0</v>
      </c>
      <c r="M152" s="10">
        <v>77.0</v>
      </c>
      <c r="N152" s="10">
        <v>56.0</v>
      </c>
      <c r="O152" s="10"/>
      <c r="P152" s="10"/>
      <c r="Q152" s="10"/>
      <c r="R152" s="10"/>
      <c r="S152" s="10"/>
      <c r="T152" s="10"/>
      <c r="U152" s="10"/>
      <c r="V152" s="10"/>
      <c r="W152" s="10"/>
      <c r="X152" s="10"/>
      <c r="Y152" s="10"/>
      <c r="Z152" s="10"/>
    </row>
    <row r="153" ht="15.75" customHeight="1">
      <c r="A153" s="10"/>
      <c r="B153" s="10"/>
      <c r="C153" s="25">
        <v>0.10208333333333333</v>
      </c>
      <c r="D153" s="25">
        <v>0.15069444444444444</v>
      </c>
      <c r="E153" s="10" t="s">
        <v>63</v>
      </c>
      <c r="F153" s="10" t="s">
        <v>4759</v>
      </c>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27">
        <v>45268.0</v>
      </c>
      <c r="B155" s="10">
        <v>23.0</v>
      </c>
      <c r="C155" s="25">
        <v>0.39791666666666664</v>
      </c>
      <c r="D155" s="25">
        <v>0.4236111111111111</v>
      </c>
      <c r="E155" s="10" t="s">
        <v>57</v>
      </c>
      <c r="F155" s="10" t="s">
        <v>4666</v>
      </c>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25">
        <v>0.42569444444444443</v>
      </c>
      <c r="D156" s="25">
        <v>0.4375</v>
      </c>
      <c r="E156" s="175" t="s">
        <v>4748</v>
      </c>
      <c r="F156" s="10" t="s">
        <v>4760</v>
      </c>
      <c r="G156" s="10">
        <v>22.0</v>
      </c>
      <c r="H156" s="10">
        <v>8.0</v>
      </c>
      <c r="I156" s="10">
        <v>8.0</v>
      </c>
      <c r="J156" s="10">
        <v>1.0</v>
      </c>
      <c r="K156" s="10">
        <v>5.0</v>
      </c>
      <c r="L156" s="10">
        <v>3.0</v>
      </c>
      <c r="M156" s="10">
        <v>5.0</v>
      </c>
      <c r="N156" s="10">
        <v>10.0</v>
      </c>
      <c r="O156" s="10"/>
      <c r="P156" s="10"/>
      <c r="Q156" s="10"/>
      <c r="R156" s="10"/>
      <c r="S156" s="10"/>
      <c r="T156" s="10"/>
      <c r="U156" s="10"/>
      <c r="V156" s="10"/>
      <c r="W156" s="10"/>
      <c r="X156" s="10"/>
      <c r="Y156" s="10"/>
      <c r="Z156" s="10"/>
    </row>
    <row r="157" ht="15.75" customHeight="1">
      <c r="A157" s="10"/>
      <c r="B157" s="10"/>
      <c r="C157" s="25">
        <v>0.4409722222222222</v>
      </c>
      <c r="D157" s="25">
        <v>0.49444444444444446</v>
      </c>
      <c r="E157" s="175" t="s">
        <v>4748</v>
      </c>
      <c r="F157" s="10" t="s">
        <v>4761</v>
      </c>
      <c r="G157" s="10">
        <v>113.0</v>
      </c>
      <c r="H157" s="10">
        <v>62.0</v>
      </c>
      <c r="I157" s="10">
        <v>49.0</v>
      </c>
      <c r="J157" s="10">
        <v>0.0</v>
      </c>
      <c r="K157" s="10">
        <v>6.0</v>
      </c>
      <c r="L157" s="10">
        <v>2.0</v>
      </c>
      <c r="M157" s="10">
        <v>60.0</v>
      </c>
      <c r="N157" s="10">
        <v>45.0</v>
      </c>
      <c r="O157" s="10"/>
      <c r="P157" s="10"/>
      <c r="Q157" s="10"/>
      <c r="R157" s="10"/>
      <c r="S157" s="10"/>
      <c r="T157" s="10"/>
      <c r="U157" s="10"/>
      <c r="V157" s="10"/>
      <c r="W157" s="10"/>
      <c r="X157" s="10"/>
      <c r="Y157" s="10"/>
      <c r="Z157" s="10"/>
    </row>
    <row r="158" ht="15.75" customHeight="1">
      <c r="A158" s="10"/>
      <c r="B158" s="10"/>
      <c r="C158" s="25">
        <v>0.4965277777777778</v>
      </c>
      <c r="D158" s="25">
        <v>0.5180555555555556</v>
      </c>
      <c r="E158" s="10" t="s">
        <v>60</v>
      </c>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25">
        <v>0.0625</v>
      </c>
      <c r="D159" s="25">
        <v>0.12361111111111112</v>
      </c>
      <c r="E159" s="175" t="s">
        <v>4748</v>
      </c>
      <c r="F159" s="10" t="s">
        <v>4762</v>
      </c>
      <c r="G159" s="10">
        <v>140.0</v>
      </c>
      <c r="H159" s="10">
        <v>72.0</v>
      </c>
      <c r="I159" s="10">
        <v>66.0</v>
      </c>
      <c r="J159" s="10">
        <v>0.0</v>
      </c>
      <c r="K159" s="10">
        <v>11.0</v>
      </c>
      <c r="L159" s="10">
        <v>0.0</v>
      </c>
      <c r="M159" s="10">
        <v>51.0</v>
      </c>
      <c r="N159" s="10">
        <v>80.0</v>
      </c>
      <c r="O159" s="10"/>
      <c r="P159" s="10"/>
      <c r="Q159" s="10"/>
      <c r="R159" s="10"/>
      <c r="S159" s="10"/>
      <c r="T159" s="10"/>
      <c r="U159" s="10"/>
      <c r="V159" s="10"/>
      <c r="W159" s="10"/>
      <c r="X159" s="10"/>
      <c r="Y159" s="10"/>
      <c r="Z159" s="10"/>
    </row>
    <row r="160" ht="15.75" customHeight="1">
      <c r="A160" s="10"/>
      <c r="B160" s="10"/>
      <c r="C160" s="25">
        <v>0.12430555555555556</v>
      </c>
      <c r="D160" s="25">
        <v>0.1527777777777778</v>
      </c>
      <c r="E160" s="10" t="s">
        <v>63</v>
      </c>
      <c r="F160" s="10" t="s">
        <v>4666</v>
      </c>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6" width="12.63"/>
  </cols>
  <sheetData>
    <row r="1" ht="15.75" customHeight="1">
      <c r="A1" s="99"/>
      <c r="B1" s="100"/>
      <c r="C1" s="20"/>
      <c r="D1" s="20"/>
      <c r="E1" s="20"/>
      <c r="F1" s="20"/>
      <c r="G1" s="20"/>
      <c r="H1" s="37" t="s">
        <v>1051</v>
      </c>
      <c r="I1" s="101" t="s">
        <v>1052</v>
      </c>
      <c r="J1" s="39" t="s">
        <v>1053</v>
      </c>
      <c r="K1" s="20"/>
      <c r="L1" s="41"/>
      <c r="M1" s="20"/>
      <c r="N1" s="20"/>
      <c r="O1" s="20"/>
      <c r="P1" s="20"/>
      <c r="Q1" s="20"/>
      <c r="R1" s="42"/>
      <c r="S1" s="20"/>
      <c r="T1" s="20"/>
      <c r="U1" s="20"/>
      <c r="V1" s="20"/>
      <c r="W1" s="20"/>
      <c r="X1" s="20"/>
      <c r="Y1" s="20"/>
      <c r="Z1" s="20"/>
      <c r="AA1" s="142"/>
      <c r="AB1" s="20"/>
      <c r="AC1" s="142"/>
      <c r="AD1" s="20"/>
      <c r="AE1" s="20"/>
      <c r="AF1" s="20"/>
      <c r="AG1" s="20"/>
      <c r="AH1" s="42"/>
      <c r="AI1" s="142"/>
      <c r="AJ1" s="142"/>
      <c r="AK1" s="20"/>
      <c r="AL1" s="20"/>
      <c r="AM1" s="20"/>
      <c r="AN1" s="20"/>
      <c r="AO1" s="20"/>
      <c r="AP1" s="20"/>
      <c r="AQ1" s="20"/>
      <c r="AR1" s="20"/>
      <c r="AS1" s="41"/>
      <c r="AT1" s="20"/>
      <c r="AU1" s="20"/>
      <c r="AV1" s="20"/>
      <c r="AW1" s="20"/>
      <c r="AX1" s="42"/>
      <c r="AY1" s="20"/>
      <c r="AZ1" s="20"/>
      <c r="BA1" s="20"/>
      <c r="BB1" s="20"/>
      <c r="BC1" s="20"/>
      <c r="BD1" s="20"/>
      <c r="BE1" s="20"/>
      <c r="BF1" s="20"/>
      <c r="BG1" s="20"/>
      <c r="BH1" s="20"/>
      <c r="BI1" s="20"/>
      <c r="BJ1" s="20"/>
      <c r="BK1" s="20"/>
      <c r="BL1" s="20"/>
      <c r="BM1" s="20"/>
      <c r="BN1" s="42"/>
    </row>
    <row r="2" ht="15.75" customHeight="1">
      <c r="A2" s="99"/>
      <c r="B2" s="102"/>
      <c r="C2" s="20" t="s">
        <v>4763</v>
      </c>
      <c r="D2" s="20"/>
      <c r="E2" s="20" t="s">
        <v>4764</v>
      </c>
      <c r="F2" s="20"/>
      <c r="G2" s="20"/>
      <c r="H2" s="46"/>
      <c r="I2" s="46"/>
      <c r="J2" s="46"/>
      <c r="K2" s="46"/>
      <c r="L2" s="20"/>
      <c r="M2" s="20"/>
      <c r="N2" s="20"/>
      <c r="O2" s="20"/>
      <c r="P2" s="20"/>
      <c r="Q2" s="20"/>
      <c r="R2" s="42"/>
      <c r="S2" s="48"/>
      <c r="T2" s="48"/>
      <c r="U2" s="20" t="s">
        <v>4765</v>
      </c>
      <c r="V2" s="20" t="s">
        <v>4766</v>
      </c>
      <c r="W2" s="20" t="s">
        <v>4765</v>
      </c>
      <c r="X2" s="20"/>
      <c r="Y2" s="20" t="s">
        <v>4767</v>
      </c>
      <c r="Z2" s="20"/>
      <c r="AA2" s="142" t="s">
        <v>250</v>
      </c>
      <c r="AB2" s="20"/>
      <c r="AC2" s="142" t="s">
        <v>250</v>
      </c>
      <c r="AD2" s="46"/>
      <c r="AE2" s="20" t="s">
        <v>4768</v>
      </c>
      <c r="AF2" s="20"/>
      <c r="AG2" s="46" t="s">
        <v>4769</v>
      </c>
      <c r="AH2" s="104" t="s">
        <v>4770</v>
      </c>
      <c r="AI2" s="142" t="s">
        <v>4771</v>
      </c>
      <c r="AJ2" s="143" t="s">
        <v>4772</v>
      </c>
      <c r="AK2" s="46"/>
      <c r="AL2" s="46"/>
      <c r="AM2" s="20"/>
      <c r="AN2" s="20"/>
      <c r="AO2" s="46"/>
      <c r="AP2" s="46"/>
      <c r="AQ2" s="20"/>
      <c r="AR2" s="46"/>
      <c r="AS2" s="10"/>
      <c r="AT2" s="10" t="s">
        <v>4769</v>
      </c>
      <c r="AU2" s="46"/>
      <c r="AV2" s="48"/>
      <c r="AW2" s="48"/>
      <c r="AX2" s="50"/>
      <c r="AY2" s="46"/>
      <c r="AZ2" s="46" t="s">
        <v>4773</v>
      </c>
      <c r="BA2" s="20"/>
      <c r="BB2" s="20"/>
      <c r="BC2" s="46" t="s">
        <v>4774</v>
      </c>
      <c r="BD2" s="46" t="s">
        <v>4774</v>
      </c>
      <c r="BE2" s="20"/>
      <c r="BF2" s="46" t="s">
        <v>4774</v>
      </c>
      <c r="BG2" s="46" t="s">
        <v>4775</v>
      </c>
      <c r="BH2" s="46"/>
      <c r="BI2" s="20"/>
      <c r="BJ2" s="20" t="s">
        <v>4774</v>
      </c>
      <c r="BK2" s="46"/>
      <c r="BL2" s="46"/>
      <c r="BM2" s="49"/>
      <c r="BN2" s="104"/>
    </row>
    <row r="3" ht="15.75" customHeight="1">
      <c r="A3" s="99" t="s">
        <v>117</v>
      </c>
      <c r="B3" s="102" t="s">
        <v>118</v>
      </c>
      <c r="C3" s="58">
        <v>1.0</v>
      </c>
      <c r="D3" s="54">
        <v>2.0</v>
      </c>
      <c r="E3" s="54">
        <v>3.0</v>
      </c>
      <c r="F3" s="55">
        <v>4.0</v>
      </c>
      <c r="G3" s="54">
        <v>5.0</v>
      </c>
      <c r="H3" s="54">
        <v>6.0</v>
      </c>
      <c r="I3" s="56">
        <v>7.0</v>
      </c>
      <c r="J3" s="54">
        <v>8.0</v>
      </c>
      <c r="K3" s="54">
        <v>9.0</v>
      </c>
      <c r="L3" s="58">
        <v>10.0</v>
      </c>
      <c r="M3" s="54">
        <v>11.0</v>
      </c>
      <c r="N3" s="54">
        <v>12.0</v>
      </c>
      <c r="O3" s="55">
        <v>13.0</v>
      </c>
      <c r="P3" s="54">
        <v>14.0</v>
      </c>
      <c r="Q3" s="54">
        <v>15.0</v>
      </c>
      <c r="R3" s="59" t="s">
        <v>120</v>
      </c>
      <c r="S3" s="60" t="s">
        <v>121</v>
      </c>
      <c r="T3" s="61" t="s">
        <v>122</v>
      </c>
      <c r="U3" s="54">
        <v>19.0</v>
      </c>
      <c r="V3" s="55">
        <v>20.0</v>
      </c>
      <c r="W3" s="54">
        <v>21.0</v>
      </c>
      <c r="X3" s="54">
        <v>22.0</v>
      </c>
      <c r="Y3" s="56">
        <v>23.0</v>
      </c>
      <c r="Z3" s="54">
        <v>24.0</v>
      </c>
      <c r="AA3" s="176">
        <v>25.0</v>
      </c>
      <c r="AB3" s="58">
        <v>26.0</v>
      </c>
      <c r="AC3" s="176">
        <v>27.0</v>
      </c>
      <c r="AD3" s="54">
        <v>28.0</v>
      </c>
      <c r="AE3" s="55">
        <v>29.0</v>
      </c>
      <c r="AF3" s="54">
        <v>30.0</v>
      </c>
      <c r="AG3" s="54">
        <v>31.0</v>
      </c>
      <c r="AH3" s="62">
        <v>32.0</v>
      </c>
      <c r="AI3" s="177">
        <v>33.0</v>
      </c>
      <c r="AJ3" s="176">
        <v>34.0</v>
      </c>
      <c r="AK3" s="54">
        <v>35.0</v>
      </c>
      <c r="AL3" s="55">
        <v>36.0</v>
      </c>
      <c r="AM3" s="54">
        <v>37.0</v>
      </c>
      <c r="AN3" s="54">
        <v>38.0</v>
      </c>
      <c r="AO3" s="56">
        <v>39.0</v>
      </c>
      <c r="AP3" s="54">
        <v>40.0</v>
      </c>
      <c r="AQ3" s="54">
        <v>41.0</v>
      </c>
      <c r="AR3" s="58">
        <v>42.0</v>
      </c>
      <c r="AS3" s="54">
        <v>43.0</v>
      </c>
      <c r="AT3" s="54">
        <v>44.0</v>
      </c>
      <c r="AU3" s="55">
        <v>45.0</v>
      </c>
      <c r="AV3" s="61" t="s">
        <v>123</v>
      </c>
      <c r="AW3" s="61" t="s">
        <v>124</v>
      </c>
      <c r="AX3" s="59" t="s">
        <v>125</v>
      </c>
      <c r="AY3" s="53">
        <v>49.0</v>
      </c>
      <c r="AZ3" s="54">
        <v>50.0</v>
      </c>
      <c r="BA3" s="54">
        <v>51.0</v>
      </c>
      <c r="BB3" s="55">
        <v>52.0</v>
      </c>
      <c r="BC3" s="54">
        <v>53.0</v>
      </c>
      <c r="BD3" s="54">
        <v>54.0</v>
      </c>
      <c r="BE3" s="56">
        <v>55.0</v>
      </c>
      <c r="BF3" s="54">
        <v>56.0</v>
      </c>
      <c r="BG3" s="54">
        <v>57.0</v>
      </c>
      <c r="BH3" s="58">
        <v>58.0</v>
      </c>
      <c r="BI3" s="54">
        <v>59.0</v>
      </c>
      <c r="BJ3" s="54">
        <v>60.0</v>
      </c>
      <c r="BK3" s="55">
        <v>61.0</v>
      </c>
      <c r="BL3" s="54">
        <v>62.0</v>
      </c>
      <c r="BM3" s="54">
        <v>63.0</v>
      </c>
      <c r="BN3" s="62">
        <v>64.0</v>
      </c>
    </row>
    <row r="4" ht="15.75" customHeight="1">
      <c r="A4" s="105">
        <v>45552.0</v>
      </c>
      <c r="B4" s="10" t="s">
        <v>3354</v>
      </c>
      <c r="C4" s="10" t="s">
        <v>4776</v>
      </c>
      <c r="D4" s="10" t="s">
        <v>4777</v>
      </c>
      <c r="E4" s="10" t="s">
        <v>4778</v>
      </c>
      <c r="F4" s="10" t="s">
        <v>4777</v>
      </c>
      <c r="G4" s="10" t="s">
        <v>154</v>
      </c>
      <c r="H4" s="10" t="s">
        <v>4779</v>
      </c>
      <c r="I4" s="10" t="s">
        <v>4780</v>
      </c>
      <c r="J4" s="10" t="s">
        <v>4781</v>
      </c>
      <c r="K4" s="10" t="s">
        <v>154</v>
      </c>
      <c r="L4" s="10" t="s">
        <v>4782</v>
      </c>
      <c r="M4" s="10" t="s">
        <v>4783</v>
      </c>
      <c r="N4" s="10" t="s">
        <v>4784</v>
      </c>
      <c r="O4" s="10" t="s">
        <v>4785</v>
      </c>
      <c r="P4" s="10" t="s">
        <v>4786</v>
      </c>
      <c r="Q4" s="10" t="s">
        <v>4786</v>
      </c>
      <c r="R4" s="68" t="s">
        <v>4787</v>
      </c>
      <c r="S4" s="10" t="s">
        <v>4785</v>
      </c>
      <c r="T4" s="10" t="s">
        <v>4783</v>
      </c>
      <c r="U4" s="10" t="s">
        <v>4783</v>
      </c>
      <c r="V4" s="10" t="s">
        <v>154</v>
      </c>
      <c r="W4" s="10" t="s">
        <v>4788</v>
      </c>
      <c r="X4" s="10" t="s">
        <v>154</v>
      </c>
      <c r="Y4" s="10" t="s">
        <v>154</v>
      </c>
      <c r="Z4" s="10" t="s">
        <v>154</v>
      </c>
      <c r="AA4" s="108" t="s">
        <v>154</v>
      </c>
      <c r="AB4" s="10" t="s">
        <v>154</v>
      </c>
      <c r="AC4" s="108" t="s">
        <v>250</v>
      </c>
      <c r="AD4" s="10" t="s">
        <v>154</v>
      </c>
      <c r="AE4" s="10" t="s">
        <v>4777</v>
      </c>
      <c r="AF4" s="10" t="s">
        <v>4777</v>
      </c>
      <c r="AG4" s="10" t="s">
        <v>154</v>
      </c>
      <c r="AH4" s="68" t="s">
        <v>4789</v>
      </c>
      <c r="AI4" s="108"/>
      <c r="AJ4" s="108"/>
      <c r="AK4" s="10" t="s">
        <v>4790</v>
      </c>
      <c r="AL4" s="10" t="s">
        <v>4791</v>
      </c>
      <c r="AM4" s="10" t="s">
        <v>4786</v>
      </c>
      <c r="AN4" s="10" t="s">
        <v>4780</v>
      </c>
      <c r="AO4" s="10" t="s">
        <v>4780</v>
      </c>
      <c r="AP4" s="10" t="s">
        <v>4776</v>
      </c>
      <c r="AQ4" s="10" t="s">
        <v>4792</v>
      </c>
      <c r="AR4" s="10" t="s">
        <v>4783</v>
      </c>
      <c r="AS4" s="10" t="s">
        <v>4785</v>
      </c>
      <c r="AT4" s="10" t="s">
        <v>4793</v>
      </c>
      <c r="AU4" s="10" t="s">
        <v>4794</v>
      </c>
      <c r="AV4" s="10" t="s">
        <v>4776</v>
      </c>
      <c r="AW4" s="10" t="s">
        <v>4776</v>
      </c>
      <c r="AX4" s="68" t="s">
        <v>161</v>
      </c>
      <c r="AY4" s="10" t="s">
        <v>4795</v>
      </c>
      <c r="AZ4" s="10" t="s">
        <v>4783</v>
      </c>
      <c r="BA4" s="10" t="s">
        <v>4796</v>
      </c>
      <c r="BB4" s="10" t="s">
        <v>4797</v>
      </c>
      <c r="BC4" s="10" t="s">
        <v>4798</v>
      </c>
      <c r="BD4" s="10" t="s">
        <v>4799</v>
      </c>
      <c r="BE4" s="10" t="s">
        <v>4798</v>
      </c>
      <c r="BF4" s="10" t="s">
        <v>4800</v>
      </c>
      <c r="BG4" s="10" t="s">
        <v>4801</v>
      </c>
      <c r="BH4" s="10" t="s">
        <v>4780</v>
      </c>
      <c r="BI4" s="68" t="s">
        <v>4802</v>
      </c>
      <c r="BJ4" s="10" t="s">
        <v>4803</v>
      </c>
      <c r="BK4" s="10" t="s">
        <v>4804</v>
      </c>
      <c r="BL4" s="68" t="s">
        <v>4802</v>
      </c>
      <c r="BM4" s="10" t="s">
        <v>4805</v>
      </c>
      <c r="BN4" s="68" t="s">
        <v>4802</v>
      </c>
    </row>
    <row r="5" ht="15.75" customHeight="1">
      <c r="A5" s="106" t="s">
        <v>191</v>
      </c>
      <c r="B5" s="74"/>
      <c r="C5" s="74">
        <v>6.0</v>
      </c>
      <c r="D5" s="74">
        <v>7.5</v>
      </c>
      <c r="E5" s="74">
        <v>7.5</v>
      </c>
      <c r="F5" s="74">
        <v>7.5</v>
      </c>
      <c r="G5" s="74">
        <v>7.5</v>
      </c>
      <c r="H5" s="74">
        <v>8.0</v>
      </c>
      <c r="I5" s="74">
        <v>7.0</v>
      </c>
      <c r="J5" s="74">
        <v>7.0</v>
      </c>
      <c r="K5" s="74">
        <v>7.0</v>
      </c>
      <c r="L5" s="74">
        <v>7.5</v>
      </c>
      <c r="M5" s="74">
        <v>7.0</v>
      </c>
      <c r="N5" s="74">
        <v>7.0</v>
      </c>
      <c r="O5" s="74">
        <v>7.5</v>
      </c>
      <c r="P5" s="74">
        <v>7.0</v>
      </c>
      <c r="Q5" s="74">
        <v>7.0</v>
      </c>
      <c r="R5" s="73">
        <v>6.0</v>
      </c>
      <c r="S5" s="74">
        <v>7.5</v>
      </c>
      <c r="T5" s="74">
        <v>7.0</v>
      </c>
      <c r="U5" s="74">
        <v>7.0</v>
      </c>
      <c r="V5" s="74">
        <v>7.5</v>
      </c>
      <c r="W5" s="74">
        <v>7.5</v>
      </c>
      <c r="X5" s="74">
        <v>7.0</v>
      </c>
      <c r="Y5" s="74">
        <v>7.0</v>
      </c>
      <c r="Z5" s="74">
        <v>7.0</v>
      </c>
      <c r="AA5" s="146">
        <v>7.0</v>
      </c>
      <c r="AB5" s="74">
        <v>7.0</v>
      </c>
      <c r="AC5" s="146">
        <v>6.0</v>
      </c>
      <c r="AD5" s="74">
        <v>7.0</v>
      </c>
      <c r="AE5" s="74">
        <v>7.5</v>
      </c>
      <c r="AF5" s="74">
        <v>7.0</v>
      </c>
      <c r="AG5" s="74">
        <v>7.0</v>
      </c>
      <c r="AH5" s="73">
        <v>7.0</v>
      </c>
      <c r="AI5" s="146"/>
      <c r="AJ5" s="146"/>
      <c r="AK5" s="74">
        <v>7.0</v>
      </c>
      <c r="AL5" s="74">
        <v>6.0</v>
      </c>
      <c r="AM5" s="74">
        <v>7.5</v>
      </c>
      <c r="AN5" s="74">
        <v>7.0</v>
      </c>
      <c r="AO5" s="74">
        <v>7.0</v>
      </c>
      <c r="AP5" s="74">
        <v>6.0</v>
      </c>
      <c r="AQ5" s="74">
        <v>7.5</v>
      </c>
      <c r="AR5" s="74">
        <v>7.0</v>
      </c>
      <c r="AS5" s="74">
        <v>7.5</v>
      </c>
      <c r="AT5" s="74">
        <v>7.5</v>
      </c>
      <c r="AU5" s="74">
        <v>6.0</v>
      </c>
      <c r="AV5" s="74">
        <v>6.0</v>
      </c>
      <c r="AW5" s="74">
        <v>6.0</v>
      </c>
      <c r="AX5" s="73">
        <v>6.0</v>
      </c>
      <c r="AY5" s="74">
        <v>6.0</v>
      </c>
      <c r="AZ5" s="74">
        <v>7.0</v>
      </c>
      <c r="BA5" s="74">
        <v>7.5</v>
      </c>
      <c r="BB5" s="74">
        <v>5.0</v>
      </c>
      <c r="BC5" s="74">
        <v>7.0</v>
      </c>
      <c r="BD5" s="74">
        <v>6.0</v>
      </c>
      <c r="BE5" s="74">
        <v>7.0</v>
      </c>
      <c r="BF5" s="74">
        <v>7.0</v>
      </c>
      <c r="BG5" s="74">
        <v>7.0</v>
      </c>
      <c r="BH5" s="74">
        <v>7.0</v>
      </c>
      <c r="BI5" s="74">
        <v>6.0</v>
      </c>
      <c r="BJ5" s="74">
        <v>7.0</v>
      </c>
      <c r="BK5" s="74">
        <v>6.0</v>
      </c>
      <c r="BL5" s="74">
        <v>6.0</v>
      </c>
      <c r="BM5" s="74">
        <v>6.0</v>
      </c>
      <c r="BN5" s="73">
        <v>6.0</v>
      </c>
    </row>
    <row r="6" ht="49.5" customHeight="1">
      <c r="A6" s="105">
        <v>45553.0</v>
      </c>
      <c r="B6" s="10" t="s">
        <v>4806</v>
      </c>
      <c r="C6" s="10" t="s">
        <v>4807</v>
      </c>
      <c r="D6" s="10" t="s">
        <v>4808</v>
      </c>
      <c r="E6" s="10" t="s">
        <v>4809</v>
      </c>
      <c r="F6" s="10" t="s">
        <v>4810</v>
      </c>
      <c r="G6" s="10" t="s">
        <v>4811</v>
      </c>
      <c r="H6" s="10" t="s">
        <v>4812</v>
      </c>
      <c r="I6" s="10" t="s">
        <v>4813</v>
      </c>
      <c r="J6" s="10" t="s">
        <v>4814</v>
      </c>
      <c r="K6" s="10" t="s">
        <v>4815</v>
      </c>
      <c r="L6" s="10" t="s">
        <v>3692</v>
      </c>
      <c r="M6" s="10" t="s">
        <v>3563</v>
      </c>
      <c r="N6" s="10" t="s">
        <v>3729</v>
      </c>
      <c r="O6" s="10" t="s">
        <v>4816</v>
      </c>
      <c r="P6" s="10" t="s">
        <v>4817</v>
      </c>
      <c r="Q6" s="10" t="s">
        <v>4818</v>
      </c>
      <c r="R6" s="10" t="s">
        <v>4819</v>
      </c>
      <c r="S6" s="10" t="s">
        <v>4820</v>
      </c>
      <c r="T6" s="10" t="s">
        <v>4821</v>
      </c>
      <c r="U6" s="10" t="s">
        <v>4822</v>
      </c>
      <c r="V6" s="10" t="s">
        <v>4823</v>
      </c>
      <c r="W6" s="10" t="s">
        <v>4824</v>
      </c>
      <c r="X6" s="10" t="s">
        <v>4825</v>
      </c>
      <c r="Y6" s="10" t="s">
        <v>4826</v>
      </c>
      <c r="Z6" s="10" t="s">
        <v>4827</v>
      </c>
      <c r="AA6" s="108" t="s">
        <v>264</v>
      </c>
      <c r="AB6" s="10" t="s">
        <v>4828</v>
      </c>
      <c r="AC6" s="108" t="s">
        <v>250</v>
      </c>
      <c r="AD6" s="10" t="s">
        <v>4829</v>
      </c>
      <c r="AE6" s="10" t="s">
        <v>4830</v>
      </c>
      <c r="AF6" s="10" t="s">
        <v>4831</v>
      </c>
      <c r="AG6" s="10" t="s">
        <v>4832</v>
      </c>
      <c r="AH6" s="10" t="s">
        <v>4833</v>
      </c>
      <c r="AI6" s="108"/>
      <c r="AJ6" s="108"/>
      <c r="AK6" s="10" t="s">
        <v>4834</v>
      </c>
      <c r="AL6" s="10" t="s">
        <v>4835</v>
      </c>
      <c r="AM6" s="10" t="s">
        <v>4836</v>
      </c>
      <c r="AN6" s="10" t="s">
        <v>4837</v>
      </c>
      <c r="AO6" s="10" t="s">
        <v>4838</v>
      </c>
      <c r="AP6" s="10" t="s">
        <v>4839</v>
      </c>
      <c r="AQ6" s="10" t="s">
        <v>4840</v>
      </c>
      <c r="AR6" s="10" t="s">
        <v>4841</v>
      </c>
      <c r="AS6" s="10" t="s">
        <v>4842</v>
      </c>
      <c r="AT6" s="10" t="s">
        <v>4843</v>
      </c>
      <c r="AU6" s="10" t="s">
        <v>4844</v>
      </c>
      <c r="AV6" s="10" t="s">
        <v>4845</v>
      </c>
      <c r="AW6" s="10" t="s">
        <v>4846</v>
      </c>
      <c r="AX6" s="10" t="s">
        <v>4847</v>
      </c>
      <c r="AY6" s="10" t="s">
        <v>4848</v>
      </c>
      <c r="AZ6" s="10" t="s">
        <v>4849</v>
      </c>
      <c r="BA6" s="10" t="s">
        <v>4850</v>
      </c>
      <c r="BB6" s="10" t="s">
        <v>4851</v>
      </c>
      <c r="BC6" s="10" t="s">
        <v>4852</v>
      </c>
      <c r="BD6" s="10" t="s">
        <v>4853</v>
      </c>
      <c r="BE6" s="10" t="s">
        <v>4854</v>
      </c>
      <c r="BF6" s="10" t="s">
        <v>4855</v>
      </c>
      <c r="BG6" s="10" t="s">
        <v>4856</v>
      </c>
      <c r="BH6" s="10" t="s">
        <v>4857</v>
      </c>
      <c r="BI6" s="10" t="s">
        <v>4858</v>
      </c>
      <c r="BJ6" s="10" t="s">
        <v>4859</v>
      </c>
      <c r="BK6" s="10" t="s">
        <v>4860</v>
      </c>
      <c r="BL6" s="10" t="s">
        <v>4861</v>
      </c>
      <c r="BM6" s="10" t="s">
        <v>4862</v>
      </c>
      <c r="BN6" s="10" t="s">
        <v>4863</v>
      </c>
    </row>
    <row r="7" ht="15.75" customHeight="1">
      <c r="A7" s="18" t="s">
        <v>256</v>
      </c>
      <c r="B7" s="10"/>
      <c r="C7" s="10">
        <v>6.5</v>
      </c>
      <c r="D7" s="10">
        <v>8.0</v>
      </c>
      <c r="E7" s="10">
        <v>8.0</v>
      </c>
      <c r="F7" s="10">
        <v>8.5</v>
      </c>
      <c r="G7" s="10">
        <v>8.5</v>
      </c>
      <c r="H7" s="10">
        <v>8.5</v>
      </c>
      <c r="I7" s="10">
        <v>7.5</v>
      </c>
      <c r="J7" s="10">
        <v>7.5</v>
      </c>
      <c r="K7" s="10">
        <v>8.0</v>
      </c>
      <c r="L7" s="10">
        <v>8.0</v>
      </c>
      <c r="M7" s="10">
        <v>7.5</v>
      </c>
      <c r="N7" s="10">
        <v>7.5</v>
      </c>
      <c r="O7" s="10">
        <v>8.5</v>
      </c>
      <c r="P7" s="10">
        <v>8.0</v>
      </c>
      <c r="Q7" s="10">
        <v>8.0</v>
      </c>
      <c r="R7" s="10">
        <v>6.5</v>
      </c>
      <c r="S7" s="10">
        <v>8.0</v>
      </c>
      <c r="T7" s="10">
        <v>7.5</v>
      </c>
      <c r="U7" s="10">
        <v>8.0</v>
      </c>
      <c r="V7" s="10">
        <v>8.5</v>
      </c>
      <c r="W7" s="10">
        <v>8.5</v>
      </c>
      <c r="X7" s="10">
        <v>8.5</v>
      </c>
      <c r="Y7" s="10">
        <v>8.0</v>
      </c>
      <c r="Z7" s="10">
        <v>8.0</v>
      </c>
      <c r="AA7" s="108"/>
      <c r="AB7" s="10">
        <v>8.0</v>
      </c>
      <c r="AC7" s="108"/>
      <c r="AD7" s="10">
        <v>8.5</v>
      </c>
      <c r="AE7" s="10">
        <v>8.5</v>
      </c>
      <c r="AF7" s="10">
        <v>8.5</v>
      </c>
      <c r="AG7" s="10">
        <v>8.5</v>
      </c>
      <c r="AH7" s="10">
        <v>8.0</v>
      </c>
      <c r="AI7" s="108"/>
      <c r="AJ7" s="108"/>
      <c r="AK7" s="10">
        <v>7.5</v>
      </c>
      <c r="AL7" s="10">
        <v>6.5</v>
      </c>
      <c r="AM7" s="10">
        <v>8.0</v>
      </c>
      <c r="AN7" s="10">
        <v>7.5</v>
      </c>
      <c r="AO7" s="10">
        <v>7.5</v>
      </c>
      <c r="AP7" s="10">
        <v>6.5</v>
      </c>
      <c r="AQ7" s="10">
        <v>9.0</v>
      </c>
      <c r="AR7" s="10">
        <v>7.5</v>
      </c>
      <c r="AS7" s="10">
        <v>8.0</v>
      </c>
      <c r="AT7" s="10">
        <v>9.0</v>
      </c>
      <c r="AU7" s="10">
        <v>6.5</v>
      </c>
      <c r="AV7" s="10">
        <v>8.0</v>
      </c>
      <c r="AW7" s="10">
        <v>6.5</v>
      </c>
      <c r="AX7" s="10">
        <v>7.5</v>
      </c>
      <c r="AY7" s="10">
        <v>8.0</v>
      </c>
      <c r="AZ7" s="10">
        <v>7.5</v>
      </c>
      <c r="BA7" s="10">
        <v>8.0</v>
      </c>
      <c r="BB7" s="10">
        <v>6.0</v>
      </c>
      <c r="BC7" s="10">
        <v>8.0</v>
      </c>
      <c r="BD7" s="10">
        <v>8.0</v>
      </c>
      <c r="BE7" s="10">
        <v>8.5</v>
      </c>
      <c r="BF7" s="10">
        <v>9.5</v>
      </c>
      <c r="BG7" s="10">
        <v>8.5</v>
      </c>
      <c r="BH7" s="10">
        <v>8.5</v>
      </c>
      <c r="BI7" s="10">
        <v>9.0</v>
      </c>
      <c r="BJ7" s="10">
        <v>8.0</v>
      </c>
      <c r="BK7" s="10">
        <v>9.5</v>
      </c>
      <c r="BL7" s="10">
        <v>9.0</v>
      </c>
      <c r="BM7" s="10">
        <v>8.0</v>
      </c>
      <c r="BN7" s="10">
        <v>9.5</v>
      </c>
    </row>
    <row r="8" ht="49.5" customHeight="1">
      <c r="A8" s="105">
        <v>45554.0</v>
      </c>
      <c r="B8" s="10" t="s">
        <v>4864</v>
      </c>
      <c r="C8" s="10" t="s">
        <v>4865</v>
      </c>
      <c r="D8" s="109" t="s">
        <v>4866</v>
      </c>
      <c r="E8" s="109" t="s">
        <v>4867</v>
      </c>
      <c r="F8" s="109" t="s">
        <v>4868</v>
      </c>
      <c r="G8" s="109" t="s">
        <v>4869</v>
      </c>
      <c r="H8" s="109" t="s">
        <v>4870</v>
      </c>
      <c r="I8" s="10" t="s">
        <v>4871</v>
      </c>
      <c r="J8" s="109" t="s">
        <v>4872</v>
      </c>
      <c r="K8" s="109" t="s">
        <v>4873</v>
      </c>
      <c r="L8" s="10" t="s">
        <v>4874</v>
      </c>
      <c r="M8" s="109" t="s">
        <v>4875</v>
      </c>
      <c r="N8" s="109" t="s">
        <v>4876</v>
      </c>
      <c r="O8" s="10" t="s">
        <v>4867</v>
      </c>
      <c r="P8" s="10" t="s">
        <v>4877</v>
      </c>
      <c r="Q8" s="109" t="s">
        <v>4865</v>
      </c>
      <c r="R8" s="10" t="s">
        <v>4878</v>
      </c>
      <c r="S8" s="10" t="s">
        <v>4879</v>
      </c>
      <c r="T8" s="109" t="s">
        <v>4880</v>
      </c>
      <c r="U8" s="109" t="s">
        <v>4881</v>
      </c>
      <c r="V8" s="109" t="s">
        <v>4881</v>
      </c>
      <c r="W8" s="10" t="s">
        <v>4882</v>
      </c>
      <c r="X8" s="109" t="s">
        <v>4881</v>
      </c>
      <c r="Y8" s="109" t="s">
        <v>4883</v>
      </c>
      <c r="Z8" s="109" t="s">
        <v>4870</v>
      </c>
      <c r="AA8" s="108"/>
      <c r="AB8" s="10" t="s">
        <v>4884</v>
      </c>
      <c r="AC8" s="108"/>
      <c r="AD8" s="109" t="s">
        <v>4870</v>
      </c>
      <c r="AE8" s="10" t="s">
        <v>4878</v>
      </c>
      <c r="AF8" s="109" t="s">
        <v>4885</v>
      </c>
      <c r="AG8" s="10" t="s">
        <v>4869</v>
      </c>
      <c r="AH8" s="109" t="s">
        <v>4870</v>
      </c>
      <c r="AI8" s="108"/>
      <c r="AJ8" s="108"/>
      <c r="AK8" s="10" t="s">
        <v>4886</v>
      </c>
      <c r="AL8" s="10" t="s">
        <v>4878</v>
      </c>
      <c r="AM8" s="10" t="s">
        <v>4887</v>
      </c>
      <c r="AN8" s="10" t="s">
        <v>4888</v>
      </c>
      <c r="AO8" s="10" t="s">
        <v>4887</v>
      </c>
      <c r="AP8" s="10" t="s">
        <v>1403</v>
      </c>
      <c r="AQ8" s="10" t="s">
        <v>4889</v>
      </c>
      <c r="AR8" s="10" t="s">
        <v>4871</v>
      </c>
      <c r="AS8" s="10" t="s">
        <v>4888</v>
      </c>
      <c r="AT8" s="10" t="s">
        <v>4890</v>
      </c>
      <c r="AU8" s="10" t="s">
        <v>4886</v>
      </c>
      <c r="AV8" s="109" t="s">
        <v>4891</v>
      </c>
      <c r="AW8" s="10" t="s">
        <v>4892</v>
      </c>
      <c r="AX8" s="10" t="s">
        <v>4893</v>
      </c>
      <c r="AY8" s="10" t="s">
        <v>4894</v>
      </c>
      <c r="AZ8" s="10" t="s">
        <v>4895</v>
      </c>
      <c r="BA8" s="10" t="s">
        <v>4888</v>
      </c>
      <c r="BB8" s="10" t="s">
        <v>1384</v>
      </c>
      <c r="BC8" s="10" t="s">
        <v>4896</v>
      </c>
      <c r="BD8" s="10" t="s">
        <v>4870</v>
      </c>
      <c r="BE8" s="10" t="s">
        <v>4897</v>
      </c>
      <c r="BF8" s="109" t="s">
        <v>4898</v>
      </c>
      <c r="BG8" s="109" t="s">
        <v>4899</v>
      </c>
      <c r="BH8" s="10" t="s">
        <v>4900</v>
      </c>
      <c r="BI8" s="109" t="s">
        <v>4870</v>
      </c>
      <c r="BJ8" s="10" t="s">
        <v>4901</v>
      </c>
      <c r="BK8" s="10" t="s">
        <v>4867</v>
      </c>
      <c r="BL8" s="10" t="s">
        <v>4901</v>
      </c>
      <c r="BM8" s="10" t="s">
        <v>4869</v>
      </c>
      <c r="BN8" s="109" t="s">
        <v>4872</v>
      </c>
    </row>
    <row r="9" ht="15.75" customHeight="1">
      <c r="A9" s="106" t="s">
        <v>303</v>
      </c>
      <c r="B9" s="14"/>
      <c r="C9" s="14">
        <v>7.0</v>
      </c>
      <c r="D9" s="178">
        <v>8.5</v>
      </c>
      <c r="E9" s="178">
        <v>8.5</v>
      </c>
      <c r="F9" s="178">
        <v>9.0</v>
      </c>
      <c r="G9" s="178">
        <v>9.0</v>
      </c>
      <c r="H9" s="178">
        <v>9.0</v>
      </c>
      <c r="I9" s="14">
        <v>8.0</v>
      </c>
      <c r="J9" s="178">
        <v>8.0</v>
      </c>
      <c r="K9" s="178">
        <v>8.5</v>
      </c>
      <c r="L9" s="14">
        <v>8.5</v>
      </c>
      <c r="M9" s="178">
        <v>8.0</v>
      </c>
      <c r="N9" s="178">
        <v>8.0</v>
      </c>
      <c r="O9" s="14">
        <v>9.0</v>
      </c>
      <c r="P9" s="14">
        <v>8.5</v>
      </c>
      <c r="Q9" s="178">
        <v>8.5</v>
      </c>
      <c r="R9" s="14">
        <v>7.0</v>
      </c>
      <c r="S9" s="14">
        <v>8.5</v>
      </c>
      <c r="T9" s="178">
        <v>8.0</v>
      </c>
      <c r="U9" s="178">
        <v>8.5</v>
      </c>
      <c r="V9" s="178">
        <v>9.0</v>
      </c>
      <c r="W9" s="14">
        <v>9.0</v>
      </c>
      <c r="X9" s="178">
        <v>9.0</v>
      </c>
      <c r="Y9" s="178">
        <v>8.5</v>
      </c>
      <c r="Z9" s="178">
        <v>8.5</v>
      </c>
      <c r="AA9" s="148"/>
      <c r="AB9" s="14">
        <v>8.5</v>
      </c>
      <c r="AC9" s="148"/>
      <c r="AD9" s="178">
        <v>9.0</v>
      </c>
      <c r="AE9" s="14">
        <v>9.0</v>
      </c>
      <c r="AF9" s="178">
        <v>9.0</v>
      </c>
      <c r="AG9" s="14">
        <v>9.0</v>
      </c>
      <c r="AH9" s="178">
        <v>8.5</v>
      </c>
      <c r="AI9" s="148"/>
      <c r="AJ9" s="148"/>
      <c r="AK9" s="14">
        <v>8.0</v>
      </c>
      <c r="AL9" s="14">
        <v>7.0</v>
      </c>
      <c r="AM9" s="14">
        <v>8.5</v>
      </c>
      <c r="AN9" s="14">
        <v>8.0</v>
      </c>
      <c r="AO9" s="14">
        <v>8.0</v>
      </c>
      <c r="AP9" s="14">
        <v>7.0</v>
      </c>
      <c r="AQ9" s="14">
        <v>9.5</v>
      </c>
      <c r="AR9" s="14">
        <v>8.0</v>
      </c>
      <c r="AS9" s="14">
        <v>8.5</v>
      </c>
      <c r="AT9" s="14">
        <v>9.5</v>
      </c>
      <c r="AU9" s="14">
        <v>7.0</v>
      </c>
      <c r="AV9" s="178">
        <v>8.5</v>
      </c>
      <c r="AW9" s="14">
        <v>7.0</v>
      </c>
      <c r="AX9" s="14">
        <v>8.0</v>
      </c>
      <c r="AY9" s="14">
        <v>8.5</v>
      </c>
      <c r="AZ9" s="14">
        <v>8.0</v>
      </c>
      <c r="BA9" s="14">
        <v>8.5</v>
      </c>
      <c r="BB9" s="14">
        <v>6.5</v>
      </c>
      <c r="BC9" s="14">
        <v>8.5</v>
      </c>
      <c r="BD9" s="14">
        <v>8.5</v>
      </c>
      <c r="BE9" s="14">
        <v>9.0</v>
      </c>
      <c r="BF9" s="178">
        <v>10.0</v>
      </c>
      <c r="BG9" s="178">
        <v>9.0</v>
      </c>
      <c r="BH9" s="14">
        <v>9.0</v>
      </c>
      <c r="BI9" s="178">
        <v>9.5</v>
      </c>
      <c r="BJ9" s="14">
        <v>8.5</v>
      </c>
      <c r="BK9" s="14">
        <v>10.0</v>
      </c>
      <c r="BL9" s="14">
        <v>9.5</v>
      </c>
      <c r="BM9" s="14">
        <v>8.5</v>
      </c>
      <c r="BN9" s="178">
        <v>10.0</v>
      </c>
    </row>
    <row r="10" ht="15.75" customHeight="1">
      <c r="A10" s="27">
        <v>45555.0</v>
      </c>
      <c r="B10" s="10" t="s">
        <v>4902</v>
      </c>
      <c r="C10" s="10" t="s">
        <v>4903</v>
      </c>
      <c r="D10" s="10" t="s">
        <v>4904</v>
      </c>
      <c r="E10" s="10" t="s">
        <v>4905</v>
      </c>
      <c r="F10" s="10" t="s">
        <v>4903</v>
      </c>
      <c r="G10" s="10" t="s">
        <v>598</v>
      </c>
      <c r="H10" s="10" t="s">
        <v>598</v>
      </c>
      <c r="I10" s="10" t="s">
        <v>4906</v>
      </c>
      <c r="J10" s="10" t="s">
        <v>653</v>
      </c>
      <c r="K10" s="10" t="s">
        <v>653</v>
      </c>
      <c r="L10" s="10" t="s">
        <v>4907</v>
      </c>
      <c r="M10" s="10" t="s">
        <v>4908</v>
      </c>
      <c r="N10" s="10" t="s">
        <v>4909</v>
      </c>
      <c r="O10" s="10" t="s">
        <v>4908</v>
      </c>
      <c r="P10" s="10" t="s">
        <v>4907</v>
      </c>
      <c r="Q10" s="10" t="s">
        <v>4908</v>
      </c>
      <c r="R10" s="10" t="s">
        <v>4908</v>
      </c>
      <c r="S10" s="10" t="s">
        <v>4908</v>
      </c>
      <c r="T10" s="10" t="s">
        <v>4907</v>
      </c>
      <c r="U10" s="10" t="s">
        <v>653</v>
      </c>
      <c r="V10" s="10" t="s">
        <v>598</v>
      </c>
      <c r="W10" s="10" t="s">
        <v>4908</v>
      </c>
      <c r="X10" s="10" t="s">
        <v>653</v>
      </c>
      <c r="Y10" s="10" t="s">
        <v>4907</v>
      </c>
      <c r="Z10" s="10" t="s">
        <v>653</v>
      </c>
      <c r="AA10" s="108"/>
      <c r="AB10" s="10" t="s">
        <v>4908</v>
      </c>
      <c r="AC10" s="108"/>
      <c r="AD10" s="10" t="s">
        <v>653</v>
      </c>
      <c r="AE10" s="10" t="s">
        <v>4908</v>
      </c>
      <c r="AF10" s="10" t="s">
        <v>4908</v>
      </c>
      <c r="AG10" s="10" t="s">
        <v>598</v>
      </c>
      <c r="AH10" s="10" t="s">
        <v>598</v>
      </c>
      <c r="AI10" s="108"/>
      <c r="AJ10" s="108"/>
      <c r="AK10" s="10" t="s">
        <v>4906</v>
      </c>
      <c r="AL10" s="10" t="s">
        <v>4904</v>
      </c>
      <c r="AM10" s="10" t="s">
        <v>4904</v>
      </c>
      <c r="AN10" s="10" t="s">
        <v>4905</v>
      </c>
      <c r="AO10" s="10" t="s">
        <v>4907</v>
      </c>
      <c r="AP10" s="10" t="s">
        <v>4910</v>
      </c>
      <c r="AQ10" s="10" t="s">
        <v>4908</v>
      </c>
      <c r="AR10" s="10" t="s">
        <v>4904</v>
      </c>
      <c r="AS10" s="10" t="s">
        <v>4908</v>
      </c>
      <c r="AT10" s="10" t="s">
        <v>598</v>
      </c>
      <c r="AU10" s="10" t="s">
        <v>4905</v>
      </c>
      <c r="AV10" s="10" t="s">
        <v>4908</v>
      </c>
      <c r="AW10" s="10" t="s">
        <v>4907</v>
      </c>
      <c r="AX10" s="10" t="s">
        <v>4905</v>
      </c>
      <c r="AY10" s="10" t="s">
        <v>598</v>
      </c>
      <c r="AZ10" s="10" t="s">
        <v>4905</v>
      </c>
      <c r="BA10" s="10" t="s">
        <v>4905</v>
      </c>
      <c r="BB10" s="10" t="s">
        <v>4907</v>
      </c>
      <c r="BC10" s="10" t="s">
        <v>4907</v>
      </c>
      <c r="BD10" s="10" t="s">
        <v>653</v>
      </c>
      <c r="BE10" s="10" t="s">
        <v>4907</v>
      </c>
      <c r="BF10" s="10" t="s">
        <v>598</v>
      </c>
      <c r="BG10" s="10" t="s">
        <v>598</v>
      </c>
      <c r="BH10" s="10" t="s">
        <v>4905</v>
      </c>
      <c r="BI10" s="10" t="s">
        <v>4907</v>
      </c>
      <c r="BJ10" s="10" t="s">
        <v>4907</v>
      </c>
      <c r="BK10" s="10" t="s">
        <v>4905</v>
      </c>
      <c r="BL10" s="10" t="s">
        <v>4905</v>
      </c>
      <c r="BM10" s="10" t="s">
        <v>598</v>
      </c>
      <c r="BN10" s="10" t="s">
        <v>653</v>
      </c>
    </row>
    <row r="11" ht="15.75" customHeight="1">
      <c r="A11" s="14" t="s">
        <v>358</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8"/>
      <c r="AB11" s="14"/>
      <c r="AC11" s="148"/>
      <c r="AD11" s="14"/>
      <c r="AE11" s="14"/>
      <c r="AF11" s="14"/>
      <c r="AG11" s="14"/>
      <c r="AH11" s="14"/>
      <c r="AI11" s="148"/>
      <c r="AJ11" s="148"/>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row>
    <row r="12" ht="15.75" customHeight="1">
      <c r="A12" s="10" t="s">
        <v>408</v>
      </c>
      <c r="B12" s="10" t="s">
        <v>4911</v>
      </c>
      <c r="C12" s="10" t="s">
        <v>4912</v>
      </c>
      <c r="D12" s="10" t="s">
        <v>4913</v>
      </c>
      <c r="E12" s="10" t="s">
        <v>4914</v>
      </c>
      <c r="F12" s="10" t="s">
        <v>4915</v>
      </c>
      <c r="G12" s="10" t="s">
        <v>4916</v>
      </c>
      <c r="H12" s="10" t="s">
        <v>4917</v>
      </c>
      <c r="I12" s="10" t="s">
        <v>4918</v>
      </c>
      <c r="J12" s="10" t="s">
        <v>4919</v>
      </c>
      <c r="K12" s="10" t="s">
        <v>4920</v>
      </c>
      <c r="L12" s="10" t="s">
        <v>4921</v>
      </c>
      <c r="M12" s="10" t="s">
        <v>4922</v>
      </c>
      <c r="N12" s="10" t="s">
        <v>4923</v>
      </c>
      <c r="O12" s="10" t="s">
        <v>4924</v>
      </c>
      <c r="P12" s="10" t="s">
        <v>4925</v>
      </c>
      <c r="Q12" s="10" t="s">
        <v>4926</v>
      </c>
      <c r="R12" s="10" t="s">
        <v>4927</v>
      </c>
      <c r="S12" s="10" t="s">
        <v>4928</v>
      </c>
      <c r="T12" s="10" t="s">
        <v>4929</v>
      </c>
      <c r="U12" s="109" t="s">
        <v>4930</v>
      </c>
      <c r="V12" s="109" t="s">
        <v>4931</v>
      </c>
      <c r="W12" s="109" t="s">
        <v>4932</v>
      </c>
      <c r="X12" s="109" t="s">
        <v>4933</v>
      </c>
      <c r="Y12" s="10" t="s">
        <v>4934</v>
      </c>
      <c r="Z12" s="10" t="s">
        <v>4935</v>
      </c>
      <c r="AA12" s="108"/>
      <c r="AB12" s="10" t="s">
        <v>4936</v>
      </c>
      <c r="AC12" s="108"/>
      <c r="AD12" s="109" t="s">
        <v>4919</v>
      </c>
      <c r="AE12" s="10" t="s">
        <v>4937</v>
      </c>
      <c r="AF12" s="10" t="s">
        <v>4938</v>
      </c>
      <c r="AG12" s="10" t="s">
        <v>4939</v>
      </c>
      <c r="AH12" s="10" t="s">
        <v>4940</v>
      </c>
      <c r="AI12" s="108"/>
      <c r="AJ12" s="108"/>
      <c r="AK12" s="10" t="s">
        <v>4941</v>
      </c>
      <c r="AL12" s="10" t="s">
        <v>4942</v>
      </c>
      <c r="AM12" s="10" t="s">
        <v>4943</v>
      </c>
      <c r="AN12" s="10" t="s">
        <v>4944</v>
      </c>
      <c r="AO12" s="10" t="s">
        <v>4945</v>
      </c>
      <c r="AP12" s="10" t="s">
        <v>4946</v>
      </c>
      <c r="AQ12" s="10" t="s">
        <v>4947</v>
      </c>
      <c r="AR12" s="10" t="s">
        <v>4948</v>
      </c>
      <c r="AS12" s="10" t="s">
        <v>4949</v>
      </c>
      <c r="AT12" s="10" t="s">
        <v>4950</v>
      </c>
      <c r="AU12" s="10" t="s">
        <v>4951</v>
      </c>
      <c r="AV12" s="10" t="s">
        <v>4952</v>
      </c>
      <c r="AW12" s="10" t="s">
        <v>4953</v>
      </c>
      <c r="AX12" s="10" t="s">
        <v>4954</v>
      </c>
      <c r="AY12" s="10" t="s">
        <v>4955</v>
      </c>
      <c r="AZ12" s="10" t="s">
        <v>4956</v>
      </c>
      <c r="BA12" s="10" t="s">
        <v>4957</v>
      </c>
      <c r="BB12" s="10" t="s">
        <v>4958</v>
      </c>
      <c r="BC12" s="10" t="s">
        <v>4959</v>
      </c>
      <c r="BD12" s="10" t="s">
        <v>4960</v>
      </c>
      <c r="BE12" s="10" t="s">
        <v>4961</v>
      </c>
      <c r="BF12" s="10" t="s">
        <v>4962</v>
      </c>
      <c r="BG12" s="10" t="s">
        <v>4963</v>
      </c>
      <c r="BH12" s="10" t="s">
        <v>4964</v>
      </c>
      <c r="BI12" s="10" t="s">
        <v>4965</v>
      </c>
      <c r="BJ12" s="10" t="s">
        <v>4966</v>
      </c>
      <c r="BK12" s="10" t="s">
        <v>4967</v>
      </c>
      <c r="BL12" s="10" t="s">
        <v>4968</v>
      </c>
      <c r="BM12" s="10" t="s">
        <v>4969</v>
      </c>
      <c r="BN12" s="10" t="s">
        <v>4970</v>
      </c>
    </row>
    <row r="13" ht="15.75" customHeight="1">
      <c r="A13" s="157">
        <v>45556.0</v>
      </c>
      <c r="B13" s="14"/>
      <c r="C13" s="14">
        <v>7.5</v>
      </c>
      <c r="D13" s="14">
        <v>9.5</v>
      </c>
      <c r="E13" s="14">
        <v>9.5</v>
      </c>
      <c r="F13" s="14">
        <v>10.0</v>
      </c>
      <c r="G13" s="14">
        <v>11.0</v>
      </c>
      <c r="H13" s="14">
        <v>11.0</v>
      </c>
      <c r="I13" s="14">
        <v>9.5</v>
      </c>
      <c r="J13" s="14">
        <v>10.0</v>
      </c>
      <c r="K13" s="14">
        <v>10.5</v>
      </c>
      <c r="L13" s="14">
        <v>9.0</v>
      </c>
      <c r="M13" s="14">
        <v>10.0</v>
      </c>
      <c r="N13" s="14">
        <v>10.0</v>
      </c>
      <c r="O13" s="14">
        <v>9.5</v>
      </c>
      <c r="P13" s="14">
        <v>9.0</v>
      </c>
      <c r="Q13" s="14">
        <v>9.5</v>
      </c>
      <c r="R13" s="14">
        <v>8.0</v>
      </c>
      <c r="S13" s="14">
        <v>9.0</v>
      </c>
      <c r="T13" s="14">
        <v>9.0</v>
      </c>
      <c r="U13" s="178">
        <v>10.5</v>
      </c>
      <c r="V13" s="178">
        <v>11.0</v>
      </c>
      <c r="W13" s="178">
        <v>11.0</v>
      </c>
      <c r="X13" s="178">
        <v>11.0</v>
      </c>
      <c r="Y13" s="14">
        <v>9.0</v>
      </c>
      <c r="Z13" s="14">
        <v>10.5</v>
      </c>
      <c r="AA13" s="148"/>
      <c r="AB13" s="14">
        <v>10.0</v>
      </c>
      <c r="AC13" s="148"/>
      <c r="AD13" s="178">
        <v>11.0</v>
      </c>
      <c r="AE13" s="14">
        <v>11.0</v>
      </c>
      <c r="AF13" s="14">
        <v>11.0</v>
      </c>
      <c r="AG13" s="14">
        <v>11.0</v>
      </c>
      <c r="AH13" s="14">
        <v>10.5</v>
      </c>
      <c r="AI13" s="148"/>
      <c r="AJ13" s="148"/>
      <c r="AK13" s="14">
        <v>9.0</v>
      </c>
      <c r="AL13" s="14">
        <v>9.0</v>
      </c>
      <c r="AM13" s="14">
        <v>9.5</v>
      </c>
      <c r="AN13" s="14">
        <v>9.0</v>
      </c>
      <c r="AO13" s="14">
        <v>9.0</v>
      </c>
      <c r="AP13" s="14">
        <v>8.0</v>
      </c>
      <c r="AQ13" s="14">
        <v>11.0</v>
      </c>
      <c r="AR13" s="14">
        <v>8.5</v>
      </c>
      <c r="AS13" s="14">
        <v>9.5</v>
      </c>
      <c r="AT13" s="14">
        <v>10.5</v>
      </c>
      <c r="AU13" s="14">
        <v>8.5</v>
      </c>
      <c r="AV13" s="14">
        <v>9.5</v>
      </c>
      <c r="AW13" s="14">
        <v>8.0</v>
      </c>
      <c r="AX13" s="14">
        <v>9.5</v>
      </c>
      <c r="AY13" s="14">
        <v>9.5</v>
      </c>
      <c r="AZ13" s="14">
        <v>9.0</v>
      </c>
      <c r="BA13" s="14">
        <v>9.5</v>
      </c>
      <c r="BB13" s="14">
        <v>8.5</v>
      </c>
      <c r="BC13" s="14">
        <v>9.0</v>
      </c>
      <c r="BD13" s="14">
        <v>10.0</v>
      </c>
      <c r="BE13" s="14">
        <v>10.0</v>
      </c>
      <c r="BF13" s="14">
        <v>11.0</v>
      </c>
      <c r="BG13" s="14">
        <v>11.0</v>
      </c>
      <c r="BH13" s="14">
        <v>10.0</v>
      </c>
      <c r="BI13" s="14">
        <v>10.5</v>
      </c>
      <c r="BJ13" s="14">
        <v>9.5</v>
      </c>
      <c r="BK13" s="14">
        <v>10.5</v>
      </c>
      <c r="BL13" s="14">
        <v>10.0</v>
      </c>
      <c r="BM13" s="14">
        <v>10.5</v>
      </c>
      <c r="BN13" s="14">
        <v>12.0</v>
      </c>
    </row>
    <row r="14" ht="38.25" customHeight="1">
      <c r="A14" s="10" t="s">
        <v>498</v>
      </c>
      <c r="B14" s="10"/>
      <c r="C14" s="10" t="s">
        <v>4971</v>
      </c>
      <c r="D14" s="10" t="s">
        <v>1372</v>
      </c>
      <c r="E14" s="10" t="s">
        <v>4972</v>
      </c>
      <c r="F14" s="10" t="s">
        <v>4878</v>
      </c>
      <c r="G14" s="109" t="s">
        <v>4973</v>
      </c>
      <c r="H14" s="109" t="s">
        <v>4974</v>
      </c>
      <c r="I14" s="109" t="s">
        <v>4975</v>
      </c>
      <c r="J14" s="109" t="s">
        <v>4976</v>
      </c>
      <c r="K14" s="109" t="s">
        <v>1157</v>
      </c>
      <c r="L14" s="10" t="s">
        <v>4977</v>
      </c>
      <c r="M14" s="109" t="s">
        <v>4978</v>
      </c>
      <c r="N14" s="109" t="s">
        <v>4979</v>
      </c>
      <c r="O14" s="10" t="s">
        <v>4980</v>
      </c>
      <c r="P14" s="10" t="s">
        <v>4981</v>
      </c>
      <c r="Q14" s="10" t="s">
        <v>4982</v>
      </c>
      <c r="R14" s="10" t="s">
        <v>4983</v>
      </c>
      <c r="S14" s="10" t="s">
        <v>4984</v>
      </c>
      <c r="T14" s="10" t="s">
        <v>4985</v>
      </c>
      <c r="U14" s="109" t="s">
        <v>4979</v>
      </c>
      <c r="V14" s="109" t="s">
        <v>4986</v>
      </c>
      <c r="W14" s="109" t="s">
        <v>4987</v>
      </c>
      <c r="X14" s="109" t="s">
        <v>1246</v>
      </c>
      <c r="Y14" s="10" t="s">
        <v>4988</v>
      </c>
      <c r="Z14" s="109" t="s">
        <v>1149</v>
      </c>
      <c r="AA14" s="108"/>
      <c r="AB14" s="109" t="s">
        <v>1161</v>
      </c>
      <c r="AC14" s="108"/>
      <c r="AD14" s="109" t="s">
        <v>1149</v>
      </c>
      <c r="AE14" s="109" t="s">
        <v>1161</v>
      </c>
      <c r="AF14" s="109" t="s">
        <v>4989</v>
      </c>
      <c r="AG14" s="109" t="s">
        <v>1145</v>
      </c>
      <c r="AH14" s="109" t="s">
        <v>1157</v>
      </c>
      <c r="AI14" s="108"/>
      <c r="AJ14" s="108"/>
      <c r="AK14" s="10" t="s">
        <v>1372</v>
      </c>
      <c r="AL14" s="10" t="s">
        <v>4990</v>
      </c>
      <c r="AM14" s="10" t="s">
        <v>4991</v>
      </c>
      <c r="AN14" s="10" t="s">
        <v>4992</v>
      </c>
      <c r="AO14" s="10" t="s">
        <v>4993</v>
      </c>
      <c r="AP14" s="10" t="s">
        <v>4994</v>
      </c>
      <c r="AQ14" s="10" t="s">
        <v>4995</v>
      </c>
      <c r="AR14" s="10" t="s">
        <v>4897</v>
      </c>
      <c r="AS14" s="10" t="s">
        <v>4897</v>
      </c>
      <c r="AT14" s="10" t="s">
        <v>4996</v>
      </c>
      <c r="AU14" s="10" t="s">
        <v>4997</v>
      </c>
      <c r="AV14" s="10" t="s">
        <v>4998</v>
      </c>
      <c r="AW14" s="10" t="s">
        <v>4999</v>
      </c>
      <c r="AX14" s="10" t="s">
        <v>5000</v>
      </c>
      <c r="AY14" s="10" t="s">
        <v>5001</v>
      </c>
      <c r="AZ14" s="10" t="s">
        <v>4980</v>
      </c>
      <c r="BA14" s="10" t="s">
        <v>5002</v>
      </c>
      <c r="BB14" s="10" t="s">
        <v>5003</v>
      </c>
      <c r="BC14" s="10" t="s">
        <v>5004</v>
      </c>
      <c r="BD14" s="10" t="s">
        <v>5005</v>
      </c>
      <c r="BE14" s="10" t="s">
        <v>5006</v>
      </c>
      <c r="BF14" s="10" t="s">
        <v>5003</v>
      </c>
      <c r="BG14" s="109" t="s">
        <v>5007</v>
      </c>
      <c r="BH14" s="10" t="s">
        <v>5008</v>
      </c>
      <c r="BI14" s="10" t="s">
        <v>5009</v>
      </c>
      <c r="BJ14" s="10" t="s">
        <v>4985</v>
      </c>
      <c r="BK14" s="10" t="s">
        <v>5010</v>
      </c>
      <c r="BL14" s="10" t="s">
        <v>5011</v>
      </c>
      <c r="BM14" s="109" t="s">
        <v>5012</v>
      </c>
      <c r="BN14" s="109" t="s">
        <v>1157</v>
      </c>
    </row>
    <row r="15" ht="15.75" customHeight="1">
      <c r="A15" s="157">
        <v>45558.0</v>
      </c>
      <c r="B15" s="14"/>
      <c r="C15" s="14">
        <v>8.5</v>
      </c>
      <c r="D15" s="14">
        <v>10.0</v>
      </c>
      <c r="E15" s="14">
        <v>12.0</v>
      </c>
      <c r="F15" s="14">
        <v>10.5</v>
      </c>
      <c r="G15" s="178">
        <v>11.5</v>
      </c>
      <c r="H15" s="178">
        <v>13.0</v>
      </c>
      <c r="I15" s="178">
        <v>10.5</v>
      </c>
      <c r="J15" s="178">
        <v>12.0</v>
      </c>
      <c r="K15" s="178">
        <v>12.5</v>
      </c>
      <c r="L15" s="14">
        <v>10.0</v>
      </c>
      <c r="M15" s="178">
        <v>12.0</v>
      </c>
      <c r="N15" s="178">
        <v>12.0</v>
      </c>
      <c r="O15" s="14">
        <v>10.0</v>
      </c>
      <c r="P15" s="14">
        <v>10.0</v>
      </c>
      <c r="Q15" s="14">
        <v>10.5</v>
      </c>
      <c r="R15" s="14">
        <v>10.0</v>
      </c>
      <c r="S15" s="14">
        <v>9.5</v>
      </c>
      <c r="T15" s="14">
        <v>10.0</v>
      </c>
      <c r="U15" s="178">
        <v>12.5</v>
      </c>
      <c r="V15" s="178">
        <v>12.0</v>
      </c>
      <c r="W15" s="178">
        <v>13.0</v>
      </c>
      <c r="X15" s="178">
        <v>13.0</v>
      </c>
      <c r="Y15" s="14">
        <v>11.5</v>
      </c>
      <c r="Z15" s="178">
        <v>12.5</v>
      </c>
      <c r="AA15" s="148"/>
      <c r="AB15" s="178">
        <v>12.0</v>
      </c>
      <c r="AC15" s="148"/>
      <c r="AD15" s="178">
        <v>13.0</v>
      </c>
      <c r="AE15" s="178">
        <v>13.0</v>
      </c>
      <c r="AF15" s="178">
        <v>12.0</v>
      </c>
      <c r="AG15" s="178">
        <v>13.0</v>
      </c>
      <c r="AH15" s="178">
        <v>12.5</v>
      </c>
      <c r="AI15" s="148"/>
      <c r="AJ15" s="148"/>
      <c r="AK15" s="14">
        <v>9.5</v>
      </c>
      <c r="AL15" s="14">
        <v>10.0</v>
      </c>
      <c r="AM15" s="14">
        <v>10.0</v>
      </c>
      <c r="AN15" s="14">
        <v>9.5</v>
      </c>
      <c r="AO15" s="14">
        <v>9.5</v>
      </c>
      <c r="AP15" s="14">
        <v>8.5</v>
      </c>
      <c r="AQ15" s="14">
        <v>13.0</v>
      </c>
      <c r="AR15" s="14">
        <v>9.0</v>
      </c>
      <c r="AS15" s="14">
        <v>10.0</v>
      </c>
      <c r="AT15" s="14">
        <v>12.0</v>
      </c>
      <c r="AU15" s="14">
        <v>9.5</v>
      </c>
      <c r="AV15" s="14">
        <v>10.0</v>
      </c>
      <c r="AW15" s="14">
        <v>9.0</v>
      </c>
      <c r="AX15" s="14">
        <v>10.0</v>
      </c>
      <c r="AY15" s="14">
        <v>10.0</v>
      </c>
      <c r="AZ15" s="14">
        <v>9.5</v>
      </c>
      <c r="BA15" s="14">
        <v>10.5</v>
      </c>
      <c r="BB15" s="14">
        <v>9.5</v>
      </c>
      <c r="BC15" s="14">
        <v>10.0</v>
      </c>
      <c r="BD15" s="14">
        <v>10.5</v>
      </c>
      <c r="BE15" s="14">
        <v>10.5</v>
      </c>
      <c r="BF15" s="14">
        <v>12.0</v>
      </c>
      <c r="BG15" s="178">
        <v>13.0</v>
      </c>
      <c r="BH15" s="14">
        <v>10.5</v>
      </c>
      <c r="BI15" s="14">
        <v>11.0</v>
      </c>
      <c r="BJ15" s="14">
        <v>10.5</v>
      </c>
      <c r="BK15" s="14">
        <v>11.5</v>
      </c>
      <c r="BL15" s="14">
        <v>10.5</v>
      </c>
      <c r="BM15" s="178">
        <v>12.5</v>
      </c>
      <c r="BN15" s="178">
        <v>14.0</v>
      </c>
    </row>
    <row r="16" ht="15.75" customHeight="1">
      <c r="A16" s="27">
        <v>45559.0</v>
      </c>
      <c r="B16" s="10"/>
      <c r="C16" s="10" t="s">
        <v>5013</v>
      </c>
      <c r="D16" s="10" t="s">
        <v>5014</v>
      </c>
      <c r="E16" s="10" t="s">
        <v>5015</v>
      </c>
      <c r="F16" s="10" t="s">
        <v>5016</v>
      </c>
      <c r="G16" s="109" t="s">
        <v>5017</v>
      </c>
      <c r="H16" s="109" t="s">
        <v>5018</v>
      </c>
      <c r="I16" s="109" t="s">
        <v>5019</v>
      </c>
      <c r="J16" s="109" t="s">
        <v>5019</v>
      </c>
      <c r="K16" s="109" t="s">
        <v>1211</v>
      </c>
      <c r="L16" s="10" t="s">
        <v>5020</v>
      </c>
      <c r="M16" s="109" t="s">
        <v>5021</v>
      </c>
      <c r="N16" s="109" t="s">
        <v>5019</v>
      </c>
      <c r="O16" s="10" t="s">
        <v>5022</v>
      </c>
      <c r="P16" s="10" t="s">
        <v>5023</v>
      </c>
      <c r="Q16" s="10" t="s">
        <v>5024</v>
      </c>
      <c r="R16" s="10" t="s">
        <v>5025</v>
      </c>
      <c r="S16" s="10" t="s">
        <v>5026</v>
      </c>
      <c r="T16" s="109" t="s">
        <v>5019</v>
      </c>
      <c r="U16" s="109" t="s">
        <v>5027</v>
      </c>
      <c r="V16" s="109" t="s">
        <v>5028</v>
      </c>
      <c r="W16" s="109" t="s">
        <v>5019</v>
      </c>
      <c r="X16" s="109" t="s">
        <v>5019</v>
      </c>
      <c r="Y16" s="10" t="s">
        <v>4897</v>
      </c>
      <c r="Z16" s="109" t="s">
        <v>5029</v>
      </c>
      <c r="AA16" s="108"/>
      <c r="AB16" s="109" t="s">
        <v>5030</v>
      </c>
      <c r="AC16" s="108"/>
      <c r="AD16" s="109" t="s">
        <v>5029</v>
      </c>
      <c r="AE16" s="109" t="s">
        <v>5030</v>
      </c>
      <c r="AF16" s="109" t="s">
        <v>5030</v>
      </c>
      <c r="AG16" s="152" t="s">
        <v>5031</v>
      </c>
      <c r="AH16" s="109" t="s">
        <v>5029</v>
      </c>
      <c r="AI16" s="108"/>
      <c r="AJ16" s="108"/>
      <c r="AK16" s="10" t="s">
        <v>5032</v>
      </c>
      <c r="AL16" s="10" t="s">
        <v>5033</v>
      </c>
      <c r="AM16" s="10" t="s">
        <v>5034</v>
      </c>
      <c r="AN16" s="10" t="s">
        <v>5035</v>
      </c>
      <c r="AO16" s="10" t="s">
        <v>5036</v>
      </c>
      <c r="AP16" s="10" t="s">
        <v>434</v>
      </c>
      <c r="AQ16" s="10" t="s">
        <v>5037</v>
      </c>
      <c r="AR16" s="10" t="s">
        <v>5038</v>
      </c>
      <c r="AS16" s="10" t="s">
        <v>5039</v>
      </c>
      <c r="AT16" s="10" t="s">
        <v>5040</v>
      </c>
      <c r="AU16" s="10" t="s">
        <v>5033</v>
      </c>
      <c r="AV16" s="109" t="s">
        <v>5041</v>
      </c>
      <c r="AW16" s="10" t="s">
        <v>5042</v>
      </c>
      <c r="AX16" s="10" t="s">
        <v>5041</v>
      </c>
      <c r="AY16" s="10" t="s">
        <v>5043</v>
      </c>
      <c r="AZ16" s="10" t="s">
        <v>5044</v>
      </c>
      <c r="BA16" s="10" t="s">
        <v>5045</v>
      </c>
      <c r="BB16" s="10" t="s">
        <v>5033</v>
      </c>
      <c r="BC16" s="10" t="s">
        <v>5046</v>
      </c>
      <c r="BD16" s="10" t="s">
        <v>5047</v>
      </c>
      <c r="BE16" s="10" t="s">
        <v>5048</v>
      </c>
      <c r="BF16" s="10" t="s">
        <v>4897</v>
      </c>
      <c r="BG16" s="109" t="s">
        <v>5049</v>
      </c>
      <c r="BH16" s="10" t="s">
        <v>5050</v>
      </c>
      <c r="BI16" s="10" t="s">
        <v>5051</v>
      </c>
      <c r="BJ16" s="10" t="s">
        <v>5052</v>
      </c>
      <c r="BK16" s="10" t="s">
        <v>5053</v>
      </c>
      <c r="BL16" s="10" t="s">
        <v>5054</v>
      </c>
      <c r="BM16" s="109" t="s">
        <v>5055</v>
      </c>
      <c r="BN16" s="109" t="s">
        <v>5056</v>
      </c>
    </row>
    <row r="17" ht="15.75" customHeight="1">
      <c r="A17" s="14" t="s">
        <v>543</v>
      </c>
      <c r="B17" s="14"/>
      <c r="C17" s="14">
        <v>9.5</v>
      </c>
      <c r="D17" s="14">
        <v>11.0</v>
      </c>
      <c r="E17" s="14">
        <v>14.0</v>
      </c>
      <c r="F17" s="14">
        <v>11.5</v>
      </c>
      <c r="G17" s="178">
        <v>13.0</v>
      </c>
      <c r="H17" s="178">
        <v>14.5</v>
      </c>
      <c r="I17" s="178">
        <v>12.5</v>
      </c>
      <c r="J17" s="178">
        <v>14.0</v>
      </c>
      <c r="K17" s="178">
        <v>14.5</v>
      </c>
      <c r="L17" s="14">
        <v>10.5</v>
      </c>
      <c r="M17" s="178">
        <v>14.0</v>
      </c>
      <c r="N17" s="178">
        <v>14.0</v>
      </c>
      <c r="O17" s="14">
        <v>11.5</v>
      </c>
      <c r="P17" s="14">
        <v>11.0</v>
      </c>
      <c r="Q17" s="14">
        <v>11.0</v>
      </c>
      <c r="R17" s="14">
        <v>12.0</v>
      </c>
      <c r="S17" s="14">
        <v>10.0</v>
      </c>
      <c r="T17" s="178">
        <v>12.0</v>
      </c>
      <c r="U17" s="178">
        <v>15.0</v>
      </c>
      <c r="V17" s="178">
        <v>13.0</v>
      </c>
      <c r="W17" s="178">
        <v>15.0</v>
      </c>
      <c r="X17" s="178">
        <v>15.0</v>
      </c>
      <c r="Y17" s="14">
        <v>12.0</v>
      </c>
      <c r="Z17" s="178">
        <v>14.5</v>
      </c>
      <c r="AA17" s="148"/>
      <c r="AB17" s="178">
        <v>14.0</v>
      </c>
      <c r="AC17" s="148"/>
      <c r="AD17" s="178">
        <v>15.0</v>
      </c>
      <c r="AE17" s="178">
        <v>15.0</v>
      </c>
      <c r="AF17" s="178">
        <v>14.0</v>
      </c>
      <c r="AG17" s="153">
        <v>14.0</v>
      </c>
      <c r="AH17" s="178">
        <v>14.5</v>
      </c>
      <c r="AI17" s="148"/>
      <c r="AJ17" s="148"/>
      <c r="AK17" s="14">
        <v>10.5</v>
      </c>
      <c r="AL17" s="14">
        <v>11.0</v>
      </c>
      <c r="AM17" s="14">
        <v>10.5</v>
      </c>
      <c r="AN17" s="14">
        <v>10.5</v>
      </c>
      <c r="AO17" s="14">
        <v>10.0</v>
      </c>
      <c r="AP17" s="14">
        <v>9.5</v>
      </c>
      <c r="AQ17" s="14">
        <v>15.0</v>
      </c>
      <c r="AR17" s="14">
        <v>10.0</v>
      </c>
      <c r="AS17" s="14">
        <v>10.5</v>
      </c>
      <c r="AT17" s="14">
        <v>13.0</v>
      </c>
      <c r="AU17" s="14">
        <v>10.5</v>
      </c>
      <c r="AV17" s="178">
        <v>11.0</v>
      </c>
      <c r="AW17" s="14">
        <v>10.0</v>
      </c>
      <c r="AX17" s="14">
        <v>11.0</v>
      </c>
      <c r="AY17" s="14">
        <v>11.0</v>
      </c>
      <c r="AZ17" s="14">
        <v>10.5</v>
      </c>
      <c r="BA17" s="14">
        <v>11.0</v>
      </c>
      <c r="BB17" s="14">
        <v>10.5</v>
      </c>
      <c r="BC17" s="14">
        <v>11.0</v>
      </c>
      <c r="BD17" s="14">
        <v>11.0</v>
      </c>
      <c r="BE17" s="14">
        <v>11.5</v>
      </c>
      <c r="BF17" s="14">
        <v>12.5</v>
      </c>
      <c r="BG17" s="178">
        <v>15.0</v>
      </c>
      <c r="BH17" s="14">
        <v>11.5</v>
      </c>
      <c r="BI17" s="14">
        <v>12.0</v>
      </c>
      <c r="BJ17" s="14">
        <v>11.0</v>
      </c>
      <c r="BK17" s="14">
        <v>12.5</v>
      </c>
      <c r="BL17" s="14">
        <v>11.5</v>
      </c>
      <c r="BM17" s="178">
        <v>14.5</v>
      </c>
      <c r="BN17" s="178">
        <v>16.0</v>
      </c>
    </row>
    <row r="18" ht="15.75" customHeight="1">
      <c r="A18" s="27">
        <v>45560.0</v>
      </c>
      <c r="B18" s="10" t="s">
        <v>5057</v>
      </c>
      <c r="C18" s="10" t="s">
        <v>5058</v>
      </c>
      <c r="D18" s="10" t="s">
        <v>5059</v>
      </c>
      <c r="E18" s="10" t="s">
        <v>5060</v>
      </c>
      <c r="F18" s="10" t="s">
        <v>5061</v>
      </c>
      <c r="G18" s="109" t="s">
        <v>5062</v>
      </c>
      <c r="H18" s="10" t="s">
        <v>5063</v>
      </c>
      <c r="I18" s="109" t="s">
        <v>5064</v>
      </c>
      <c r="J18" s="109" t="s">
        <v>5065</v>
      </c>
      <c r="K18" s="109" t="s">
        <v>5066</v>
      </c>
      <c r="L18" s="10" t="s">
        <v>5067</v>
      </c>
      <c r="M18" s="109" t="s">
        <v>5068</v>
      </c>
      <c r="N18" s="109" t="s">
        <v>5049</v>
      </c>
      <c r="O18" s="10" t="s">
        <v>5069</v>
      </c>
      <c r="P18" s="109" t="s">
        <v>5070</v>
      </c>
      <c r="Q18" s="109" t="s">
        <v>5071</v>
      </c>
      <c r="R18" s="109" t="s">
        <v>5072</v>
      </c>
      <c r="S18" s="10" t="s">
        <v>5073</v>
      </c>
      <c r="T18" s="109" t="s">
        <v>5019</v>
      </c>
      <c r="U18" s="109" t="s">
        <v>5030</v>
      </c>
      <c r="V18" s="10" t="s">
        <v>5074</v>
      </c>
      <c r="W18" s="109" t="s">
        <v>5075</v>
      </c>
      <c r="X18" s="109" t="s">
        <v>5029</v>
      </c>
      <c r="Y18" s="179" t="s">
        <v>5076</v>
      </c>
      <c r="Z18" s="109" t="s">
        <v>5029</v>
      </c>
      <c r="AA18" s="108"/>
      <c r="AB18" s="109" t="s">
        <v>5077</v>
      </c>
      <c r="AC18" s="108"/>
      <c r="AD18" s="109" t="s">
        <v>5029</v>
      </c>
      <c r="AE18" s="109" t="s">
        <v>5078</v>
      </c>
      <c r="AF18" s="109" t="s">
        <v>5030</v>
      </c>
      <c r="AG18" s="109" t="s">
        <v>5079</v>
      </c>
      <c r="AH18" s="109" t="s">
        <v>5029</v>
      </c>
      <c r="AI18" s="108"/>
      <c r="AJ18" s="108"/>
      <c r="AK18" s="10" t="s">
        <v>5080</v>
      </c>
      <c r="AL18" s="109" t="s">
        <v>5081</v>
      </c>
      <c r="AM18" s="10" t="s">
        <v>5082</v>
      </c>
      <c r="AN18" s="10" t="s">
        <v>5083</v>
      </c>
      <c r="AO18" s="10" t="s">
        <v>5084</v>
      </c>
      <c r="AP18" s="10" t="s">
        <v>5085</v>
      </c>
      <c r="AQ18" s="109" t="s">
        <v>5049</v>
      </c>
      <c r="AR18" s="10" t="s">
        <v>5086</v>
      </c>
      <c r="AS18" s="10" t="s">
        <v>5087</v>
      </c>
      <c r="AT18" s="109" t="s">
        <v>5088</v>
      </c>
      <c r="AU18" s="10" t="s">
        <v>5089</v>
      </c>
      <c r="AV18" s="109" t="s">
        <v>5090</v>
      </c>
      <c r="AW18" s="10" t="s">
        <v>5091</v>
      </c>
      <c r="AX18" s="180" t="s">
        <v>5065</v>
      </c>
      <c r="AY18" s="109" t="s">
        <v>5065</v>
      </c>
      <c r="AZ18" s="109" t="s">
        <v>5092</v>
      </c>
      <c r="BA18" s="109" t="s">
        <v>5093</v>
      </c>
      <c r="BB18" s="109" t="s">
        <v>5056</v>
      </c>
      <c r="BC18" s="10" t="s">
        <v>5094</v>
      </c>
      <c r="BD18" s="180" t="s">
        <v>5095</v>
      </c>
      <c r="BE18" s="10" t="s">
        <v>5096</v>
      </c>
      <c r="BF18" s="180" t="s">
        <v>5097</v>
      </c>
      <c r="BG18" s="109" t="s">
        <v>5055</v>
      </c>
      <c r="BH18" s="10" t="s">
        <v>5098</v>
      </c>
      <c r="BI18" s="109" t="s">
        <v>5099</v>
      </c>
      <c r="BJ18" s="10" t="s">
        <v>5100</v>
      </c>
      <c r="BK18" s="109" t="s">
        <v>330</v>
      </c>
      <c r="BL18" s="110" t="s">
        <v>5101</v>
      </c>
      <c r="BM18" s="109" t="s">
        <v>5102</v>
      </c>
      <c r="BN18" s="109" t="s">
        <v>5056</v>
      </c>
    </row>
    <row r="19" ht="15.75" customHeight="1">
      <c r="A19" s="14" t="s">
        <v>593</v>
      </c>
      <c r="B19" s="14"/>
      <c r="C19" s="14">
        <v>11.0</v>
      </c>
      <c r="D19" s="14">
        <v>13.0</v>
      </c>
      <c r="E19" s="14">
        <v>17.0</v>
      </c>
      <c r="F19" s="14">
        <v>13.0</v>
      </c>
      <c r="G19" s="178">
        <v>15.0</v>
      </c>
      <c r="H19" s="14">
        <v>16.5</v>
      </c>
      <c r="I19" s="178">
        <v>15.0</v>
      </c>
      <c r="J19" s="178">
        <v>16.0</v>
      </c>
      <c r="K19" s="178">
        <v>16.5</v>
      </c>
      <c r="L19" s="14">
        <v>11.5</v>
      </c>
      <c r="M19" s="178">
        <v>16.0</v>
      </c>
      <c r="N19" s="178">
        <v>16.0</v>
      </c>
      <c r="O19" s="14">
        <v>14.0</v>
      </c>
      <c r="P19" s="178">
        <v>13.0</v>
      </c>
      <c r="Q19" s="178">
        <v>13.0</v>
      </c>
      <c r="R19" s="178">
        <v>14.0</v>
      </c>
      <c r="S19" s="14">
        <v>11.0</v>
      </c>
      <c r="T19" s="178">
        <v>14.0</v>
      </c>
      <c r="U19" s="178">
        <v>17.0</v>
      </c>
      <c r="V19" s="14">
        <v>14.0</v>
      </c>
      <c r="W19" s="178">
        <v>17.0</v>
      </c>
      <c r="X19" s="178">
        <v>17.0</v>
      </c>
      <c r="Y19" s="181">
        <v>15.0</v>
      </c>
      <c r="Z19" s="178">
        <v>16.5</v>
      </c>
      <c r="AA19" s="148"/>
      <c r="AB19" s="178">
        <v>16.0</v>
      </c>
      <c r="AC19" s="148"/>
      <c r="AD19" s="178">
        <v>17.0</v>
      </c>
      <c r="AE19" s="178">
        <v>17.0</v>
      </c>
      <c r="AF19" s="178">
        <v>16.0</v>
      </c>
      <c r="AG19" s="178">
        <v>17.0</v>
      </c>
      <c r="AH19" s="178">
        <v>16.5</v>
      </c>
      <c r="AI19" s="148"/>
      <c r="AJ19" s="148"/>
      <c r="AK19" s="14">
        <v>11.5</v>
      </c>
      <c r="AL19" s="178">
        <v>13.0</v>
      </c>
      <c r="AM19" s="14">
        <v>11.5</v>
      </c>
      <c r="AN19" s="14">
        <v>11.5</v>
      </c>
      <c r="AO19" s="14">
        <v>11.0</v>
      </c>
      <c r="AP19" s="14">
        <v>11.0</v>
      </c>
      <c r="AQ19" s="178">
        <v>17.0</v>
      </c>
      <c r="AR19" s="14">
        <v>11.5</v>
      </c>
      <c r="AS19" s="14">
        <v>11.5</v>
      </c>
      <c r="AT19" s="178">
        <v>16.0</v>
      </c>
      <c r="AU19" s="14">
        <v>12.5</v>
      </c>
      <c r="AV19" s="178">
        <v>13.0</v>
      </c>
      <c r="AW19" s="14">
        <v>11.5</v>
      </c>
      <c r="AX19" s="182">
        <v>13.0</v>
      </c>
      <c r="AY19" s="178">
        <v>13.0</v>
      </c>
      <c r="AZ19" s="178">
        <v>16.5</v>
      </c>
      <c r="BA19" s="178">
        <v>12.0</v>
      </c>
      <c r="BB19" s="178">
        <v>12.5</v>
      </c>
      <c r="BC19" s="14">
        <v>11.5</v>
      </c>
      <c r="BD19" s="182">
        <v>12.0</v>
      </c>
      <c r="BE19" s="14">
        <v>12.5</v>
      </c>
      <c r="BF19" s="182">
        <v>13.5</v>
      </c>
      <c r="BG19" s="178">
        <v>17.0</v>
      </c>
      <c r="BH19" s="14">
        <v>12.5</v>
      </c>
      <c r="BI19" s="178">
        <v>14.0</v>
      </c>
      <c r="BJ19" s="14">
        <v>12.0</v>
      </c>
      <c r="BK19" s="178">
        <v>13.5</v>
      </c>
      <c r="BL19" s="183">
        <v>14.5</v>
      </c>
      <c r="BM19" s="178">
        <v>16.5</v>
      </c>
      <c r="BN19" s="178">
        <v>18.0</v>
      </c>
    </row>
    <row r="20" ht="15.75" customHeight="1">
      <c r="A20" s="27">
        <v>45561.0</v>
      </c>
      <c r="B20" s="10"/>
      <c r="C20" s="10" t="s">
        <v>5103</v>
      </c>
      <c r="D20" s="109" t="s">
        <v>5104</v>
      </c>
      <c r="E20" s="109" t="s">
        <v>5105</v>
      </c>
      <c r="F20" s="109" t="s">
        <v>5106</v>
      </c>
      <c r="G20" s="109" t="s">
        <v>5105</v>
      </c>
      <c r="H20" s="10" t="s">
        <v>5107</v>
      </c>
      <c r="I20" s="109" t="s">
        <v>5066</v>
      </c>
      <c r="J20" s="109" t="s">
        <v>5066</v>
      </c>
      <c r="K20" s="109" t="s">
        <v>5066</v>
      </c>
      <c r="L20" s="10" t="s">
        <v>549</v>
      </c>
      <c r="M20" s="109" t="s">
        <v>5066</v>
      </c>
      <c r="N20" s="109" t="s">
        <v>5108</v>
      </c>
      <c r="O20" s="109" t="s">
        <v>5109</v>
      </c>
      <c r="P20" s="109" t="s">
        <v>5066</v>
      </c>
      <c r="Q20" s="180" t="s">
        <v>5109</v>
      </c>
      <c r="R20" s="109" t="s">
        <v>1361</v>
      </c>
      <c r="S20" s="10" t="s">
        <v>3692</v>
      </c>
      <c r="T20" s="109" t="s">
        <v>5110</v>
      </c>
      <c r="U20" s="109" t="s">
        <v>5111</v>
      </c>
      <c r="V20" s="10" t="s">
        <v>5112</v>
      </c>
      <c r="W20" s="109" t="s">
        <v>1211</v>
      </c>
      <c r="X20" s="109" t="s">
        <v>5019</v>
      </c>
      <c r="Y20" s="184" t="s">
        <v>5113</v>
      </c>
      <c r="Z20" s="109" t="s">
        <v>1211</v>
      </c>
      <c r="AA20" s="108"/>
      <c r="AB20" s="109" t="s">
        <v>5114</v>
      </c>
      <c r="AC20" s="108"/>
      <c r="AD20" s="109" t="s">
        <v>5029</v>
      </c>
      <c r="AE20" s="109" t="s">
        <v>5115</v>
      </c>
      <c r="AF20" s="109" t="s">
        <v>5116</v>
      </c>
      <c r="AG20" s="109" t="s">
        <v>5117</v>
      </c>
      <c r="AH20" s="109" t="s">
        <v>5118</v>
      </c>
      <c r="AI20" s="108"/>
      <c r="AJ20" s="108"/>
      <c r="AK20" s="10" t="s">
        <v>5119</v>
      </c>
      <c r="AL20" s="109" t="s">
        <v>5120</v>
      </c>
      <c r="AM20" s="10" t="s">
        <v>5121</v>
      </c>
      <c r="AN20" s="10" t="s">
        <v>5122</v>
      </c>
      <c r="AO20" s="10" t="s">
        <v>5123</v>
      </c>
      <c r="AP20" s="10" t="s">
        <v>5124</v>
      </c>
      <c r="AQ20" s="109" t="s">
        <v>5125</v>
      </c>
      <c r="AR20" s="10" t="s">
        <v>5126</v>
      </c>
      <c r="AS20" s="10" t="s">
        <v>5127</v>
      </c>
      <c r="AT20" s="109" t="s">
        <v>5128</v>
      </c>
      <c r="AU20" s="10" t="s">
        <v>5129</v>
      </c>
      <c r="AV20" s="109" t="s">
        <v>5130</v>
      </c>
      <c r="AW20" s="110" t="s">
        <v>5131</v>
      </c>
      <c r="AX20" s="109" t="s">
        <v>5132</v>
      </c>
      <c r="AY20" s="109" t="s">
        <v>5105</v>
      </c>
      <c r="AZ20" s="109" t="s">
        <v>5105</v>
      </c>
      <c r="BA20" s="109" t="s">
        <v>5133</v>
      </c>
      <c r="BB20" s="109" t="s">
        <v>5066</v>
      </c>
      <c r="BC20" s="10" t="s">
        <v>5134</v>
      </c>
      <c r="BD20" s="180" t="s">
        <v>1361</v>
      </c>
      <c r="BE20" s="10" t="s">
        <v>5135</v>
      </c>
      <c r="BF20" s="180" t="s">
        <v>5136</v>
      </c>
      <c r="BG20" s="109" t="s">
        <v>5108</v>
      </c>
      <c r="BH20" s="10" t="s">
        <v>5137</v>
      </c>
      <c r="BI20" s="109" t="s">
        <v>5138</v>
      </c>
      <c r="BJ20" s="10" t="s">
        <v>5139</v>
      </c>
      <c r="BK20" s="109" t="s">
        <v>549</v>
      </c>
      <c r="BL20" s="110" t="s">
        <v>5140</v>
      </c>
      <c r="BM20" s="109" t="s">
        <v>5029</v>
      </c>
      <c r="BN20" s="109" t="s">
        <v>5066</v>
      </c>
    </row>
    <row r="21" ht="15.75" customHeight="1">
      <c r="A21" s="14" t="s">
        <v>644</v>
      </c>
      <c r="B21" s="14"/>
      <c r="C21" s="14">
        <v>12.0</v>
      </c>
      <c r="D21" s="178">
        <v>14.0</v>
      </c>
      <c r="E21" s="178">
        <v>19.0</v>
      </c>
      <c r="F21" s="178">
        <v>14.0</v>
      </c>
      <c r="G21" s="178">
        <v>17.0</v>
      </c>
      <c r="H21" s="14">
        <v>17.5</v>
      </c>
      <c r="I21" s="178">
        <v>17.0</v>
      </c>
      <c r="J21" s="178">
        <v>18.0</v>
      </c>
      <c r="K21" s="178">
        <v>18.5</v>
      </c>
      <c r="L21" s="14">
        <v>12.0</v>
      </c>
      <c r="M21" s="178">
        <v>18.0</v>
      </c>
      <c r="N21" s="178">
        <v>18.0</v>
      </c>
      <c r="O21" s="178">
        <v>15.0</v>
      </c>
      <c r="P21" s="178">
        <v>15.0</v>
      </c>
      <c r="Q21" s="182">
        <v>14.0</v>
      </c>
      <c r="R21" s="178">
        <v>14.5</v>
      </c>
      <c r="S21" s="14">
        <v>11.5</v>
      </c>
      <c r="T21" s="178">
        <v>16.0</v>
      </c>
      <c r="U21" s="178">
        <v>19.0</v>
      </c>
      <c r="V21" s="14">
        <v>15.0</v>
      </c>
      <c r="W21" s="178">
        <v>19.0</v>
      </c>
      <c r="X21" s="178">
        <v>19.0</v>
      </c>
      <c r="Y21" s="185">
        <v>15.0</v>
      </c>
      <c r="Z21" s="178">
        <v>18.5</v>
      </c>
      <c r="AA21" s="148"/>
      <c r="AB21" s="178">
        <v>18.0</v>
      </c>
      <c r="AC21" s="148"/>
      <c r="AD21" s="178">
        <v>19.0</v>
      </c>
      <c r="AE21" s="178">
        <v>19.0</v>
      </c>
      <c r="AF21" s="178">
        <v>17.0</v>
      </c>
      <c r="AG21" s="178">
        <v>19.0</v>
      </c>
      <c r="AH21" s="178">
        <v>18.5</v>
      </c>
      <c r="AI21" s="148"/>
      <c r="AJ21" s="148"/>
      <c r="AK21" s="14">
        <v>12.5</v>
      </c>
      <c r="AL21" s="178">
        <v>15.0</v>
      </c>
      <c r="AM21" s="14">
        <v>12.5</v>
      </c>
      <c r="AN21" s="14">
        <v>12.5</v>
      </c>
      <c r="AO21" s="14">
        <v>12.0</v>
      </c>
      <c r="AP21" s="14">
        <v>12.0</v>
      </c>
      <c r="AQ21" s="178">
        <v>19.0</v>
      </c>
      <c r="AR21" s="14">
        <v>12.5</v>
      </c>
      <c r="AS21" s="14">
        <v>12.5</v>
      </c>
      <c r="AT21" s="178">
        <v>17.0</v>
      </c>
      <c r="AU21" s="14">
        <v>13.5</v>
      </c>
      <c r="AV21" s="178"/>
      <c r="AW21" s="183">
        <v>11.75</v>
      </c>
      <c r="AX21" s="178">
        <v>15.0</v>
      </c>
      <c r="AY21" s="178">
        <v>15.0</v>
      </c>
      <c r="AZ21" s="178">
        <v>18.5</v>
      </c>
      <c r="BA21" s="178">
        <v>13.0</v>
      </c>
      <c r="BB21" s="178">
        <v>14.5</v>
      </c>
      <c r="BC21" s="14">
        <v>12.0</v>
      </c>
      <c r="BD21" s="182">
        <v>12.5</v>
      </c>
      <c r="BE21" s="14">
        <v>13.0</v>
      </c>
      <c r="BF21" s="182">
        <v>14.0</v>
      </c>
      <c r="BG21" s="178">
        <v>19.0</v>
      </c>
      <c r="BH21" s="14">
        <v>12.75</v>
      </c>
      <c r="BI21" s="178">
        <v>16.0</v>
      </c>
      <c r="BJ21" s="14">
        <v>13.0</v>
      </c>
      <c r="BK21" s="178">
        <v>14.0</v>
      </c>
      <c r="BL21" s="183">
        <v>15.25</v>
      </c>
      <c r="BM21" s="178">
        <v>18.5</v>
      </c>
      <c r="BN21" s="178">
        <v>20.0</v>
      </c>
    </row>
    <row r="22" ht="15.75" customHeight="1">
      <c r="A22" s="27">
        <v>45562.0</v>
      </c>
      <c r="B22" s="10"/>
      <c r="C22" s="110" t="s">
        <v>5141</v>
      </c>
      <c r="D22" s="10" t="s">
        <v>5142</v>
      </c>
      <c r="E22" s="10" t="s">
        <v>5143</v>
      </c>
      <c r="F22" s="10" t="s">
        <v>5144</v>
      </c>
      <c r="G22" s="10" t="s">
        <v>5144</v>
      </c>
      <c r="H22" s="10" t="s">
        <v>5145</v>
      </c>
      <c r="I22" s="10" t="s">
        <v>5146</v>
      </c>
      <c r="J22" s="10" t="s">
        <v>1211</v>
      </c>
      <c r="K22" s="10" t="s">
        <v>1211</v>
      </c>
      <c r="L22" s="10" t="s">
        <v>5147</v>
      </c>
      <c r="M22" s="10" t="s">
        <v>1211</v>
      </c>
      <c r="N22" s="10" t="s">
        <v>5108</v>
      </c>
      <c r="O22" s="10" t="s">
        <v>5148</v>
      </c>
      <c r="P22" s="10" t="s">
        <v>5144</v>
      </c>
      <c r="Q22" s="10" t="s">
        <v>5149</v>
      </c>
      <c r="R22" s="109" t="s">
        <v>5150</v>
      </c>
      <c r="S22" s="10" t="s">
        <v>5151</v>
      </c>
      <c r="T22" s="10" t="s">
        <v>5152</v>
      </c>
      <c r="U22" s="10" t="s">
        <v>5153</v>
      </c>
      <c r="V22" s="10" t="s">
        <v>5154</v>
      </c>
      <c r="W22" s="10" t="s">
        <v>5155</v>
      </c>
      <c r="X22" s="10" t="s">
        <v>5156</v>
      </c>
      <c r="Y22" s="184" t="s">
        <v>1586</v>
      </c>
      <c r="Z22" s="10" t="s">
        <v>5066</v>
      </c>
      <c r="AA22" s="108"/>
      <c r="AB22" s="10" t="s">
        <v>5157</v>
      </c>
      <c r="AC22" s="108"/>
      <c r="AD22" s="109" t="s">
        <v>5158</v>
      </c>
      <c r="AE22" s="109" t="s">
        <v>5144</v>
      </c>
      <c r="AF22" s="109" t="s">
        <v>5159</v>
      </c>
      <c r="AG22" s="109" t="s">
        <v>5160</v>
      </c>
      <c r="AH22" s="109" t="s">
        <v>5161</v>
      </c>
      <c r="AI22" s="108"/>
      <c r="AJ22" s="108"/>
      <c r="AK22" s="10" t="s">
        <v>5162</v>
      </c>
      <c r="AL22" s="109" t="s">
        <v>5163</v>
      </c>
      <c r="AM22" s="10" t="s">
        <v>5164</v>
      </c>
      <c r="AN22" s="10" t="s">
        <v>5165</v>
      </c>
      <c r="AO22" s="10" t="s">
        <v>5166</v>
      </c>
      <c r="AP22" s="10" t="s">
        <v>5167</v>
      </c>
      <c r="AQ22" s="109" t="s">
        <v>5168</v>
      </c>
      <c r="AR22" s="110" t="s">
        <v>5169</v>
      </c>
      <c r="AS22" s="10" t="s">
        <v>5170</v>
      </c>
      <c r="AT22" s="10" t="s">
        <v>5171</v>
      </c>
      <c r="AU22" s="186" t="s">
        <v>5172</v>
      </c>
      <c r="AV22" s="109" t="s">
        <v>5173</v>
      </c>
      <c r="AW22" s="84" t="s">
        <v>5174</v>
      </c>
      <c r="AX22" s="109" t="s">
        <v>5065</v>
      </c>
      <c r="AY22" s="109" t="s">
        <v>5175</v>
      </c>
      <c r="AZ22" s="10" t="s">
        <v>5176</v>
      </c>
      <c r="BA22" s="109" t="s">
        <v>5105</v>
      </c>
      <c r="BB22" s="109" t="s">
        <v>5056</v>
      </c>
      <c r="BC22" s="10" t="s">
        <v>5177</v>
      </c>
      <c r="BD22" s="109" t="s">
        <v>5178</v>
      </c>
      <c r="BE22" s="10" t="s">
        <v>5179</v>
      </c>
      <c r="BF22" s="109" t="s">
        <v>5180</v>
      </c>
      <c r="BG22" s="109" t="s">
        <v>5181</v>
      </c>
      <c r="BH22" s="10" t="s">
        <v>5182</v>
      </c>
      <c r="BI22" s="109" t="s">
        <v>5138</v>
      </c>
      <c r="BJ22" s="10" t="s">
        <v>5183</v>
      </c>
      <c r="BK22" s="109" t="s">
        <v>5184</v>
      </c>
      <c r="BL22" s="110" t="s">
        <v>1586</v>
      </c>
      <c r="BM22" s="109" t="s">
        <v>5185</v>
      </c>
      <c r="BN22" s="109" t="s">
        <v>5185</v>
      </c>
    </row>
    <row r="23" ht="15.75" customHeight="1">
      <c r="A23" s="14" t="s">
        <v>686</v>
      </c>
      <c r="B23" s="14"/>
      <c r="C23" s="183">
        <v>12.5</v>
      </c>
      <c r="D23" s="14">
        <v>16.0</v>
      </c>
      <c r="E23" s="14">
        <v>22.0</v>
      </c>
      <c r="F23" s="14">
        <v>16.0</v>
      </c>
      <c r="G23" s="14">
        <v>19.0</v>
      </c>
      <c r="H23" s="14">
        <v>19.5</v>
      </c>
      <c r="I23" s="14">
        <v>20.0</v>
      </c>
      <c r="J23" s="14">
        <v>20.0</v>
      </c>
      <c r="K23" s="14">
        <v>20.5</v>
      </c>
      <c r="L23" s="14">
        <v>14.0</v>
      </c>
      <c r="M23" s="14">
        <v>20.0</v>
      </c>
      <c r="N23" s="14">
        <v>20.0</v>
      </c>
      <c r="O23" s="14">
        <v>17.0</v>
      </c>
      <c r="P23" s="14">
        <v>17.0</v>
      </c>
      <c r="Q23" s="14">
        <v>17.0</v>
      </c>
      <c r="R23" s="178">
        <v>16.5</v>
      </c>
      <c r="S23" s="14"/>
      <c r="T23" s="14">
        <v>18.0</v>
      </c>
      <c r="U23" s="14">
        <v>22.0</v>
      </c>
      <c r="V23" s="14">
        <v>18.0</v>
      </c>
      <c r="W23" s="14">
        <v>22.0</v>
      </c>
      <c r="X23" s="14">
        <v>22.0</v>
      </c>
      <c r="Y23" s="185"/>
      <c r="Z23" s="14">
        <v>20.5</v>
      </c>
      <c r="AA23" s="148"/>
      <c r="AB23" s="14">
        <v>21.0</v>
      </c>
      <c r="AC23" s="148"/>
      <c r="AD23" s="178">
        <v>21.0</v>
      </c>
      <c r="AE23" s="178">
        <v>21.0</v>
      </c>
      <c r="AF23" s="178">
        <v>19.0</v>
      </c>
      <c r="AG23" s="187">
        <v>21.0</v>
      </c>
      <c r="AH23" s="187">
        <v>20.5</v>
      </c>
      <c r="AI23" s="148"/>
      <c r="AJ23" s="148"/>
      <c r="AK23" s="14">
        <v>13.5</v>
      </c>
      <c r="AL23" s="178">
        <v>17.0</v>
      </c>
      <c r="AM23" s="14"/>
      <c r="AN23" s="14"/>
      <c r="AO23" s="14"/>
      <c r="AP23" s="14"/>
      <c r="AQ23" s="178"/>
      <c r="AR23" s="183"/>
      <c r="AS23" s="14"/>
      <c r="AT23" s="14">
        <v>19.0</v>
      </c>
      <c r="AU23" s="14">
        <v>13.5</v>
      </c>
      <c r="AV23" s="178">
        <v>17.0</v>
      </c>
      <c r="AW23" s="149"/>
      <c r="AX23" s="178">
        <v>17.0</v>
      </c>
      <c r="AY23" s="178">
        <v>17.0</v>
      </c>
      <c r="AZ23" s="14">
        <v>20.0</v>
      </c>
      <c r="BA23" s="178"/>
      <c r="BB23" s="178" t="s">
        <v>5186</v>
      </c>
      <c r="BC23" s="14"/>
      <c r="BD23" s="178">
        <v>13.5</v>
      </c>
      <c r="BE23" s="14"/>
      <c r="BF23" s="178">
        <v>15.0</v>
      </c>
      <c r="BG23" s="178">
        <v>22.0</v>
      </c>
      <c r="BH23" s="14"/>
      <c r="BI23" s="178">
        <v>18.0</v>
      </c>
      <c r="BJ23" s="14">
        <v>14.5</v>
      </c>
      <c r="BK23" s="178">
        <v>16.5</v>
      </c>
      <c r="BL23" s="183" t="s">
        <v>1462</v>
      </c>
      <c r="BM23" s="178"/>
      <c r="BN23" s="178"/>
    </row>
    <row r="24" ht="15.75" customHeight="1">
      <c r="A24" s="27">
        <v>45564.0</v>
      </c>
      <c r="B24" s="10" t="s">
        <v>5187</v>
      </c>
      <c r="C24" s="110" t="s">
        <v>5188</v>
      </c>
      <c r="D24" s="109" t="s">
        <v>5019</v>
      </c>
      <c r="E24" s="188"/>
      <c r="F24" s="109" t="s">
        <v>5030</v>
      </c>
      <c r="G24" s="109" t="s">
        <v>5030</v>
      </c>
      <c r="H24" s="109" t="s">
        <v>5189</v>
      </c>
      <c r="I24" s="188"/>
      <c r="J24" s="188"/>
      <c r="K24" s="188"/>
      <c r="L24" s="110" t="s">
        <v>5190</v>
      </c>
      <c r="M24" s="188"/>
      <c r="N24" s="109" t="s">
        <v>5108</v>
      </c>
      <c r="O24" s="109" t="s">
        <v>5144</v>
      </c>
      <c r="P24" s="109" t="s">
        <v>5108</v>
      </c>
      <c r="Q24" s="109" t="s">
        <v>5138</v>
      </c>
      <c r="R24" s="109" t="s">
        <v>5105</v>
      </c>
      <c r="S24" s="84" t="s">
        <v>5191</v>
      </c>
      <c r="T24" s="109" t="s">
        <v>5108</v>
      </c>
      <c r="U24" s="188"/>
      <c r="V24" s="109" t="s">
        <v>5108</v>
      </c>
      <c r="W24" s="109" t="s">
        <v>5108</v>
      </c>
      <c r="X24" s="109" t="s">
        <v>5108</v>
      </c>
      <c r="Y24" s="184" t="s">
        <v>1586</v>
      </c>
      <c r="Z24" s="109" t="s">
        <v>5066</v>
      </c>
      <c r="AA24" s="108"/>
      <c r="AB24" s="109" t="s">
        <v>5105</v>
      </c>
      <c r="AC24" s="108"/>
      <c r="AD24" s="109"/>
      <c r="AE24" s="109"/>
      <c r="AF24" s="109"/>
      <c r="AG24" s="109" t="s">
        <v>5105</v>
      </c>
      <c r="AH24" s="108"/>
      <c r="AI24" s="108"/>
      <c r="AJ24" s="108"/>
      <c r="AK24" s="110" t="s">
        <v>5192</v>
      </c>
      <c r="AL24" s="109" t="s">
        <v>5193</v>
      </c>
      <c r="AM24" s="110" t="s">
        <v>5194</v>
      </c>
      <c r="AN24" s="110" t="s">
        <v>5195</v>
      </c>
      <c r="AO24" s="110" t="s">
        <v>5196</v>
      </c>
      <c r="AP24" s="110" t="s">
        <v>5197</v>
      </c>
      <c r="AQ24" s="109" t="s">
        <v>5168</v>
      </c>
      <c r="AR24" s="84" t="s">
        <v>5198</v>
      </c>
      <c r="AS24" s="110" t="s">
        <v>5199</v>
      </c>
      <c r="AT24" s="109" t="s">
        <v>5200</v>
      </c>
      <c r="AU24" s="109" t="s">
        <v>5201</v>
      </c>
      <c r="AV24" s="109" t="s">
        <v>5202</v>
      </c>
      <c r="AW24" s="84" t="s">
        <v>5203</v>
      </c>
      <c r="AX24" s="109" t="s">
        <v>1211</v>
      </c>
      <c r="AY24" s="109" t="s">
        <v>5204</v>
      </c>
      <c r="AZ24" s="109" t="s">
        <v>5205</v>
      </c>
      <c r="BA24" s="109" t="s">
        <v>5108</v>
      </c>
      <c r="BB24" s="109" t="s">
        <v>5206</v>
      </c>
      <c r="BC24" s="10" t="s">
        <v>5207</v>
      </c>
      <c r="BD24" s="109" t="s">
        <v>5208</v>
      </c>
      <c r="BE24" s="10" t="s">
        <v>5209</v>
      </c>
      <c r="BF24" s="109" t="s">
        <v>5210</v>
      </c>
      <c r="BG24" s="109" t="s">
        <v>5211</v>
      </c>
      <c r="BH24" s="10" t="s">
        <v>5212</v>
      </c>
      <c r="BI24" s="109" t="s">
        <v>5213</v>
      </c>
      <c r="BJ24" s="10" t="s">
        <v>5214</v>
      </c>
      <c r="BK24" s="109" t="s">
        <v>5215</v>
      </c>
      <c r="BL24" s="110" t="s">
        <v>5216</v>
      </c>
      <c r="BM24" s="109" t="s">
        <v>5217</v>
      </c>
      <c r="BN24" s="108"/>
    </row>
    <row r="25" ht="15.75" customHeight="1">
      <c r="A25" s="14" t="s">
        <v>728</v>
      </c>
      <c r="B25" s="14"/>
      <c r="C25" s="183">
        <v>13.0</v>
      </c>
      <c r="D25" s="178">
        <v>18.0</v>
      </c>
      <c r="E25" s="189"/>
      <c r="F25" s="178">
        <v>18.0</v>
      </c>
      <c r="G25" s="178">
        <v>21.0</v>
      </c>
      <c r="H25" s="178">
        <v>21.5</v>
      </c>
      <c r="I25" s="189"/>
      <c r="J25" s="189"/>
      <c r="K25" s="189"/>
      <c r="L25" s="183">
        <v>14.5</v>
      </c>
      <c r="M25" s="189"/>
      <c r="N25" s="178">
        <v>22.0</v>
      </c>
      <c r="O25" s="178">
        <v>19.0</v>
      </c>
      <c r="P25" s="178">
        <v>19.0</v>
      </c>
      <c r="Q25" s="178">
        <v>19.0</v>
      </c>
      <c r="R25" s="178">
        <v>18.5</v>
      </c>
      <c r="S25" s="149"/>
      <c r="T25" s="178">
        <v>20.0</v>
      </c>
      <c r="U25" s="189"/>
      <c r="V25" s="178">
        <v>20.0</v>
      </c>
      <c r="W25" s="178">
        <v>24.0</v>
      </c>
      <c r="X25" s="178">
        <v>24.0</v>
      </c>
      <c r="Y25" s="185"/>
      <c r="Z25" s="178">
        <v>22.5</v>
      </c>
      <c r="AA25" s="148"/>
      <c r="AB25" s="178">
        <v>23.0</v>
      </c>
      <c r="AC25" s="148"/>
      <c r="AD25" s="178"/>
      <c r="AE25" s="178"/>
      <c r="AF25" s="178"/>
      <c r="AG25" s="178">
        <v>23.0</v>
      </c>
      <c r="AH25" s="148"/>
      <c r="AI25" s="148"/>
      <c r="AJ25" s="148"/>
      <c r="AK25" s="183"/>
      <c r="AL25" s="178">
        <v>19.0</v>
      </c>
      <c r="AM25" s="183"/>
      <c r="AN25" s="183"/>
      <c r="AO25" s="183"/>
      <c r="AP25" s="183"/>
      <c r="AQ25" s="178"/>
      <c r="AR25" s="149"/>
      <c r="AS25" s="183"/>
      <c r="AT25" s="178">
        <v>21.0</v>
      </c>
      <c r="AU25" s="178">
        <v>16.5</v>
      </c>
      <c r="AV25" s="178">
        <v>19.0</v>
      </c>
      <c r="AW25" s="149"/>
      <c r="AX25" s="178">
        <v>19.0</v>
      </c>
      <c r="AY25" s="178">
        <v>20.0</v>
      </c>
      <c r="AZ25" s="178">
        <v>22.0</v>
      </c>
      <c r="BA25" s="178"/>
      <c r="BB25" s="178">
        <v>18.5</v>
      </c>
      <c r="BC25" s="14"/>
      <c r="BD25" s="178"/>
      <c r="BE25" s="14"/>
      <c r="BF25" s="178">
        <v>17.0</v>
      </c>
      <c r="BG25" s="178">
        <v>25.0</v>
      </c>
      <c r="BH25" s="14"/>
      <c r="BI25" s="178">
        <v>20.0</v>
      </c>
      <c r="BJ25" s="14"/>
      <c r="BK25" s="178">
        <v>18.5</v>
      </c>
      <c r="BL25" s="183"/>
      <c r="BM25" s="178"/>
      <c r="BN25" s="148"/>
    </row>
    <row r="26" ht="15.75" customHeight="1">
      <c r="A26" s="27">
        <v>45565.0</v>
      </c>
      <c r="B26" s="10" t="s">
        <v>5218</v>
      </c>
      <c r="C26" s="110" t="s">
        <v>5219</v>
      </c>
      <c r="D26" s="188"/>
      <c r="E26" s="188"/>
      <c r="F26" s="188"/>
      <c r="G26" s="188"/>
      <c r="H26" s="188"/>
      <c r="I26" s="188"/>
      <c r="J26" s="188"/>
      <c r="K26" s="188"/>
      <c r="L26" s="110" t="s">
        <v>5220</v>
      </c>
      <c r="M26" s="188"/>
      <c r="N26" s="188"/>
      <c r="O26" s="188"/>
      <c r="P26" s="188"/>
      <c r="Q26" s="188"/>
      <c r="R26" s="188"/>
      <c r="S26" s="84" t="s">
        <v>5221</v>
      </c>
      <c r="T26" s="188"/>
      <c r="U26" s="188"/>
      <c r="V26" s="188"/>
      <c r="W26" s="188"/>
      <c r="X26" s="188"/>
      <c r="Y26" s="184" t="s">
        <v>5222</v>
      </c>
      <c r="Z26" s="188"/>
      <c r="AA26" s="188"/>
      <c r="AB26" s="188"/>
      <c r="AC26" s="108"/>
      <c r="AD26" s="108"/>
      <c r="AE26" s="108"/>
      <c r="AF26" s="108"/>
      <c r="AG26" s="108"/>
      <c r="AH26" s="108"/>
      <c r="AI26" s="108"/>
      <c r="AJ26" s="108"/>
      <c r="AK26" s="110" t="s">
        <v>5223</v>
      </c>
      <c r="AL26" s="188"/>
      <c r="AM26" s="84" t="s">
        <v>5224</v>
      </c>
      <c r="AN26" s="84" t="s">
        <v>5225</v>
      </c>
      <c r="AO26" s="84" t="s">
        <v>5226</v>
      </c>
      <c r="AP26" s="84" t="s">
        <v>5227</v>
      </c>
      <c r="AQ26" s="188"/>
      <c r="AR26" s="84" t="s">
        <v>5228</v>
      </c>
      <c r="AS26" s="84" t="s">
        <v>5229</v>
      </c>
      <c r="AT26" s="188"/>
      <c r="AU26" s="188"/>
      <c r="AV26" s="188"/>
      <c r="AW26" s="84" t="s">
        <v>5230</v>
      </c>
      <c r="AX26" s="188"/>
      <c r="AY26" s="188"/>
      <c r="AZ26" s="188"/>
      <c r="BA26" s="188"/>
      <c r="BB26" s="188"/>
      <c r="BC26" s="84" t="s">
        <v>5231</v>
      </c>
      <c r="BD26" s="108"/>
      <c r="BE26" s="84" t="s">
        <v>5232</v>
      </c>
      <c r="BF26" s="108"/>
      <c r="BG26" s="188"/>
      <c r="BH26" s="86" t="s">
        <v>5233</v>
      </c>
      <c r="BI26" s="188"/>
      <c r="BJ26" s="84" t="s">
        <v>5234</v>
      </c>
      <c r="BK26" s="188"/>
      <c r="BL26" s="84" t="s">
        <v>5235</v>
      </c>
      <c r="BM26" s="108"/>
      <c r="BN26" s="108"/>
    </row>
    <row r="27" ht="15.75" customHeight="1">
      <c r="A27" s="14" t="s">
        <v>783</v>
      </c>
      <c r="B27" s="14"/>
      <c r="C27" s="14"/>
      <c r="D27" s="189"/>
      <c r="E27" s="189"/>
      <c r="F27" s="189"/>
      <c r="G27" s="189"/>
      <c r="H27" s="189"/>
      <c r="I27" s="189"/>
      <c r="J27" s="189"/>
      <c r="K27" s="189"/>
      <c r="L27" s="183"/>
      <c r="M27" s="189"/>
      <c r="N27" s="189"/>
      <c r="O27" s="189"/>
      <c r="P27" s="189"/>
      <c r="Q27" s="189"/>
      <c r="R27" s="189"/>
      <c r="S27" s="149"/>
      <c r="T27" s="189"/>
      <c r="U27" s="189"/>
      <c r="V27" s="189"/>
      <c r="W27" s="189"/>
      <c r="X27" s="189"/>
      <c r="Y27" s="185"/>
      <c r="Z27" s="189"/>
      <c r="AA27" s="189"/>
      <c r="AB27" s="189"/>
      <c r="AC27" s="148"/>
      <c r="AD27" s="148"/>
      <c r="AE27" s="148"/>
      <c r="AF27" s="148"/>
      <c r="AG27" s="148"/>
      <c r="AH27" s="148"/>
      <c r="AI27" s="148"/>
      <c r="AJ27" s="148"/>
      <c r="AK27" s="183"/>
      <c r="AL27" s="189"/>
      <c r="AM27" s="149"/>
      <c r="AN27" s="149"/>
      <c r="AO27" s="149"/>
      <c r="AP27" s="149"/>
      <c r="AQ27" s="189"/>
      <c r="AR27" s="149"/>
      <c r="AS27" s="149"/>
      <c r="AT27" s="189"/>
      <c r="AU27" s="189"/>
      <c r="AV27" s="189"/>
      <c r="AW27" s="149"/>
      <c r="AX27" s="189"/>
      <c r="AY27" s="189"/>
      <c r="AZ27" s="189"/>
      <c r="BA27" s="189"/>
      <c r="BB27" s="189"/>
      <c r="BC27" s="149"/>
      <c r="BD27" s="148"/>
      <c r="BE27" s="149"/>
      <c r="BF27" s="148"/>
      <c r="BG27" s="189"/>
      <c r="BH27" s="151"/>
      <c r="BI27" s="189"/>
      <c r="BJ27" s="149"/>
      <c r="BK27" s="189"/>
      <c r="BL27" s="149"/>
      <c r="BM27" s="148"/>
      <c r="BN27" s="148"/>
    </row>
    <row r="28" ht="15.75" customHeight="1">
      <c r="A28" s="27">
        <v>45566.0</v>
      </c>
      <c r="B28" s="10"/>
      <c r="C28" s="84" t="s">
        <v>5236</v>
      </c>
      <c r="D28" s="188"/>
      <c r="E28" s="188"/>
      <c r="F28" s="188"/>
      <c r="G28" s="188"/>
      <c r="H28" s="188"/>
      <c r="I28" s="188"/>
      <c r="J28" s="188"/>
      <c r="K28" s="188"/>
      <c r="L28" s="110" t="s">
        <v>5237</v>
      </c>
      <c r="M28" s="188"/>
      <c r="N28" s="188"/>
      <c r="O28" s="188"/>
      <c r="P28" s="188"/>
      <c r="Q28" s="188"/>
      <c r="R28" s="188"/>
      <c r="S28" s="84" t="s">
        <v>5238</v>
      </c>
      <c r="T28" s="188"/>
      <c r="U28" s="188"/>
      <c r="V28" s="188"/>
      <c r="W28" s="188"/>
      <c r="X28" s="188"/>
      <c r="Y28" s="190" t="s">
        <v>5239</v>
      </c>
      <c r="Z28" s="188"/>
      <c r="AA28" s="188"/>
      <c r="AB28" s="188"/>
      <c r="AC28" s="108"/>
      <c r="AD28" s="108"/>
      <c r="AE28" s="108"/>
      <c r="AF28" s="108"/>
      <c r="AG28" s="108"/>
      <c r="AH28" s="108"/>
      <c r="AI28" s="108"/>
      <c r="AJ28" s="108"/>
      <c r="AK28" s="110" t="s">
        <v>5240</v>
      </c>
      <c r="AL28" s="188"/>
      <c r="AM28" s="84" t="s">
        <v>5241</v>
      </c>
      <c r="AN28" s="84" t="s">
        <v>5242</v>
      </c>
      <c r="AO28" s="84" t="s">
        <v>5243</v>
      </c>
      <c r="AP28" s="84" t="s">
        <v>5244</v>
      </c>
      <c r="AQ28" s="188"/>
      <c r="AR28" s="84" t="s">
        <v>5245</v>
      </c>
      <c r="AS28" s="84" t="s">
        <v>5246</v>
      </c>
      <c r="AT28" s="188"/>
      <c r="AU28" s="188"/>
      <c r="AV28" s="188"/>
      <c r="AW28" s="84" t="s">
        <v>5247</v>
      </c>
      <c r="AX28" s="188"/>
      <c r="AY28" s="188"/>
      <c r="AZ28" s="188"/>
      <c r="BA28" s="188"/>
      <c r="BB28" s="188"/>
      <c r="BC28" s="84" t="s">
        <v>5248</v>
      </c>
      <c r="BD28" s="108"/>
      <c r="BE28" s="84" t="s">
        <v>5249</v>
      </c>
      <c r="BF28" s="108"/>
      <c r="BG28" s="188"/>
      <c r="BH28" s="86" t="s">
        <v>5250</v>
      </c>
      <c r="BI28" s="188"/>
      <c r="BJ28" s="84" t="s">
        <v>5251</v>
      </c>
      <c r="BK28" s="188"/>
      <c r="BL28" s="84" t="s">
        <v>5252</v>
      </c>
      <c r="BM28" s="108"/>
      <c r="BN28" s="108"/>
    </row>
    <row r="29" ht="15.75" customHeight="1">
      <c r="A29" s="14" t="s">
        <v>837</v>
      </c>
      <c r="B29" s="14"/>
      <c r="C29" s="14"/>
      <c r="D29" s="189"/>
      <c r="E29" s="189"/>
      <c r="F29" s="189"/>
      <c r="G29" s="189"/>
      <c r="H29" s="189"/>
      <c r="I29" s="189"/>
      <c r="J29" s="189"/>
      <c r="K29" s="189"/>
      <c r="L29" s="183"/>
      <c r="M29" s="189"/>
      <c r="N29" s="189"/>
      <c r="O29" s="189"/>
      <c r="P29" s="189"/>
      <c r="Q29" s="189"/>
      <c r="R29" s="189"/>
      <c r="S29" s="149"/>
      <c r="T29" s="189"/>
      <c r="U29" s="189"/>
      <c r="V29" s="189"/>
      <c r="W29" s="189"/>
      <c r="X29" s="189"/>
      <c r="Y29" s="14"/>
      <c r="Z29" s="189"/>
      <c r="AA29" s="189"/>
      <c r="AB29" s="189"/>
      <c r="AC29" s="148"/>
      <c r="AD29" s="148"/>
      <c r="AE29" s="148"/>
      <c r="AF29" s="148"/>
      <c r="AG29" s="148"/>
      <c r="AH29" s="148"/>
      <c r="AI29" s="148"/>
      <c r="AJ29" s="148"/>
      <c r="AK29" s="183"/>
      <c r="AL29" s="189"/>
      <c r="AM29" s="149"/>
      <c r="AN29" s="149"/>
      <c r="AO29" s="149"/>
      <c r="AP29" s="149"/>
      <c r="AQ29" s="189"/>
      <c r="AR29" s="149"/>
      <c r="AS29" s="149"/>
      <c r="AT29" s="189"/>
      <c r="AU29" s="189"/>
      <c r="AV29" s="189"/>
      <c r="AW29" s="149"/>
      <c r="AX29" s="189"/>
      <c r="AY29" s="189"/>
      <c r="AZ29" s="189"/>
      <c r="BA29" s="189"/>
      <c r="BB29" s="189"/>
      <c r="BC29" s="149"/>
      <c r="BD29" s="148"/>
      <c r="BE29" s="149"/>
      <c r="BF29" s="148"/>
      <c r="BG29" s="189"/>
      <c r="BH29" s="151"/>
      <c r="BI29" s="189"/>
      <c r="BJ29" s="149"/>
      <c r="BK29" s="189"/>
      <c r="BL29" s="149"/>
      <c r="BM29" s="148"/>
      <c r="BN29" s="148"/>
    </row>
    <row r="30" ht="15.75" customHeight="1">
      <c r="A30" s="27">
        <v>45567.0</v>
      </c>
      <c r="B30" s="10"/>
      <c r="C30" s="184" t="s">
        <v>5253</v>
      </c>
      <c r="D30" s="188"/>
      <c r="E30" s="188"/>
      <c r="F30" s="188"/>
      <c r="G30" s="188"/>
      <c r="H30" s="188"/>
      <c r="I30" s="188"/>
      <c r="J30" s="188"/>
      <c r="K30" s="188"/>
      <c r="L30" s="110" t="s">
        <v>5254</v>
      </c>
      <c r="M30" s="188"/>
      <c r="N30" s="188"/>
      <c r="O30" s="188"/>
      <c r="P30" s="188"/>
      <c r="Q30" s="188"/>
      <c r="R30" s="188"/>
      <c r="S30" s="184" t="s">
        <v>5255</v>
      </c>
      <c r="T30" s="188"/>
      <c r="U30" s="188"/>
      <c r="V30" s="188"/>
      <c r="W30" s="188"/>
      <c r="X30" s="188"/>
      <c r="Y30" s="190" t="s">
        <v>5256</v>
      </c>
      <c r="Z30" s="188"/>
      <c r="AA30" s="188"/>
      <c r="AB30" s="188"/>
      <c r="AC30" s="108"/>
      <c r="AD30" s="108"/>
      <c r="AE30" s="108"/>
      <c r="AF30" s="108"/>
      <c r="AG30" s="108"/>
      <c r="AH30" s="108"/>
      <c r="AI30" s="108"/>
      <c r="AJ30" s="108"/>
      <c r="AK30" s="84" t="s">
        <v>5257</v>
      </c>
      <c r="AL30" s="188"/>
      <c r="AM30" s="84" t="s">
        <v>5258</v>
      </c>
      <c r="AN30" s="84" t="s">
        <v>5259</v>
      </c>
      <c r="AO30" s="84" t="s">
        <v>5260</v>
      </c>
      <c r="AP30" s="84" t="s">
        <v>5261</v>
      </c>
      <c r="AQ30" s="188"/>
      <c r="AR30" s="184" t="s">
        <v>5262</v>
      </c>
      <c r="AS30" s="184" t="s">
        <v>5263</v>
      </c>
      <c r="AT30" s="188"/>
      <c r="AU30" s="188"/>
      <c r="AV30" s="188"/>
      <c r="AW30" s="184" t="s">
        <v>5264</v>
      </c>
      <c r="AX30" s="188"/>
      <c r="AY30" s="188"/>
      <c r="AZ30" s="188"/>
      <c r="BA30" s="188"/>
      <c r="BB30" s="188"/>
      <c r="BC30" s="84" t="s">
        <v>5265</v>
      </c>
      <c r="BD30" s="108"/>
      <c r="BE30" s="84" t="s">
        <v>5266</v>
      </c>
      <c r="BF30" s="108"/>
      <c r="BG30" s="188"/>
      <c r="BH30" s="86" t="s">
        <v>5250</v>
      </c>
      <c r="BI30" s="188"/>
      <c r="BJ30" s="84" t="s">
        <v>5267</v>
      </c>
      <c r="BK30" s="188"/>
      <c r="BL30" s="84" t="s">
        <v>5268</v>
      </c>
      <c r="BM30" s="108"/>
      <c r="BN30" s="108"/>
    </row>
    <row r="31" ht="15.75" customHeight="1">
      <c r="A31" s="14" t="s">
        <v>885</v>
      </c>
      <c r="B31" s="14"/>
      <c r="C31" s="14"/>
      <c r="D31" s="189"/>
      <c r="E31" s="189"/>
      <c r="F31" s="189"/>
      <c r="G31" s="189"/>
      <c r="H31" s="189"/>
      <c r="I31" s="189"/>
      <c r="J31" s="189"/>
      <c r="K31" s="189"/>
      <c r="L31" s="14"/>
      <c r="M31" s="189"/>
      <c r="N31" s="189"/>
      <c r="O31" s="189"/>
      <c r="P31" s="189"/>
      <c r="Q31" s="189"/>
      <c r="R31" s="189"/>
      <c r="S31" s="191"/>
      <c r="T31" s="189"/>
      <c r="U31" s="189"/>
      <c r="V31" s="189"/>
      <c r="W31" s="189"/>
      <c r="X31" s="189"/>
      <c r="Y31" s="14"/>
      <c r="Z31" s="189"/>
      <c r="AA31" s="189"/>
      <c r="AB31" s="189"/>
      <c r="AC31" s="148"/>
      <c r="AD31" s="148"/>
      <c r="AE31" s="148"/>
      <c r="AF31" s="148"/>
      <c r="AG31" s="148"/>
      <c r="AH31" s="148"/>
      <c r="AI31" s="148"/>
      <c r="AJ31" s="148"/>
      <c r="AK31" s="14"/>
      <c r="AL31" s="189"/>
      <c r="AM31" s="149"/>
      <c r="AN31" s="149"/>
      <c r="AO31" s="149"/>
      <c r="AP31" s="149"/>
      <c r="AQ31" s="189"/>
      <c r="AR31" s="149"/>
      <c r="AS31" s="149"/>
      <c r="AT31" s="189"/>
      <c r="AU31" s="189"/>
      <c r="AV31" s="189"/>
      <c r="AW31" s="149"/>
      <c r="AX31" s="189"/>
      <c r="AY31" s="189"/>
      <c r="AZ31" s="189"/>
      <c r="BA31" s="189"/>
      <c r="BB31" s="189"/>
      <c r="BC31" s="149"/>
      <c r="BD31" s="148"/>
      <c r="BE31" s="149"/>
      <c r="BF31" s="148"/>
      <c r="BG31" s="189"/>
      <c r="BH31" s="151"/>
      <c r="BI31" s="189"/>
      <c r="BJ31" s="149"/>
      <c r="BK31" s="189"/>
      <c r="BL31" s="149"/>
      <c r="BM31" s="148"/>
      <c r="BN31" s="148"/>
    </row>
    <row r="32" ht="15.75" customHeight="1">
      <c r="A32" s="27">
        <v>45568.0</v>
      </c>
      <c r="B32" s="10"/>
      <c r="C32" s="190" t="s">
        <v>5269</v>
      </c>
      <c r="D32" s="188"/>
      <c r="E32" s="188"/>
      <c r="F32" s="188"/>
      <c r="G32" s="188"/>
      <c r="H32" s="188"/>
      <c r="I32" s="188"/>
      <c r="J32" s="188"/>
      <c r="K32" s="188"/>
      <c r="L32" s="10" t="s">
        <v>5270</v>
      </c>
      <c r="M32" s="188"/>
      <c r="N32" s="188"/>
      <c r="O32" s="188"/>
      <c r="P32" s="188"/>
      <c r="Q32" s="188"/>
      <c r="R32" s="188"/>
      <c r="S32" s="192" t="s">
        <v>5271</v>
      </c>
      <c r="T32" s="188"/>
      <c r="U32" s="188"/>
      <c r="V32" s="188"/>
      <c r="W32" s="188"/>
      <c r="X32" s="188"/>
      <c r="Y32" s="190" t="s">
        <v>5272</v>
      </c>
      <c r="Z32" s="188"/>
      <c r="AA32" s="188"/>
      <c r="AB32" s="188"/>
      <c r="AC32" s="108"/>
      <c r="AD32" s="108"/>
      <c r="AE32" s="108"/>
      <c r="AF32" s="108"/>
      <c r="AG32" s="108"/>
      <c r="AH32" s="108"/>
      <c r="AI32" s="108"/>
      <c r="AJ32" s="108"/>
      <c r="AK32" s="190" t="s">
        <v>5273</v>
      </c>
      <c r="AL32" s="188"/>
      <c r="AM32" s="190" t="s">
        <v>5274</v>
      </c>
      <c r="AN32" s="190" t="s">
        <v>5275</v>
      </c>
      <c r="AO32" s="184" t="s">
        <v>5276</v>
      </c>
      <c r="AP32" s="184" t="s">
        <v>5277</v>
      </c>
      <c r="AQ32" s="188"/>
      <c r="AR32" s="84" t="s">
        <v>5278</v>
      </c>
      <c r="AS32" s="84" t="s">
        <v>5279</v>
      </c>
      <c r="AT32" s="188"/>
      <c r="AU32" s="188"/>
      <c r="AV32" s="188"/>
      <c r="AW32" s="184" t="s">
        <v>5280</v>
      </c>
      <c r="AX32" s="188"/>
      <c r="AY32" s="188"/>
      <c r="AZ32" s="188"/>
      <c r="BA32" s="188"/>
      <c r="BB32" s="188"/>
      <c r="BC32" s="10" t="s">
        <v>5281</v>
      </c>
      <c r="BD32" s="108"/>
      <c r="BE32" s="190" t="s">
        <v>5282</v>
      </c>
      <c r="BF32" s="108"/>
      <c r="BG32" s="188"/>
      <c r="BH32" s="86" t="s">
        <v>5250</v>
      </c>
      <c r="BI32" s="188"/>
      <c r="BJ32" s="190" t="s">
        <v>5283</v>
      </c>
      <c r="BK32" s="188"/>
      <c r="BL32" s="190" t="s">
        <v>5284</v>
      </c>
      <c r="BM32" s="108"/>
      <c r="BN32" s="108"/>
    </row>
    <row r="33" ht="15.75" customHeight="1">
      <c r="A33" s="14" t="s">
        <v>4088</v>
      </c>
      <c r="B33" s="14"/>
      <c r="C33" s="14"/>
      <c r="D33" s="189"/>
      <c r="E33" s="189"/>
      <c r="F33" s="189"/>
      <c r="G33" s="189"/>
      <c r="H33" s="189"/>
      <c r="I33" s="189"/>
      <c r="J33" s="189"/>
      <c r="K33" s="189"/>
      <c r="L33" s="189"/>
      <c r="M33" s="189"/>
      <c r="N33" s="189"/>
      <c r="O33" s="189"/>
      <c r="P33" s="189"/>
      <c r="Q33" s="189"/>
      <c r="R33" s="189"/>
      <c r="S33" s="191"/>
      <c r="T33" s="189"/>
      <c r="U33" s="189"/>
      <c r="V33" s="189"/>
      <c r="W33" s="189"/>
      <c r="X33" s="189"/>
      <c r="Y33" s="14"/>
      <c r="Z33" s="189"/>
      <c r="AA33" s="189"/>
      <c r="AB33" s="189"/>
      <c r="AC33" s="148"/>
      <c r="AD33" s="148"/>
      <c r="AE33" s="148"/>
      <c r="AF33" s="148"/>
      <c r="AG33" s="148"/>
      <c r="AH33" s="148"/>
      <c r="AI33" s="148"/>
      <c r="AJ33" s="148"/>
      <c r="AK33" s="14"/>
      <c r="AL33" s="189"/>
      <c r="AM33" s="149"/>
      <c r="AN33" s="149"/>
      <c r="AO33" s="149"/>
      <c r="AP33" s="149"/>
      <c r="AQ33" s="189"/>
      <c r="AR33" s="149"/>
      <c r="AS33" s="149"/>
      <c r="AT33" s="189"/>
      <c r="AU33" s="189"/>
      <c r="AV33" s="189"/>
      <c r="AW33" s="149"/>
      <c r="AX33" s="189"/>
      <c r="AY33" s="189"/>
      <c r="AZ33" s="189"/>
      <c r="BA33" s="189"/>
      <c r="BB33" s="189"/>
      <c r="BC33" s="14"/>
      <c r="BD33" s="148"/>
      <c r="BE33" s="191"/>
      <c r="BF33" s="148"/>
      <c r="BG33" s="189"/>
      <c r="BH33" s="151"/>
      <c r="BI33" s="189"/>
      <c r="BJ33" s="149"/>
      <c r="BK33" s="189"/>
      <c r="BL33" s="191"/>
      <c r="BM33" s="148"/>
      <c r="BN33" s="148"/>
    </row>
    <row r="34" ht="15.75" customHeight="1">
      <c r="A34" s="27">
        <v>45569.0</v>
      </c>
      <c r="B34" s="10"/>
      <c r="C34" s="190" t="s">
        <v>5285</v>
      </c>
      <c r="D34" s="188"/>
      <c r="E34" s="188"/>
      <c r="F34" s="188"/>
      <c r="G34" s="188"/>
      <c r="H34" s="188"/>
      <c r="I34" s="188"/>
      <c r="J34" s="188"/>
      <c r="K34" s="188"/>
      <c r="L34" s="188"/>
      <c r="M34" s="188"/>
      <c r="N34" s="188"/>
      <c r="O34" s="188"/>
      <c r="P34" s="188"/>
      <c r="Q34" s="188"/>
      <c r="R34" s="188"/>
      <c r="S34" s="190" t="s">
        <v>5286</v>
      </c>
      <c r="T34" s="188"/>
      <c r="U34" s="188"/>
      <c r="V34" s="188"/>
      <c r="W34" s="188"/>
      <c r="X34" s="188"/>
      <c r="Y34" s="190" t="s">
        <v>5287</v>
      </c>
      <c r="Z34" s="188"/>
      <c r="AA34" s="188"/>
      <c r="AB34" s="188"/>
      <c r="AC34" s="108"/>
      <c r="AD34" s="108"/>
      <c r="AE34" s="108"/>
      <c r="AF34" s="108"/>
      <c r="AG34" s="108"/>
      <c r="AH34" s="108"/>
      <c r="AI34" s="108"/>
      <c r="AJ34" s="108"/>
      <c r="AK34" s="190" t="s">
        <v>5288</v>
      </c>
      <c r="AL34" s="188"/>
      <c r="AM34" s="190" t="s">
        <v>5288</v>
      </c>
      <c r="AN34" s="190" t="s">
        <v>5289</v>
      </c>
      <c r="AO34" s="190" t="s">
        <v>5290</v>
      </c>
      <c r="AP34" s="190" t="s">
        <v>5291</v>
      </c>
      <c r="AQ34" s="188"/>
      <c r="AR34" s="190" t="s">
        <v>5292</v>
      </c>
      <c r="AS34" s="190" t="s">
        <v>5293</v>
      </c>
      <c r="AT34" s="188"/>
      <c r="AU34" s="188"/>
      <c r="AV34" s="188"/>
      <c r="AW34" s="190" t="s">
        <v>5294</v>
      </c>
      <c r="AX34" s="188"/>
      <c r="AY34" s="188"/>
      <c r="AZ34" s="188"/>
      <c r="BA34" s="188"/>
      <c r="BB34" s="188"/>
      <c r="BC34" s="10" t="s">
        <v>5295</v>
      </c>
      <c r="BD34" s="108"/>
      <c r="BE34" s="190" t="s">
        <v>5296</v>
      </c>
      <c r="BF34" s="108"/>
      <c r="BG34" s="188"/>
      <c r="BH34" s="86" t="s">
        <v>5250</v>
      </c>
      <c r="BI34" s="188"/>
      <c r="BJ34" s="190" t="s">
        <v>5297</v>
      </c>
      <c r="BK34" s="188"/>
      <c r="BL34" s="190" t="s">
        <v>3062</v>
      </c>
      <c r="BM34" s="108"/>
      <c r="BN34" s="108"/>
    </row>
    <row r="35" ht="15.75" customHeight="1">
      <c r="A35" s="14" t="s">
        <v>5298</v>
      </c>
      <c r="B35" s="14"/>
      <c r="C35" s="191"/>
      <c r="D35" s="189"/>
      <c r="E35" s="189"/>
      <c r="F35" s="189"/>
      <c r="G35" s="189"/>
      <c r="H35" s="189"/>
      <c r="I35" s="189"/>
      <c r="J35" s="189"/>
      <c r="K35" s="189"/>
      <c r="L35" s="189"/>
      <c r="M35" s="189"/>
      <c r="N35" s="189"/>
      <c r="O35" s="189"/>
      <c r="P35" s="189"/>
      <c r="Q35" s="189"/>
      <c r="R35" s="189"/>
      <c r="S35" s="191"/>
      <c r="T35" s="189"/>
      <c r="U35" s="189"/>
      <c r="V35" s="189"/>
      <c r="W35" s="189"/>
      <c r="X35" s="189"/>
      <c r="Y35" s="191"/>
      <c r="Z35" s="189"/>
      <c r="AA35" s="189"/>
      <c r="AB35" s="189"/>
      <c r="AC35" s="148"/>
      <c r="AD35" s="148"/>
      <c r="AE35" s="148"/>
      <c r="AF35" s="148"/>
      <c r="AG35" s="148"/>
      <c r="AH35" s="148"/>
      <c r="AI35" s="148"/>
      <c r="AJ35" s="148"/>
      <c r="AK35" s="191"/>
      <c r="AL35" s="189"/>
      <c r="AM35" s="191"/>
      <c r="AN35" s="191"/>
      <c r="AO35" s="191"/>
      <c r="AP35" s="191"/>
      <c r="AQ35" s="189"/>
      <c r="AR35" s="191"/>
      <c r="AS35" s="191"/>
      <c r="AT35" s="189"/>
      <c r="AU35" s="189"/>
      <c r="AV35" s="189"/>
      <c r="AW35" s="191"/>
      <c r="AX35" s="189"/>
      <c r="AY35" s="189"/>
      <c r="AZ35" s="189"/>
      <c r="BA35" s="189"/>
      <c r="BB35" s="189"/>
      <c r="BC35" s="148"/>
      <c r="BD35" s="148"/>
      <c r="BE35" s="191"/>
      <c r="BF35" s="148"/>
      <c r="BG35" s="189"/>
      <c r="BH35" s="151"/>
      <c r="BI35" s="189"/>
      <c r="BJ35" s="191"/>
      <c r="BK35" s="189"/>
      <c r="BL35" s="191"/>
      <c r="BM35" s="148"/>
      <c r="BN35" s="148"/>
    </row>
    <row r="36" ht="15.75" customHeight="1">
      <c r="A36" s="27">
        <v>45572.0</v>
      </c>
      <c r="B36" s="10" t="s">
        <v>5299</v>
      </c>
      <c r="C36" s="190" t="s">
        <v>5300</v>
      </c>
      <c r="D36" s="188"/>
      <c r="E36" s="188"/>
      <c r="F36" s="188" t="s">
        <v>1523</v>
      </c>
      <c r="G36" s="188"/>
      <c r="H36" s="188"/>
      <c r="I36" s="188"/>
      <c r="J36" s="188"/>
      <c r="K36" s="188"/>
      <c r="L36" s="188"/>
      <c r="M36" s="188"/>
      <c r="N36" s="188"/>
      <c r="O36" s="188"/>
      <c r="P36" s="188"/>
      <c r="Q36" s="188"/>
      <c r="R36" s="188"/>
      <c r="S36" s="190" t="s">
        <v>5301</v>
      </c>
      <c r="T36" s="188"/>
      <c r="U36" s="188"/>
      <c r="V36" s="188"/>
      <c r="W36" s="188"/>
      <c r="X36" s="188"/>
      <c r="Y36" s="190" t="s">
        <v>5302</v>
      </c>
      <c r="Z36" s="188"/>
      <c r="AA36" s="188"/>
      <c r="AB36" s="188"/>
      <c r="AC36" s="108"/>
      <c r="AD36" s="108"/>
      <c r="AE36" s="108"/>
      <c r="AF36" s="108"/>
      <c r="AG36" s="108"/>
      <c r="AH36" s="108"/>
      <c r="AI36" s="108"/>
      <c r="AJ36" s="108"/>
      <c r="AK36" s="190" t="s">
        <v>5303</v>
      </c>
      <c r="AL36" s="188"/>
      <c r="AM36" s="190" t="s">
        <v>5304</v>
      </c>
      <c r="AN36" s="190" t="s">
        <v>5305</v>
      </c>
      <c r="AO36" s="190" t="s">
        <v>5306</v>
      </c>
      <c r="AP36" s="190" t="s">
        <v>5307</v>
      </c>
      <c r="AQ36" s="188"/>
      <c r="AR36" s="190" t="s">
        <v>5308</v>
      </c>
      <c r="AS36" s="190" t="s">
        <v>5309</v>
      </c>
      <c r="AT36" s="188"/>
      <c r="AU36" s="188"/>
      <c r="AV36" s="188"/>
      <c r="AW36" s="190" t="s">
        <v>5310</v>
      </c>
      <c r="AX36" s="188"/>
      <c r="AY36" s="188"/>
      <c r="AZ36" s="188"/>
      <c r="BA36" s="188"/>
      <c r="BB36" s="188"/>
      <c r="BC36" s="108"/>
      <c r="BD36" s="108"/>
      <c r="BE36" s="190" t="s">
        <v>5311</v>
      </c>
      <c r="BF36" s="108"/>
      <c r="BG36" s="188"/>
      <c r="BH36" s="86" t="s">
        <v>5250</v>
      </c>
      <c r="BI36" s="188"/>
      <c r="BJ36" s="190" t="s">
        <v>5312</v>
      </c>
      <c r="BK36" s="188"/>
      <c r="BL36" s="190" t="s">
        <v>5313</v>
      </c>
      <c r="BM36" s="108"/>
      <c r="BN36" s="108"/>
    </row>
    <row r="37" ht="15.75" customHeight="1">
      <c r="A37" s="14"/>
      <c r="B37" s="14"/>
      <c r="C37" s="191"/>
      <c r="D37" s="189"/>
      <c r="E37" s="189"/>
      <c r="F37" s="189"/>
      <c r="G37" s="189"/>
      <c r="H37" s="189"/>
      <c r="I37" s="189"/>
      <c r="J37" s="189"/>
      <c r="K37" s="189"/>
      <c r="L37" s="189"/>
      <c r="M37" s="189"/>
      <c r="N37" s="189"/>
      <c r="O37" s="189"/>
      <c r="P37" s="189"/>
      <c r="Q37" s="189"/>
      <c r="R37" s="189"/>
      <c r="S37" s="191"/>
      <c r="T37" s="189"/>
      <c r="U37" s="189"/>
      <c r="V37" s="189"/>
      <c r="W37" s="189"/>
      <c r="X37" s="189"/>
      <c r="Y37" s="191"/>
      <c r="Z37" s="189"/>
      <c r="AA37" s="189"/>
      <c r="AB37" s="189"/>
      <c r="AC37" s="148"/>
      <c r="AD37" s="148"/>
      <c r="AE37" s="148"/>
      <c r="AF37" s="148"/>
      <c r="AG37" s="148"/>
      <c r="AH37" s="148"/>
      <c r="AI37" s="148"/>
      <c r="AJ37" s="148"/>
      <c r="AK37" s="191"/>
      <c r="AL37" s="189"/>
      <c r="AM37" s="191"/>
      <c r="AN37" s="191"/>
      <c r="AO37" s="191"/>
      <c r="AP37" s="191"/>
      <c r="AQ37" s="189"/>
      <c r="AR37" s="191"/>
      <c r="AS37" s="191"/>
      <c r="AT37" s="189"/>
      <c r="AU37" s="189"/>
      <c r="AV37" s="189"/>
      <c r="AW37" s="191"/>
      <c r="AX37" s="189"/>
      <c r="AY37" s="189"/>
      <c r="AZ37" s="189"/>
      <c r="BA37" s="189"/>
      <c r="BB37" s="189"/>
      <c r="BC37" s="148"/>
      <c r="BD37" s="148"/>
      <c r="BE37" s="191"/>
      <c r="BF37" s="148"/>
      <c r="BG37" s="189"/>
      <c r="BH37" s="151"/>
      <c r="BI37" s="189"/>
      <c r="BJ37" s="191"/>
      <c r="BK37" s="189"/>
      <c r="BL37" s="191"/>
      <c r="BM37" s="148"/>
      <c r="BN37" s="148"/>
    </row>
    <row r="38" ht="15.75" customHeight="1">
      <c r="A38" s="27">
        <v>45573.0</v>
      </c>
      <c r="C38" s="190" t="s">
        <v>5314</v>
      </c>
      <c r="D38" s="188"/>
      <c r="E38" s="188"/>
      <c r="F38" s="188"/>
      <c r="G38" s="188"/>
      <c r="H38" s="188"/>
      <c r="I38" s="188"/>
      <c r="J38" s="188"/>
      <c r="K38" s="193"/>
      <c r="L38" s="188"/>
      <c r="M38" s="188"/>
      <c r="N38" s="188"/>
      <c r="O38" s="188"/>
      <c r="P38" s="188"/>
      <c r="Q38" s="188"/>
      <c r="R38" s="188"/>
      <c r="S38" s="190" t="s">
        <v>5315</v>
      </c>
      <c r="T38" s="188"/>
      <c r="U38" s="188"/>
      <c r="V38" s="188"/>
      <c r="W38" s="188"/>
      <c r="X38" s="188"/>
      <c r="Y38" s="190" t="s">
        <v>5316</v>
      </c>
      <c r="Z38" s="188"/>
      <c r="AA38" s="188"/>
      <c r="AB38" s="188"/>
      <c r="AC38" s="108"/>
      <c r="AD38" s="108"/>
      <c r="AE38" s="108"/>
      <c r="AF38" s="108"/>
      <c r="AG38" s="108"/>
      <c r="AH38" s="108"/>
      <c r="AI38" s="108"/>
      <c r="AJ38" s="108"/>
      <c r="AK38" s="190" t="s">
        <v>5317</v>
      </c>
      <c r="AL38" s="188"/>
      <c r="AM38" s="190" t="s">
        <v>5318</v>
      </c>
      <c r="AN38" s="190" t="s">
        <v>5319</v>
      </c>
      <c r="AO38" s="190" t="s">
        <v>5320</v>
      </c>
      <c r="AP38" s="190" t="s">
        <v>5321</v>
      </c>
      <c r="AQ38" s="188"/>
      <c r="AR38" s="190" t="s">
        <v>5322</v>
      </c>
      <c r="AS38" s="190" t="s">
        <v>5323</v>
      </c>
      <c r="AT38" s="188"/>
      <c r="AU38" s="188"/>
      <c r="AV38" s="188"/>
      <c r="AW38" s="190" t="s">
        <v>5324</v>
      </c>
      <c r="AX38" s="188"/>
      <c r="AY38" s="188"/>
      <c r="AZ38" s="188"/>
      <c r="BA38" s="188"/>
      <c r="BB38" s="188"/>
      <c r="BC38" s="108"/>
      <c r="BD38" s="108"/>
      <c r="BE38" s="190" t="s">
        <v>5325</v>
      </c>
      <c r="BF38" s="108"/>
      <c r="BG38" s="188"/>
      <c r="BH38" s="86" t="s">
        <v>5326</v>
      </c>
      <c r="BI38" s="188"/>
      <c r="BJ38" s="190" t="s">
        <v>5327</v>
      </c>
      <c r="BK38" s="188"/>
      <c r="BL38" s="190" t="s">
        <v>5328</v>
      </c>
      <c r="BM38" s="108"/>
      <c r="BN38" s="108"/>
    </row>
    <row r="39" ht="15.75" customHeight="1">
      <c r="A39" s="14"/>
      <c r="B39" s="14"/>
      <c r="C39" s="191"/>
      <c r="D39" s="189"/>
      <c r="E39" s="189"/>
      <c r="F39" s="189"/>
      <c r="G39" s="189"/>
      <c r="H39" s="189"/>
      <c r="I39" s="189"/>
      <c r="J39" s="189"/>
      <c r="K39" s="194"/>
      <c r="L39" s="189"/>
      <c r="M39" s="189"/>
      <c r="N39" s="189"/>
      <c r="O39" s="189"/>
      <c r="P39" s="189"/>
      <c r="Q39" s="189"/>
      <c r="R39" s="189"/>
      <c r="S39" s="191"/>
      <c r="T39" s="189"/>
      <c r="U39" s="189"/>
      <c r="V39" s="189"/>
      <c r="W39" s="189"/>
      <c r="X39" s="189"/>
      <c r="Y39" s="191"/>
      <c r="Z39" s="189"/>
      <c r="AA39" s="189"/>
      <c r="AB39" s="189"/>
      <c r="AC39" s="148"/>
      <c r="AD39" s="148"/>
      <c r="AE39" s="148"/>
      <c r="AF39" s="148"/>
      <c r="AG39" s="148"/>
      <c r="AH39" s="148"/>
      <c r="AI39" s="148"/>
      <c r="AJ39" s="148"/>
      <c r="AK39" s="191"/>
      <c r="AL39" s="189"/>
      <c r="AM39" s="191"/>
      <c r="AN39" s="191"/>
      <c r="AO39" s="191"/>
      <c r="AP39" s="191"/>
      <c r="AQ39" s="189"/>
      <c r="AR39" s="191"/>
      <c r="AS39" s="191"/>
      <c r="AT39" s="189"/>
      <c r="AU39" s="189"/>
      <c r="AV39" s="189"/>
      <c r="AW39" s="191"/>
      <c r="AX39" s="189"/>
      <c r="AY39" s="189"/>
      <c r="AZ39" s="189"/>
      <c r="BA39" s="189"/>
      <c r="BB39" s="189"/>
      <c r="BC39" s="148"/>
      <c r="BD39" s="148"/>
      <c r="BE39" s="191"/>
      <c r="BF39" s="148"/>
      <c r="BG39" s="189"/>
      <c r="BH39" s="151"/>
      <c r="BI39" s="189"/>
      <c r="BJ39" s="191"/>
      <c r="BK39" s="189"/>
      <c r="BL39" s="191"/>
      <c r="BM39" s="148"/>
      <c r="BN39" s="148"/>
    </row>
    <row r="40" ht="15.75" customHeight="1">
      <c r="A40" s="27">
        <v>45575.0</v>
      </c>
      <c r="B40" s="10"/>
      <c r="C40" s="190" t="s">
        <v>5329</v>
      </c>
      <c r="D40" s="188"/>
      <c r="E40" s="188"/>
      <c r="F40" s="188"/>
      <c r="G40" s="188"/>
      <c r="H40" s="188"/>
      <c r="I40" s="188"/>
      <c r="J40" s="188"/>
      <c r="K40" s="188"/>
      <c r="L40" s="188"/>
      <c r="M40" s="188"/>
      <c r="N40" s="188"/>
      <c r="O40" s="188"/>
      <c r="P40" s="188"/>
      <c r="Q40" s="188"/>
      <c r="R40" s="188"/>
      <c r="S40" s="190" t="s">
        <v>5330</v>
      </c>
      <c r="T40" s="188"/>
      <c r="U40" s="188"/>
      <c r="V40" s="188"/>
      <c r="W40" s="188"/>
      <c r="X40" s="188"/>
      <c r="Y40" s="190" t="s">
        <v>5331</v>
      </c>
      <c r="Z40" s="188"/>
      <c r="AA40" s="188"/>
      <c r="AB40" s="188"/>
      <c r="AC40" s="108"/>
      <c r="AD40" s="108"/>
      <c r="AE40" s="108"/>
      <c r="AF40" s="108"/>
      <c r="AG40" s="108"/>
      <c r="AH40" s="108"/>
      <c r="AI40" s="108"/>
      <c r="AJ40" s="108"/>
      <c r="AK40" s="190" t="s">
        <v>5332</v>
      </c>
      <c r="AL40" s="188"/>
      <c r="AM40" s="190" t="s">
        <v>5333</v>
      </c>
      <c r="AN40" s="190" t="s">
        <v>5334</v>
      </c>
      <c r="AO40" s="190" t="s">
        <v>5335</v>
      </c>
      <c r="AP40" s="190" t="s">
        <v>5336</v>
      </c>
      <c r="AQ40" s="188"/>
      <c r="AR40" s="190" t="s">
        <v>5337</v>
      </c>
      <c r="AS40" s="190" t="s">
        <v>5338</v>
      </c>
      <c r="AT40" s="188"/>
      <c r="AU40" s="188"/>
      <c r="AV40" s="188"/>
      <c r="AW40" s="190" t="s">
        <v>5339</v>
      </c>
      <c r="AX40" s="188"/>
      <c r="AY40" s="188"/>
      <c r="AZ40" s="188"/>
      <c r="BA40" s="188"/>
      <c r="BB40" s="188"/>
      <c r="BC40" s="108"/>
      <c r="BD40" s="108"/>
      <c r="BE40" s="190" t="s">
        <v>5340</v>
      </c>
      <c r="BF40" s="108"/>
      <c r="BG40" s="188"/>
      <c r="BH40" s="86" t="s">
        <v>5341</v>
      </c>
      <c r="BI40" s="188"/>
      <c r="BJ40" s="190" t="s">
        <v>5327</v>
      </c>
      <c r="BK40" s="188"/>
      <c r="BL40" s="190" t="s">
        <v>5342</v>
      </c>
      <c r="BM40" s="108"/>
      <c r="BN40" s="108"/>
    </row>
    <row r="41" ht="15.75" customHeight="1">
      <c r="A41" s="14"/>
      <c r="B41" s="14"/>
      <c r="C41" s="191"/>
      <c r="D41" s="189"/>
      <c r="E41" s="189"/>
      <c r="F41" s="189"/>
      <c r="G41" s="189"/>
      <c r="H41" s="189"/>
      <c r="I41" s="189"/>
      <c r="J41" s="189"/>
      <c r="K41" s="189"/>
      <c r="L41" s="189"/>
      <c r="M41" s="189"/>
      <c r="N41" s="189"/>
      <c r="O41" s="189"/>
      <c r="P41" s="189"/>
      <c r="Q41" s="189"/>
      <c r="R41" s="189"/>
      <c r="S41" s="191"/>
      <c r="T41" s="189"/>
      <c r="U41" s="189"/>
      <c r="V41" s="189"/>
      <c r="W41" s="189"/>
      <c r="X41" s="189"/>
      <c r="Y41" s="191"/>
      <c r="Z41" s="189"/>
      <c r="AA41" s="189"/>
      <c r="AB41" s="189"/>
      <c r="AC41" s="148"/>
      <c r="AD41" s="148"/>
      <c r="AE41" s="148"/>
      <c r="AF41" s="148"/>
      <c r="AG41" s="148"/>
      <c r="AH41" s="148"/>
      <c r="AI41" s="148"/>
      <c r="AJ41" s="148"/>
      <c r="AK41" s="191"/>
      <c r="AL41" s="189"/>
      <c r="AM41" s="191"/>
      <c r="AN41" s="191"/>
      <c r="AO41" s="191"/>
      <c r="AP41" s="191"/>
      <c r="AQ41" s="189"/>
      <c r="AR41" s="191"/>
      <c r="AS41" s="191"/>
      <c r="AT41" s="189"/>
      <c r="AU41" s="189"/>
      <c r="AV41" s="189"/>
      <c r="AW41" s="191"/>
      <c r="AX41" s="189"/>
      <c r="AY41" s="189"/>
      <c r="AZ41" s="189"/>
      <c r="BA41" s="189"/>
      <c r="BB41" s="189"/>
      <c r="BC41" s="148"/>
      <c r="BD41" s="148"/>
      <c r="BE41" s="191"/>
      <c r="BF41" s="148"/>
      <c r="BG41" s="189"/>
      <c r="BH41" s="151"/>
      <c r="BI41" s="189"/>
      <c r="BJ41" s="191"/>
      <c r="BK41" s="189"/>
      <c r="BL41" s="191" t="s">
        <v>1462</v>
      </c>
      <c r="BM41" s="148"/>
      <c r="BN41" s="148"/>
    </row>
    <row r="42" ht="15.75" customHeight="1">
      <c r="A42" s="27">
        <v>45576.0</v>
      </c>
      <c r="B42" s="10"/>
      <c r="C42" s="184" t="s">
        <v>5343</v>
      </c>
      <c r="D42" s="188"/>
      <c r="E42" s="188"/>
      <c r="F42" s="188"/>
      <c r="G42" s="188"/>
      <c r="H42" s="188"/>
      <c r="I42" s="188"/>
      <c r="J42" s="188"/>
      <c r="K42" s="188"/>
      <c r="L42" s="188"/>
      <c r="M42" s="188"/>
      <c r="N42" s="188"/>
      <c r="O42" s="188"/>
      <c r="P42" s="188"/>
      <c r="Q42" s="188"/>
      <c r="R42" s="188"/>
      <c r="S42" s="190" t="s">
        <v>5344</v>
      </c>
      <c r="T42" s="188"/>
      <c r="U42" s="188"/>
      <c r="V42" s="188"/>
      <c r="W42" s="188"/>
      <c r="X42" s="188"/>
      <c r="Y42" s="190" t="s">
        <v>5345</v>
      </c>
      <c r="Z42" s="188"/>
      <c r="AA42" s="188"/>
      <c r="AB42" s="188"/>
      <c r="AC42" s="108"/>
      <c r="AD42" s="108"/>
      <c r="AE42" s="108"/>
      <c r="AF42" s="108"/>
      <c r="AG42" s="108"/>
      <c r="AH42" s="108"/>
      <c r="AI42" s="108"/>
      <c r="AJ42" s="108"/>
      <c r="AK42" s="190" t="s">
        <v>5346</v>
      </c>
      <c r="AL42" s="188"/>
      <c r="AM42" s="190" t="s">
        <v>5347</v>
      </c>
      <c r="AN42" s="190" t="s">
        <v>5348</v>
      </c>
      <c r="AO42" s="190" t="s">
        <v>5349</v>
      </c>
      <c r="AP42" s="190" t="s">
        <v>5350</v>
      </c>
      <c r="AQ42" s="188"/>
      <c r="AR42" s="190" t="s">
        <v>5351</v>
      </c>
      <c r="AS42" s="190" t="s">
        <v>5351</v>
      </c>
      <c r="AT42" s="188"/>
      <c r="AU42" s="188"/>
      <c r="AV42" s="188"/>
      <c r="AW42" s="190" t="s">
        <v>5345</v>
      </c>
      <c r="AX42" s="188"/>
      <c r="AY42" s="188"/>
      <c r="AZ42" s="188"/>
      <c r="BA42" s="188"/>
      <c r="BB42" s="188"/>
      <c r="BC42" s="108"/>
      <c r="BD42" s="108"/>
      <c r="BE42" s="190" t="s">
        <v>5352</v>
      </c>
      <c r="BF42" s="108"/>
      <c r="BG42" s="188"/>
      <c r="BH42" s="86" t="s">
        <v>5341</v>
      </c>
      <c r="BI42" s="188"/>
      <c r="BJ42" s="190" t="s">
        <v>5345</v>
      </c>
      <c r="BK42" s="188"/>
      <c r="BL42" s="184" t="s">
        <v>5353</v>
      </c>
      <c r="BM42" s="108"/>
      <c r="BN42" s="108"/>
    </row>
    <row r="43" ht="15.75" customHeight="1">
      <c r="A43" s="14"/>
      <c r="B43" s="14"/>
      <c r="C43" s="185"/>
      <c r="D43" s="189"/>
      <c r="E43" s="189"/>
      <c r="F43" s="189"/>
      <c r="G43" s="189"/>
      <c r="H43" s="189"/>
      <c r="I43" s="189"/>
      <c r="J43" s="189"/>
      <c r="K43" s="189"/>
      <c r="L43" s="189"/>
      <c r="M43" s="189"/>
      <c r="N43" s="189"/>
      <c r="O43" s="189"/>
      <c r="P43" s="189"/>
      <c r="Q43" s="189"/>
      <c r="R43" s="189"/>
      <c r="S43" s="191"/>
      <c r="T43" s="189"/>
      <c r="U43" s="189"/>
      <c r="V43" s="189"/>
      <c r="W43" s="189"/>
      <c r="X43" s="189"/>
      <c r="Y43" s="14"/>
      <c r="Z43" s="189"/>
      <c r="AA43" s="189"/>
      <c r="AB43" s="189"/>
      <c r="AC43" s="148"/>
      <c r="AD43" s="148"/>
      <c r="AE43" s="148"/>
      <c r="AF43" s="148"/>
      <c r="AG43" s="148"/>
      <c r="AH43" s="148"/>
      <c r="AI43" s="148"/>
      <c r="AJ43" s="148"/>
      <c r="AK43" s="191"/>
      <c r="AL43" s="189"/>
      <c r="AM43" s="14"/>
      <c r="AN43" s="14"/>
      <c r="AO43" s="14"/>
      <c r="AP43" s="14"/>
      <c r="AQ43" s="189"/>
      <c r="AR43" s="14"/>
      <c r="AS43" s="14"/>
      <c r="AT43" s="189"/>
      <c r="AU43" s="189"/>
      <c r="AV43" s="189"/>
      <c r="AW43" s="191"/>
      <c r="AX43" s="189"/>
      <c r="AY43" s="189"/>
      <c r="AZ43" s="189"/>
      <c r="BA43" s="189"/>
      <c r="BB43" s="189"/>
      <c r="BC43" s="148"/>
      <c r="BD43" s="148"/>
      <c r="BE43" s="191"/>
      <c r="BF43" s="148"/>
      <c r="BG43" s="189"/>
      <c r="BH43" s="151"/>
      <c r="BI43" s="189"/>
      <c r="BJ43" s="14"/>
      <c r="BK43" s="189"/>
      <c r="BL43" s="185"/>
      <c r="BM43" s="148"/>
      <c r="BN43" s="148"/>
    </row>
    <row r="44" ht="15.75" customHeight="1">
      <c r="A44" s="27">
        <v>45579.0</v>
      </c>
      <c r="B44" s="10"/>
      <c r="C44" s="184" t="s">
        <v>5354</v>
      </c>
      <c r="D44" s="188"/>
      <c r="E44" s="188"/>
      <c r="F44" s="188"/>
      <c r="G44" s="188"/>
      <c r="H44" s="188"/>
      <c r="I44" s="188"/>
      <c r="J44" s="188"/>
      <c r="K44" s="188"/>
      <c r="L44" s="188"/>
      <c r="M44" s="188"/>
      <c r="N44" s="188"/>
      <c r="O44" s="188"/>
      <c r="P44" s="188"/>
      <c r="Q44" s="188"/>
      <c r="R44" s="188"/>
      <c r="S44" s="190" t="s">
        <v>5355</v>
      </c>
      <c r="T44" s="188"/>
      <c r="U44" s="188"/>
      <c r="V44" s="188"/>
      <c r="W44" s="188"/>
      <c r="X44" s="188"/>
      <c r="Y44" s="190" t="s">
        <v>5345</v>
      </c>
      <c r="Z44" s="188"/>
      <c r="AA44" s="188"/>
      <c r="AB44" s="188"/>
      <c r="AC44" s="108"/>
      <c r="AD44" s="108"/>
      <c r="AE44" s="108"/>
      <c r="AF44" s="108"/>
      <c r="AG44" s="108"/>
      <c r="AH44" s="108"/>
      <c r="AI44" s="108"/>
      <c r="AJ44" s="108"/>
      <c r="AK44" s="190" t="s">
        <v>5356</v>
      </c>
      <c r="AL44" s="188"/>
      <c r="AM44" s="190" t="s">
        <v>5357</v>
      </c>
      <c r="AN44" s="190" t="s">
        <v>5348</v>
      </c>
      <c r="AO44" s="190" t="s">
        <v>5358</v>
      </c>
      <c r="AP44" s="190" t="s">
        <v>5359</v>
      </c>
      <c r="AQ44" s="188"/>
      <c r="AR44" s="190" t="s">
        <v>5360</v>
      </c>
      <c r="AS44" s="190" t="s">
        <v>5361</v>
      </c>
      <c r="AT44" s="188"/>
      <c r="AU44" s="188"/>
      <c r="AV44" s="188"/>
      <c r="AW44" s="190" t="s">
        <v>5362</v>
      </c>
      <c r="AX44" s="188"/>
      <c r="AY44" s="188"/>
      <c r="AZ44" s="188"/>
      <c r="BA44" s="188"/>
      <c r="BB44" s="188"/>
      <c r="BC44" s="108"/>
      <c r="BD44" s="108"/>
      <c r="BE44" s="190" t="s">
        <v>5363</v>
      </c>
      <c r="BF44" s="108"/>
      <c r="BG44" s="188"/>
      <c r="BH44" s="86" t="s">
        <v>5341</v>
      </c>
      <c r="BI44" s="188"/>
      <c r="BJ44" s="190" t="s">
        <v>5364</v>
      </c>
      <c r="BK44" s="188"/>
      <c r="BL44" s="184" t="s">
        <v>5365</v>
      </c>
      <c r="BM44" s="108"/>
      <c r="BN44" s="108"/>
    </row>
    <row r="45" ht="15.75" customHeight="1">
      <c r="A45" s="14"/>
      <c r="B45" s="14"/>
      <c r="C45" s="185"/>
      <c r="D45" s="189"/>
      <c r="E45" s="189"/>
      <c r="F45" s="189"/>
      <c r="G45" s="189"/>
      <c r="H45" s="189"/>
      <c r="I45" s="189"/>
      <c r="J45" s="189"/>
      <c r="K45" s="189"/>
      <c r="L45" s="189"/>
      <c r="M45" s="189"/>
      <c r="N45" s="189"/>
      <c r="O45" s="189"/>
      <c r="P45" s="189"/>
      <c r="Q45" s="189"/>
      <c r="R45" s="189"/>
      <c r="S45" s="191"/>
      <c r="T45" s="189"/>
      <c r="U45" s="189"/>
      <c r="V45" s="189"/>
      <c r="W45" s="189"/>
      <c r="X45" s="189"/>
      <c r="Y45" s="191"/>
      <c r="Z45" s="189"/>
      <c r="AA45" s="189"/>
      <c r="AB45" s="189"/>
      <c r="AC45" s="148"/>
      <c r="AD45" s="148"/>
      <c r="AE45" s="148"/>
      <c r="AF45" s="148"/>
      <c r="AG45" s="148"/>
      <c r="AH45" s="148"/>
      <c r="AI45" s="148"/>
      <c r="AJ45" s="148"/>
      <c r="AK45" s="14"/>
      <c r="AL45" s="189"/>
      <c r="AM45" s="14"/>
      <c r="AN45" s="14"/>
      <c r="AO45" s="14"/>
      <c r="AP45" s="14"/>
      <c r="AQ45" s="189"/>
      <c r="AR45" s="14"/>
      <c r="AS45" s="14"/>
      <c r="AT45" s="189"/>
      <c r="AU45" s="189"/>
      <c r="AV45" s="189"/>
      <c r="AW45" s="191"/>
      <c r="AX45" s="189"/>
      <c r="AY45" s="189"/>
      <c r="AZ45" s="189"/>
      <c r="BA45" s="189"/>
      <c r="BB45" s="189"/>
      <c r="BC45" s="148"/>
      <c r="BD45" s="148"/>
      <c r="BE45" s="14"/>
      <c r="BF45" s="148"/>
      <c r="BG45" s="189"/>
      <c r="BH45" s="151"/>
      <c r="BI45" s="189"/>
      <c r="BJ45" s="14"/>
      <c r="BK45" s="189"/>
      <c r="BL45" s="185"/>
      <c r="BM45" s="148"/>
      <c r="BN45" s="148"/>
    </row>
    <row r="46" ht="15.75" customHeight="1">
      <c r="A46" s="27">
        <v>45580.0</v>
      </c>
      <c r="B46" s="10"/>
      <c r="C46" s="184" t="s">
        <v>5366</v>
      </c>
      <c r="D46" s="188"/>
      <c r="E46" s="188"/>
      <c r="F46" s="188"/>
      <c r="G46" s="188"/>
      <c r="H46" s="188"/>
      <c r="I46" s="188"/>
      <c r="J46" s="188"/>
      <c r="K46" s="188"/>
      <c r="L46" s="188"/>
      <c r="M46" s="188"/>
      <c r="N46" s="188"/>
      <c r="O46" s="188"/>
      <c r="P46" s="188"/>
      <c r="Q46" s="188"/>
      <c r="R46" s="188"/>
      <c r="S46" s="190" t="s">
        <v>5367</v>
      </c>
      <c r="T46" s="188"/>
      <c r="U46" s="188"/>
      <c r="V46" s="188"/>
      <c r="W46" s="188"/>
      <c r="X46" s="188"/>
      <c r="Y46" s="190" t="s">
        <v>5368</v>
      </c>
      <c r="Z46" s="188"/>
      <c r="AA46" s="188"/>
      <c r="AB46" s="188"/>
      <c r="AC46" s="108"/>
      <c r="AD46" s="108"/>
      <c r="AE46" s="108"/>
      <c r="AF46" s="108"/>
      <c r="AG46" s="108"/>
      <c r="AH46" s="108"/>
      <c r="AI46" s="108"/>
      <c r="AJ46" s="108"/>
      <c r="AK46" s="190" t="s">
        <v>5369</v>
      </c>
      <c r="AL46" s="188"/>
      <c r="AM46" s="190" t="s">
        <v>5370</v>
      </c>
      <c r="AN46" s="190" t="s">
        <v>5371</v>
      </c>
      <c r="AO46" s="190" t="s">
        <v>5372</v>
      </c>
      <c r="AP46" s="190" t="s">
        <v>5373</v>
      </c>
      <c r="AQ46" s="188"/>
      <c r="AR46" s="190" t="s">
        <v>5374</v>
      </c>
      <c r="AS46" s="190" t="s">
        <v>5375</v>
      </c>
      <c r="AT46" s="188"/>
      <c r="AU46" s="188"/>
      <c r="AV46" s="188"/>
      <c r="AW46" s="190" t="s">
        <v>5376</v>
      </c>
      <c r="AX46" s="188"/>
      <c r="AY46" s="188"/>
      <c r="AZ46" s="188"/>
      <c r="BA46" s="188"/>
      <c r="BB46" s="188"/>
      <c r="BC46" s="108"/>
      <c r="BD46" s="108"/>
      <c r="BE46" s="190" t="s">
        <v>5377</v>
      </c>
      <c r="BF46" s="108"/>
      <c r="BG46" s="188"/>
      <c r="BH46" s="86" t="s">
        <v>5341</v>
      </c>
      <c r="BI46" s="188"/>
      <c r="BJ46" s="190" t="s">
        <v>5378</v>
      </c>
      <c r="BK46" s="188"/>
      <c r="BL46" s="184" t="s">
        <v>5379</v>
      </c>
      <c r="BM46" s="108"/>
      <c r="BN46" s="108"/>
    </row>
    <row r="47" ht="15.75" customHeight="1">
      <c r="A47" s="14"/>
      <c r="B47" s="14"/>
      <c r="C47" s="185"/>
      <c r="D47" s="189"/>
      <c r="E47" s="189"/>
      <c r="F47" s="189"/>
      <c r="G47" s="189"/>
      <c r="H47" s="189"/>
      <c r="I47" s="189"/>
      <c r="J47" s="189"/>
      <c r="K47" s="189"/>
      <c r="L47" s="189"/>
      <c r="M47" s="189"/>
      <c r="N47" s="189"/>
      <c r="O47" s="189"/>
      <c r="P47" s="189"/>
      <c r="Q47" s="189"/>
      <c r="R47" s="189"/>
      <c r="S47" s="191"/>
      <c r="T47" s="189"/>
      <c r="U47" s="189"/>
      <c r="V47" s="189"/>
      <c r="W47" s="189"/>
      <c r="X47" s="189"/>
      <c r="Y47" s="191"/>
      <c r="Z47" s="189"/>
      <c r="AA47" s="189"/>
      <c r="AB47" s="189"/>
      <c r="AC47" s="148"/>
      <c r="AD47" s="148"/>
      <c r="AE47" s="148"/>
      <c r="AF47" s="148"/>
      <c r="AG47" s="148"/>
      <c r="AH47" s="148"/>
      <c r="AI47" s="148"/>
      <c r="AJ47" s="148"/>
      <c r="AK47" s="191"/>
      <c r="AL47" s="189"/>
      <c r="AM47" s="191"/>
      <c r="AN47" s="191"/>
      <c r="AO47" s="191"/>
      <c r="AP47" s="191"/>
      <c r="AQ47" s="189"/>
      <c r="AR47" s="191"/>
      <c r="AS47" s="191"/>
      <c r="AT47" s="189"/>
      <c r="AU47" s="189"/>
      <c r="AV47" s="189"/>
      <c r="AW47" s="191"/>
      <c r="AX47" s="189"/>
      <c r="AY47" s="189"/>
      <c r="AZ47" s="189"/>
      <c r="BA47" s="189"/>
      <c r="BB47" s="189"/>
      <c r="BC47" s="148"/>
      <c r="BD47" s="148"/>
      <c r="BE47" s="14"/>
      <c r="BF47" s="148"/>
      <c r="BG47" s="189"/>
      <c r="BH47" s="151"/>
      <c r="BI47" s="189"/>
      <c r="BJ47" s="191"/>
      <c r="BK47" s="189"/>
      <c r="BL47" s="185"/>
      <c r="BM47" s="148"/>
      <c r="BN47" s="148"/>
    </row>
    <row r="48" ht="15.75" customHeight="1">
      <c r="A48" s="157">
        <v>45581.0</v>
      </c>
      <c r="B48" s="14"/>
      <c r="C48" s="185" t="s">
        <v>5380</v>
      </c>
      <c r="D48" s="189"/>
      <c r="E48" s="189"/>
      <c r="F48" s="189"/>
      <c r="G48" s="189"/>
      <c r="H48" s="189"/>
      <c r="I48" s="189"/>
      <c r="J48" s="189"/>
      <c r="K48" s="189"/>
      <c r="L48" s="189"/>
      <c r="M48" s="189"/>
      <c r="N48" s="189"/>
      <c r="O48" s="189"/>
      <c r="P48" s="189"/>
      <c r="Q48" s="195"/>
      <c r="R48" s="189"/>
      <c r="S48" s="190" t="s">
        <v>5367</v>
      </c>
      <c r="T48" s="189"/>
      <c r="U48" s="189"/>
      <c r="V48" s="189"/>
      <c r="W48" s="189"/>
      <c r="X48" s="189"/>
      <c r="Y48" s="190" t="s">
        <v>5381</v>
      </c>
      <c r="Z48" s="189"/>
      <c r="AA48" s="189"/>
      <c r="AB48" s="189"/>
      <c r="AC48" s="148"/>
      <c r="AD48" s="148"/>
      <c r="AE48" s="148"/>
      <c r="AF48" s="148"/>
      <c r="AG48" s="148"/>
      <c r="AH48" s="148"/>
      <c r="AI48" s="148"/>
      <c r="AJ48" s="148"/>
      <c r="AK48" s="191" t="s">
        <v>5382</v>
      </c>
      <c r="AL48" s="189"/>
      <c r="AM48" s="190" t="s">
        <v>5370</v>
      </c>
      <c r="AN48" s="190" t="s">
        <v>5383</v>
      </c>
      <c r="AO48" s="191" t="s">
        <v>5384</v>
      </c>
      <c r="AP48" s="191" t="s">
        <v>5385</v>
      </c>
      <c r="AQ48" s="189"/>
      <c r="AR48" s="191" t="s">
        <v>5386</v>
      </c>
      <c r="AS48" s="191" t="s">
        <v>5387</v>
      </c>
      <c r="AT48" s="189"/>
      <c r="AU48" s="189"/>
      <c r="AV48" s="189"/>
      <c r="AW48" s="191" t="s">
        <v>5388</v>
      </c>
      <c r="AX48" s="189"/>
      <c r="AY48" s="189"/>
      <c r="AZ48" s="189"/>
      <c r="BA48" s="189"/>
      <c r="BB48" s="189"/>
      <c r="BC48" s="148"/>
      <c r="BD48" s="148"/>
      <c r="BE48" s="190" t="s">
        <v>5377</v>
      </c>
      <c r="BF48" s="148"/>
      <c r="BG48" s="189"/>
      <c r="BH48" s="151" t="s">
        <v>5389</v>
      </c>
      <c r="BI48" s="189"/>
      <c r="BJ48" s="191" t="s">
        <v>5390</v>
      </c>
      <c r="BK48" s="189"/>
      <c r="BL48" s="185" t="s">
        <v>5391</v>
      </c>
      <c r="BM48" s="148"/>
      <c r="BN48" s="148"/>
    </row>
    <row r="49" ht="15.75" customHeight="1">
      <c r="A49" s="27"/>
      <c r="B49" s="10"/>
      <c r="C49" s="184"/>
      <c r="D49" s="189"/>
      <c r="E49" s="189"/>
      <c r="F49" s="189"/>
      <c r="G49" s="189"/>
      <c r="H49" s="189"/>
      <c r="I49" s="189"/>
      <c r="J49" s="189"/>
      <c r="K49" s="189"/>
      <c r="L49" s="189"/>
      <c r="M49" s="189"/>
      <c r="N49" s="189"/>
      <c r="O49" s="189"/>
      <c r="P49" s="189"/>
      <c r="Q49" s="189"/>
      <c r="R49" s="189"/>
      <c r="S49" s="190"/>
      <c r="T49" s="188"/>
      <c r="U49" s="188"/>
      <c r="V49" s="188"/>
      <c r="W49" s="188"/>
      <c r="X49" s="188"/>
      <c r="Y49" s="190"/>
      <c r="Z49" s="188"/>
      <c r="AA49" s="188"/>
      <c r="AB49" s="188"/>
      <c r="AC49" s="108"/>
      <c r="AD49" s="148"/>
      <c r="AE49" s="148"/>
      <c r="AF49" s="148"/>
      <c r="AG49" s="148"/>
      <c r="AH49" s="148"/>
      <c r="AI49" s="148"/>
      <c r="AJ49" s="148"/>
      <c r="AK49" s="190"/>
      <c r="AL49" s="188"/>
      <c r="AM49" s="10"/>
      <c r="AN49" s="10"/>
      <c r="AO49" s="190"/>
      <c r="AP49" s="10"/>
      <c r="AQ49" s="188"/>
      <c r="AR49" s="10"/>
      <c r="AS49" s="10"/>
      <c r="AT49" s="188"/>
      <c r="AU49" s="188"/>
      <c r="AV49" s="188"/>
      <c r="AW49" s="190"/>
      <c r="AX49" s="188"/>
      <c r="AY49" s="188"/>
      <c r="AZ49" s="188"/>
      <c r="BA49" s="188"/>
      <c r="BB49" s="188"/>
      <c r="BC49" s="108"/>
      <c r="BD49" s="108"/>
      <c r="BE49" s="10"/>
      <c r="BF49" s="108"/>
      <c r="BG49" s="188"/>
      <c r="BH49" s="86"/>
      <c r="BI49" s="188"/>
      <c r="BJ49" s="190"/>
      <c r="BK49" s="188"/>
      <c r="BL49" s="184"/>
      <c r="BM49" s="108"/>
      <c r="BN49" s="108"/>
    </row>
    <row r="50" ht="15.75" customHeight="1">
      <c r="A50" s="159">
        <v>45582.0</v>
      </c>
      <c r="B50" s="160"/>
      <c r="C50" s="196" t="s">
        <v>5392</v>
      </c>
      <c r="D50" s="189"/>
      <c r="E50" s="189"/>
      <c r="F50" s="189"/>
      <c r="G50" s="189"/>
      <c r="H50" s="189"/>
      <c r="I50" s="189"/>
      <c r="J50" s="189"/>
      <c r="K50" s="189"/>
      <c r="L50" s="189"/>
      <c r="M50" s="189"/>
      <c r="N50" s="189"/>
      <c r="O50" s="189"/>
      <c r="P50" s="189"/>
      <c r="Q50" s="195"/>
      <c r="R50" s="189"/>
      <c r="S50" s="190" t="s">
        <v>5367</v>
      </c>
      <c r="T50" s="188"/>
      <c r="U50" s="188"/>
      <c r="V50" s="188"/>
      <c r="W50" s="188"/>
      <c r="X50" s="188"/>
      <c r="Y50" s="190" t="s">
        <v>5393</v>
      </c>
      <c r="Z50" s="197"/>
      <c r="AA50" s="197"/>
      <c r="AB50" s="197"/>
      <c r="AC50" s="162"/>
      <c r="AD50" s="148"/>
      <c r="AE50" s="148"/>
      <c r="AF50" s="148"/>
      <c r="AG50" s="148"/>
      <c r="AH50" s="148"/>
      <c r="AI50" s="148"/>
      <c r="AJ50" s="148"/>
      <c r="AK50" s="198" t="s">
        <v>5394</v>
      </c>
      <c r="AL50" s="197"/>
      <c r="AM50" s="190" t="s">
        <v>5395</v>
      </c>
      <c r="AN50" s="190" t="s">
        <v>5396</v>
      </c>
      <c r="AO50" s="191" t="s">
        <v>5397</v>
      </c>
      <c r="AP50" s="191" t="s">
        <v>5385</v>
      </c>
      <c r="AQ50" s="197"/>
      <c r="AR50" s="191" t="s">
        <v>5398</v>
      </c>
      <c r="AS50" s="191" t="s">
        <v>5399</v>
      </c>
      <c r="AT50" s="197"/>
      <c r="AU50" s="197"/>
      <c r="AV50" s="197"/>
      <c r="AW50" s="191" t="s">
        <v>5400</v>
      </c>
      <c r="AX50" s="197"/>
      <c r="AY50" s="197"/>
      <c r="AZ50" s="197"/>
      <c r="BA50" s="197"/>
      <c r="BB50" s="197"/>
      <c r="BC50" s="162"/>
      <c r="BD50" s="162"/>
      <c r="BE50" s="190" t="s">
        <v>5401</v>
      </c>
      <c r="BF50" s="162"/>
      <c r="BG50" s="197"/>
      <c r="BH50" s="163"/>
      <c r="BI50" s="197"/>
      <c r="BJ50" s="198" t="s">
        <v>5402</v>
      </c>
      <c r="BK50" s="197"/>
      <c r="BL50" s="196" t="s">
        <v>5403</v>
      </c>
      <c r="BM50" s="162"/>
      <c r="BN50" s="199"/>
    </row>
    <row r="51" ht="15.75" customHeight="1">
      <c r="A51" s="27">
        <v>45583.0</v>
      </c>
      <c r="B51" s="10" t="s">
        <v>5404</v>
      </c>
      <c r="C51" s="184" t="s">
        <v>5405</v>
      </c>
      <c r="D51" s="189"/>
      <c r="E51" s="189"/>
      <c r="F51" s="189"/>
      <c r="G51" s="189"/>
      <c r="H51" s="189"/>
      <c r="I51" s="189"/>
      <c r="J51" s="189"/>
      <c r="K51" s="189"/>
      <c r="L51" s="189"/>
      <c r="M51" s="189"/>
      <c r="N51" s="189"/>
      <c r="O51" s="189"/>
      <c r="P51" s="189"/>
      <c r="Q51" s="189"/>
      <c r="R51" s="189"/>
      <c r="S51" s="190" t="s">
        <v>5367</v>
      </c>
      <c r="T51" s="188"/>
      <c r="U51" s="188"/>
      <c r="V51" s="188"/>
      <c r="W51" s="188"/>
      <c r="X51" s="188"/>
      <c r="Y51" s="190" t="s">
        <v>5406</v>
      </c>
      <c r="Z51" s="197"/>
      <c r="AA51" s="197"/>
      <c r="AB51" s="197"/>
      <c r="AC51" s="162"/>
      <c r="AD51" s="148"/>
      <c r="AE51" s="148"/>
      <c r="AF51" s="148"/>
      <c r="AG51" s="148"/>
      <c r="AH51" s="148"/>
      <c r="AI51" s="148"/>
      <c r="AJ51" s="148"/>
      <c r="AK51" s="190" t="s">
        <v>5407</v>
      </c>
      <c r="AL51" s="188"/>
      <c r="AM51" s="190" t="s">
        <v>5408</v>
      </c>
      <c r="AN51" s="190" t="s">
        <v>5409</v>
      </c>
      <c r="AO51" s="190" t="s">
        <v>5410</v>
      </c>
      <c r="AP51" s="190" t="s">
        <v>5411</v>
      </c>
      <c r="AQ51" s="188"/>
      <c r="AR51" s="190" t="s">
        <v>5412</v>
      </c>
      <c r="AS51" s="190" t="s">
        <v>5413</v>
      </c>
      <c r="AT51" s="188"/>
      <c r="AU51" s="188"/>
      <c r="AV51" s="188"/>
      <c r="AW51" s="190" t="s">
        <v>5414</v>
      </c>
      <c r="AX51" s="188"/>
      <c r="AY51" s="188"/>
      <c r="AZ51" s="188"/>
      <c r="BA51" s="188"/>
      <c r="BB51" s="188"/>
      <c r="BC51" s="108"/>
      <c r="BD51" s="108"/>
      <c r="BE51" s="190" t="s">
        <v>5415</v>
      </c>
      <c r="BF51" s="108"/>
      <c r="BG51" s="188"/>
      <c r="BH51" s="163" t="s">
        <v>5416</v>
      </c>
      <c r="BI51" s="188"/>
      <c r="BJ51" s="190" t="s">
        <v>5417</v>
      </c>
      <c r="BK51" s="188"/>
      <c r="BL51" s="190" t="s">
        <v>5418</v>
      </c>
      <c r="BM51" s="108"/>
      <c r="BN51" s="108"/>
    </row>
    <row r="52" ht="15.75" customHeight="1">
      <c r="A52" s="165">
        <v>45586.0</v>
      </c>
      <c r="B52" s="160"/>
      <c r="C52" s="196" t="s">
        <v>660</v>
      </c>
      <c r="D52" s="189"/>
      <c r="E52" s="189"/>
      <c r="F52" s="189"/>
      <c r="G52" s="189"/>
      <c r="H52" s="189"/>
      <c r="I52" s="189"/>
      <c r="J52" s="189"/>
      <c r="K52" s="189"/>
      <c r="L52" s="189"/>
      <c r="M52" s="189"/>
      <c r="N52" s="189"/>
      <c r="O52" s="189"/>
      <c r="P52" s="189"/>
      <c r="Q52" s="195"/>
      <c r="R52" s="189"/>
      <c r="S52" s="198" t="s">
        <v>5419</v>
      </c>
      <c r="T52" s="188"/>
      <c r="U52" s="188"/>
      <c r="V52" s="188"/>
      <c r="W52" s="188"/>
      <c r="X52" s="188"/>
      <c r="Y52" s="198" t="s">
        <v>5420</v>
      </c>
      <c r="Z52" s="197"/>
      <c r="AA52" s="197"/>
      <c r="AB52" s="197"/>
      <c r="AC52" s="162"/>
      <c r="AD52" s="148"/>
      <c r="AE52" s="148"/>
      <c r="AF52" s="148"/>
      <c r="AG52" s="148"/>
      <c r="AH52" s="148"/>
      <c r="AI52" s="148"/>
      <c r="AJ52" s="148"/>
      <c r="AK52" s="198" t="s">
        <v>5421</v>
      </c>
      <c r="AL52" s="197"/>
      <c r="AM52" s="198" t="s">
        <v>5422</v>
      </c>
      <c r="AN52" s="198" t="s">
        <v>5423</v>
      </c>
      <c r="AO52" s="198" t="s">
        <v>5424</v>
      </c>
      <c r="AP52" s="198" t="s">
        <v>5425</v>
      </c>
      <c r="AQ52" s="197"/>
      <c r="AR52" s="198" t="s">
        <v>2274</v>
      </c>
      <c r="AS52" s="198" t="s">
        <v>5426</v>
      </c>
      <c r="AT52" s="197"/>
      <c r="AU52" s="197"/>
      <c r="AV52" s="197"/>
      <c r="AW52" s="198" t="s">
        <v>5427</v>
      </c>
      <c r="AX52" s="197"/>
      <c r="AY52" s="197"/>
      <c r="AZ52" s="197"/>
      <c r="BA52" s="197"/>
      <c r="BB52" s="197"/>
      <c r="BC52" s="162"/>
      <c r="BD52" s="162"/>
      <c r="BE52" s="198" t="s">
        <v>5428</v>
      </c>
      <c r="BF52" s="162"/>
      <c r="BG52" s="197"/>
      <c r="BH52" s="163" t="s">
        <v>5429</v>
      </c>
      <c r="BI52" s="197"/>
      <c r="BJ52" s="198" t="s">
        <v>5430</v>
      </c>
      <c r="BK52" s="197"/>
      <c r="BL52" s="198" t="s">
        <v>5431</v>
      </c>
      <c r="BM52" s="162"/>
      <c r="BN52" s="199"/>
    </row>
    <row r="53" ht="15.75" customHeight="1">
      <c r="A53" s="27"/>
      <c r="B53" s="10"/>
      <c r="C53" s="10"/>
      <c r="D53" s="189"/>
      <c r="E53" s="189"/>
      <c r="F53" s="189"/>
      <c r="G53" s="189"/>
      <c r="H53" s="189"/>
      <c r="I53" s="189"/>
      <c r="J53" s="189"/>
      <c r="K53" s="189"/>
      <c r="L53" s="189"/>
      <c r="M53" s="189"/>
      <c r="N53" s="189"/>
      <c r="O53" s="189"/>
      <c r="P53" s="189"/>
      <c r="Q53" s="189"/>
      <c r="R53" s="189"/>
      <c r="S53" s="190"/>
      <c r="T53" s="188"/>
      <c r="U53" s="188"/>
      <c r="V53" s="188"/>
      <c r="W53" s="188"/>
      <c r="X53" s="188"/>
      <c r="Y53" s="190"/>
      <c r="Z53" s="197"/>
      <c r="AA53" s="197"/>
      <c r="AB53" s="197"/>
      <c r="AC53" s="162"/>
      <c r="AD53" s="148"/>
      <c r="AE53" s="148"/>
      <c r="AF53" s="148"/>
      <c r="AG53" s="148"/>
      <c r="AH53" s="148"/>
      <c r="AI53" s="148"/>
      <c r="AJ53" s="148"/>
      <c r="AK53" s="190"/>
      <c r="AL53" s="188"/>
      <c r="AM53" s="190"/>
      <c r="AN53" s="190"/>
      <c r="AO53" s="190"/>
      <c r="AP53" s="190"/>
      <c r="AQ53" s="188"/>
      <c r="AR53" s="190"/>
      <c r="AS53" s="190"/>
      <c r="AT53" s="188"/>
      <c r="AU53" s="188"/>
      <c r="AV53" s="188"/>
      <c r="AW53" s="190"/>
      <c r="AX53" s="188"/>
      <c r="AY53" s="188"/>
      <c r="AZ53" s="188"/>
      <c r="BA53" s="188"/>
      <c r="BB53" s="188"/>
      <c r="BC53" s="108"/>
      <c r="BD53" s="108"/>
      <c r="BE53" s="190"/>
      <c r="BF53" s="108"/>
      <c r="BG53" s="188"/>
      <c r="BH53" s="163"/>
      <c r="BI53" s="188"/>
      <c r="BJ53" s="190"/>
      <c r="BK53" s="188"/>
      <c r="BL53" s="190"/>
      <c r="BM53" s="108"/>
      <c r="BN53" s="199"/>
    </row>
    <row r="54" ht="75.75" customHeight="1">
      <c r="A54" s="166">
        <v>45587.0</v>
      </c>
      <c r="B54" s="160"/>
      <c r="C54" s="196" t="s">
        <v>660</v>
      </c>
      <c r="D54" s="189"/>
      <c r="E54" s="189"/>
      <c r="F54" s="189"/>
      <c r="G54" s="189"/>
      <c r="H54" s="189"/>
      <c r="I54" s="189"/>
      <c r="J54" s="189"/>
      <c r="K54" s="189"/>
      <c r="L54" s="189"/>
      <c r="M54" s="189"/>
      <c r="N54" s="189"/>
      <c r="O54" s="189"/>
      <c r="P54" s="189"/>
      <c r="Q54" s="195"/>
      <c r="R54" s="189"/>
      <c r="S54" s="198" t="s">
        <v>5432</v>
      </c>
      <c r="T54" s="188"/>
      <c r="U54" s="188"/>
      <c r="V54" s="188"/>
      <c r="W54" s="188"/>
      <c r="X54" s="188"/>
      <c r="Y54" s="198" t="s">
        <v>5433</v>
      </c>
      <c r="Z54" s="197"/>
      <c r="AA54" s="197"/>
      <c r="AB54" s="197"/>
      <c r="AC54" s="162"/>
      <c r="AD54" s="148"/>
      <c r="AE54" s="148"/>
      <c r="AF54" s="148"/>
      <c r="AG54" s="148"/>
      <c r="AH54" s="148"/>
      <c r="AI54" s="148"/>
      <c r="AJ54" s="148"/>
      <c r="AK54" s="198" t="s">
        <v>5421</v>
      </c>
      <c r="AL54" s="188"/>
      <c r="AM54" s="198" t="s">
        <v>5434</v>
      </c>
      <c r="AN54" s="198" t="s">
        <v>2288</v>
      </c>
      <c r="AO54" s="198" t="s">
        <v>5435</v>
      </c>
      <c r="AP54" s="198" t="s">
        <v>5421</v>
      </c>
      <c r="AQ54" s="188"/>
      <c r="AR54" s="198" t="s">
        <v>2288</v>
      </c>
      <c r="AS54" s="198" t="s">
        <v>5436</v>
      </c>
      <c r="AT54" s="188"/>
      <c r="AU54" s="188"/>
      <c r="AV54" s="188"/>
      <c r="AW54" s="198" t="s">
        <v>5437</v>
      </c>
      <c r="AX54" s="188"/>
      <c r="AY54" s="188"/>
      <c r="AZ54" s="188"/>
      <c r="BA54" s="188"/>
      <c r="BB54" s="188"/>
      <c r="BC54" s="108"/>
      <c r="BD54" s="108"/>
      <c r="BE54" s="190" t="s">
        <v>5438</v>
      </c>
      <c r="BF54" s="108"/>
      <c r="BG54" s="188"/>
      <c r="BH54" s="163" t="s">
        <v>5341</v>
      </c>
      <c r="BI54" s="188"/>
      <c r="BJ54" s="190" t="s">
        <v>5439</v>
      </c>
      <c r="BK54" s="188"/>
      <c r="BL54" s="190" t="s">
        <v>5440</v>
      </c>
      <c r="BM54" s="108"/>
      <c r="BN54" s="199"/>
    </row>
    <row r="55" ht="15.75" customHeight="1">
      <c r="A55" s="159">
        <v>45602.0</v>
      </c>
      <c r="B55" s="160" t="s">
        <v>5441</v>
      </c>
      <c r="C55" s="160"/>
      <c r="D55" s="189"/>
      <c r="E55" s="189"/>
      <c r="F55" s="189"/>
      <c r="G55" s="189"/>
      <c r="H55" s="189"/>
      <c r="I55" s="189"/>
      <c r="J55" s="189"/>
      <c r="K55" s="189"/>
      <c r="L55" s="189"/>
      <c r="M55" s="189"/>
      <c r="N55" s="189"/>
      <c r="O55" s="189"/>
      <c r="P55" s="189"/>
      <c r="Q55" s="189"/>
      <c r="R55" s="189"/>
      <c r="S55" s="160"/>
      <c r="T55" s="188"/>
      <c r="U55" s="188"/>
      <c r="V55" s="188"/>
      <c r="W55" s="188"/>
      <c r="X55" s="188"/>
      <c r="Y55" s="160"/>
      <c r="Z55" s="197"/>
      <c r="AA55" s="197"/>
      <c r="AB55" s="197"/>
      <c r="AC55" s="162"/>
      <c r="AD55" s="148"/>
      <c r="AE55" s="148"/>
      <c r="AF55" s="148"/>
      <c r="AG55" s="148"/>
      <c r="AH55" s="148"/>
      <c r="AI55" s="148"/>
      <c r="AJ55" s="148"/>
      <c r="AK55" s="160"/>
      <c r="AL55" s="188"/>
      <c r="AM55" s="160"/>
      <c r="AN55" s="160"/>
      <c r="AO55" s="160"/>
      <c r="AP55" s="160"/>
      <c r="AQ55" s="188"/>
      <c r="AR55" s="160"/>
      <c r="AS55" s="160"/>
      <c r="AT55" s="188"/>
      <c r="AU55" s="188"/>
      <c r="AV55" s="188"/>
      <c r="AW55" s="160"/>
      <c r="AX55" s="188"/>
      <c r="AY55" s="188"/>
      <c r="AZ55" s="188"/>
      <c r="BA55" s="188"/>
      <c r="BB55" s="188"/>
      <c r="BC55" s="108"/>
      <c r="BD55" s="108"/>
      <c r="BE55" s="10"/>
      <c r="BF55" s="108"/>
      <c r="BG55" s="188"/>
      <c r="BH55" s="163"/>
      <c r="BI55" s="188"/>
      <c r="BJ55" s="10" t="s">
        <v>5442</v>
      </c>
      <c r="BK55" s="188" t="s">
        <v>5443</v>
      </c>
      <c r="BL55" s="10" t="s">
        <v>5444</v>
      </c>
      <c r="BM55" s="108" t="s">
        <v>5445</v>
      </c>
      <c r="BN55" s="199" t="s">
        <v>5446</v>
      </c>
    </row>
    <row r="56" ht="15.75" customHeight="1">
      <c r="A56" s="200" t="s">
        <v>4605</v>
      </c>
      <c r="B56" s="160" t="s">
        <v>4606</v>
      </c>
      <c r="C56" s="160"/>
      <c r="D56" s="160"/>
      <c r="E56" s="160" t="s">
        <v>4608</v>
      </c>
      <c r="F56" s="160"/>
      <c r="G56" s="160"/>
      <c r="H56" s="160" t="s">
        <v>4608</v>
      </c>
      <c r="I56" s="160"/>
      <c r="J56" s="160" t="s">
        <v>4608</v>
      </c>
      <c r="K56" s="160"/>
      <c r="L56" s="160"/>
      <c r="M56" s="160"/>
      <c r="N56" s="160"/>
      <c r="O56" s="160"/>
      <c r="P56" s="160" t="s">
        <v>4608</v>
      </c>
      <c r="Q56" s="160" t="s">
        <v>4608</v>
      </c>
      <c r="R56" s="160"/>
      <c r="S56" s="160"/>
      <c r="T56" s="160"/>
      <c r="U56" s="160"/>
      <c r="V56" s="160" t="s">
        <v>4608</v>
      </c>
      <c r="W56" s="160"/>
      <c r="X56" s="160" t="s">
        <v>4608</v>
      </c>
      <c r="Y56" s="160"/>
      <c r="Z56" s="160" t="s">
        <v>4607</v>
      </c>
      <c r="AB56" s="160" t="s">
        <v>4608</v>
      </c>
      <c r="AC56" s="160"/>
      <c r="AD56" s="160" t="s">
        <v>4608</v>
      </c>
      <c r="AE56" s="160" t="s">
        <v>4607</v>
      </c>
      <c r="AF56" s="160" t="s">
        <v>4607</v>
      </c>
      <c r="AG56" s="160" t="s">
        <v>4607</v>
      </c>
      <c r="AH56" s="160" t="s">
        <v>4607</v>
      </c>
      <c r="AI56" s="160"/>
      <c r="AJ56" s="160"/>
      <c r="AK56" s="160"/>
      <c r="AL56" s="160" t="s">
        <v>4608</v>
      </c>
      <c r="AM56" s="160"/>
      <c r="AN56" s="160"/>
      <c r="AO56" s="160"/>
      <c r="AP56" s="160"/>
      <c r="AQ56" s="160" t="s">
        <v>4608</v>
      </c>
      <c r="AR56" s="160"/>
      <c r="AS56" s="160"/>
      <c r="AT56" s="160" t="s">
        <v>4608</v>
      </c>
      <c r="AU56" s="160" t="s">
        <v>4607</v>
      </c>
      <c r="AV56" s="160" t="s">
        <v>4608</v>
      </c>
      <c r="AW56" s="160"/>
      <c r="AX56" s="160" t="s">
        <v>5447</v>
      </c>
      <c r="AY56" s="160" t="s">
        <v>4608</v>
      </c>
      <c r="AZ56" s="160"/>
      <c r="BA56" s="160" t="s">
        <v>4608</v>
      </c>
      <c r="BB56" s="160" t="s">
        <v>4608</v>
      </c>
      <c r="BC56" s="160" t="s">
        <v>4608</v>
      </c>
      <c r="BD56" s="160"/>
      <c r="BE56" s="160"/>
      <c r="BF56" s="160"/>
      <c r="BG56" s="160" t="s">
        <v>4608</v>
      </c>
      <c r="BH56" s="160"/>
      <c r="BI56" s="160"/>
      <c r="BJ56" s="160" t="s">
        <v>4608</v>
      </c>
      <c r="BK56" s="160"/>
      <c r="BL56" s="160"/>
      <c r="BM56" s="160"/>
      <c r="BN56" s="201"/>
    </row>
    <row r="57" ht="15.75" customHeight="1">
      <c r="A57" s="24"/>
      <c r="B57" s="10" t="s">
        <v>4609</v>
      </c>
      <c r="C57" s="10"/>
      <c r="D57" s="10"/>
      <c r="E57" s="10" t="s">
        <v>4608</v>
      </c>
      <c r="F57" s="10"/>
      <c r="G57" s="10"/>
      <c r="H57" s="10" t="s">
        <v>4608</v>
      </c>
      <c r="I57" s="10"/>
      <c r="J57" s="10"/>
      <c r="K57" s="10" t="s">
        <v>4607</v>
      </c>
      <c r="L57" s="10"/>
      <c r="M57" s="10"/>
      <c r="N57" s="10"/>
      <c r="O57" s="10"/>
      <c r="P57" s="10"/>
      <c r="Q57" s="31"/>
      <c r="R57" s="10"/>
      <c r="S57" s="10"/>
      <c r="X57" s="10" t="s">
        <v>4607</v>
      </c>
      <c r="Y57" s="10"/>
      <c r="AB57" s="10"/>
      <c r="AC57" s="10"/>
      <c r="AD57" s="10" t="s">
        <v>4607</v>
      </c>
      <c r="AE57" s="10"/>
      <c r="AF57" s="10"/>
      <c r="AG57" s="10"/>
      <c r="AH57" s="10"/>
      <c r="AI57" s="10"/>
      <c r="AJ57" s="10"/>
      <c r="AK57" s="10"/>
      <c r="AL57" s="10"/>
      <c r="AM57" s="10"/>
      <c r="AN57" s="10"/>
      <c r="AO57" s="10"/>
      <c r="AP57" s="10"/>
      <c r="AQ57" s="10"/>
      <c r="AR57" s="10"/>
      <c r="AS57" s="10"/>
      <c r="AT57" s="10" t="s">
        <v>4607</v>
      </c>
      <c r="AU57" s="10"/>
      <c r="AV57" s="10" t="s">
        <v>4607</v>
      </c>
      <c r="AW57" s="10"/>
      <c r="AX57" s="10"/>
      <c r="AY57" s="10" t="s">
        <v>4607</v>
      </c>
      <c r="AZ57" s="10"/>
      <c r="BA57" s="10" t="s">
        <v>4607</v>
      </c>
      <c r="BB57" s="10"/>
      <c r="BC57" s="10"/>
      <c r="BD57" s="10"/>
      <c r="BE57" s="10"/>
      <c r="BF57" s="10"/>
      <c r="BG57" s="10"/>
      <c r="BH57" s="10"/>
      <c r="BI57" s="10"/>
      <c r="BJ57" s="10" t="s">
        <v>4608</v>
      </c>
      <c r="BK57" s="10"/>
      <c r="BL57" s="10"/>
      <c r="BM57" s="10"/>
      <c r="BN57" s="10"/>
    </row>
    <row r="58" ht="15.75" customHeight="1">
      <c r="A58" s="27"/>
      <c r="B58" s="10" t="s">
        <v>4610</v>
      </c>
      <c r="C58" s="10"/>
      <c r="D58" s="10"/>
      <c r="E58" s="10" t="s">
        <v>4611</v>
      </c>
      <c r="F58" s="10" t="s">
        <v>4611</v>
      </c>
      <c r="G58" s="10" t="s">
        <v>4611</v>
      </c>
      <c r="H58" s="10" t="s">
        <v>4611</v>
      </c>
      <c r="I58" s="10"/>
      <c r="J58" s="10" t="s">
        <v>4607</v>
      </c>
      <c r="K58" s="10"/>
      <c r="L58" s="10" t="s">
        <v>4611</v>
      </c>
      <c r="M58" s="10"/>
      <c r="N58" s="10" t="s">
        <v>4607</v>
      </c>
      <c r="O58" s="10"/>
      <c r="P58" s="10" t="s">
        <v>4607</v>
      </c>
      <c r="Q58" s="10" t="s">
        <v>4607</v>
      </c>
      <c r="R58" s="10" t="s">
        <v>4607</v>
      </c>
      <c r="S58" s="10"/>
      <c r="T58" s="10" t="s">
        <v>4611</v>
      </c>
      <c r="U58" s="10" t="s">
        <v>4611</v>
      </c>
      <c r="V58" s="10" t="s">
        <v>4607</v>
      </c>
      <c r="W58" s="10" t="s">
        <v>4607</v>
      </c>
      <c r="X58" s="10"/>
      <c r="Y58" s="10"/>
      <c r="Z58" s="10"/>
      <c r="AA58" s="160" t="s">
        <v>4611</v>
      </c>
      <c r="AB58" s="10"/>
      <c r="AD58" s="10"/>
      <c r="AE58" s="10"/>
      <c r="AF58" s="10"/>
      <c r="AG58" s="10"/>
      <c r="AH58" s="10"/>
      <c r="AI58" s="10"/>
      <c r="AM58" s="10"/>
      <c r="AN58" s="10"/>
      <c r="AR58" s="10"/>
      <c r="AS58" s="10"/>
      <c r="AU58" s="10"/>
      <c r="AV58" s="10"/>
      <c r="AX58" s="10"/>
      <c r="AY58" s="10" t="s">
        <v>4611</v>
      </c>
      <c r="AZ58" s="10" t="s">
        <v>4611</v>
      </c>
      <c r="BA58" s="10" t="s">
        <v>4611</v>
      </c>
      <c r="BB58" s="10"/>
      <c r="BC58" s="10" t="s">
        <v>4611</v>
      </c>
      <c r="BD58" s="10" t="s">
        <v>4611</v>
      </c>
      <c r="BE58" s="10" t="s">
        <v>4611</v>
      </c>
      <c r="BF58" s="10"/>
      <c r="BG58" s="10"/>
      <c r="BH58" s="10"/>
      <c r="BI58" s="10"/>
      <c r="BJ58" s="10"/>
      <c r="BK58" s="10" t="s">
        <v>4611</v>
      </c>
      <c r="BL58" s="10"/>
      <c r="BM58" s="10"/>
      <c r="BN58" s="10"/>
    </row>
    <row r="59" ht="15.75" customHeight="1">
      <c r="A59" s="24"/>
      <c r="B59" s="10" t="s">
        <v>4612</v>
      </c>
      <c r="C59" s="10"/>
      <c r="D59" s="10"/>
      <c r="E59" s="10">
        <v>3.0</v>
      </c>
      <c r="F59" s="10"/>
      <c r="G59" s="10"/>
      <c r="H59" s="10"/>
      <c r="I59" s="10"/>
      <c r="J59" s="10"/>
      <c r="K59" s="10"/>
      <c r="L59" s="10"/>
      <c r="M59" s="10"/>
      <c r="N59" s="10"/>
      <c r="O59" s="10"/>
      <c r="P59" s="10"/>
      <c r="Q59" s="31"/>
      <c r="R59" s="10"/>
      <c r="S59" s="10"/>
      <c r="T59" s="10"/>
      <c r="U59" s="10"/>
      <c r="V59" s="10"/>
      <c r="W59" s="10"/>
      <c r="X59" s="10"/>
      <c r="Y59" s="10"/>
      <c r="Z59" s="10">
        <v>3.0</v>
      </c>
      <c r="AA59" s="10">
        <v>4.0</v>
      </c>
      <c r="AB59" s="10"/>
      <c r="AC59" s="10">
        <v>4.0</v>
      </c>
      <c r="AD59" s="10"/>
      <c r="AE59" s="10"/>
      <c r="AF59" s="10"/>
      <c r="AG59" s="10"/>
      <c r="AH59" s="10"/>
      <c r="AI59" s="10"/>
      <c r="AJ59" s="10"/>
      <c r="AK59" s="10"/>
      <c r="AL59" s="10"/>
      <c r="AM59" s="10"/>
      <c r="AN59" s="10"/>
      <c r="AO59" s="10"/>
      <c r="AP59" s="10"/>
      <c r="AQ59" s="10"/>
      <c r="AR59" s="10"/>
      <c r="AS59" s="10"/>
      <c r="AT59" s="10" t="s">
        <v>5448</v>
      </c>
      <c r="AU59" s="10"/>
      <c r="AV59" s="10"/>
      <c r="AW59" s="10"/>
      <c r="AX59" s="10"/>
      <c r="AY59" s="10"/>
      <c r="AZ59" s="10"/>
      <c r="BA59" s="10"/>
      <c r="BB59" s="10"/>
      <c r="BC59" s="10"/>
      <c r="BD59" s="10"/>
      <c r="BE59" s="10"/>
      <c r="BF59" s="10"/>
      <c r="BG59" s="10"/>
      <c r="BH59" s="10"/>
      <c r="BI59" s="10"/>
      <c r="BJ59" s="10"/>
      <c r="BK59" s="10"/>
      <c r="BL59" s="10"/>
      <c r="BM59" s="10"/>
      <c r="BN59" s="10"/>
    </row>
    <row r="60" ht="15.75" customHeight="1">
      <c r="A60" s="10"/>
      <c r="B60" s="10" t="s">
        <v>4613</v>
      </c>
      <c r="C60" s="10"/>
      <c r="D60" s="10"/>
      <c r="E60" s="10"/>
      <c r="F60" s="10"/>
      <c r="G60" s="10"/>
      <c r="H60" s="10"/>
      <c r="I60" s="10" t="s">
        <v>4614</v>
      </c>
      <c r="J60" s="10"/>
      <c r="K60" s="10"/>
      <c r="L60" s="10"/>
      <c r="M60" s="10" t="s">
        <v>4614</v>
      </c>
      <c r="N60" s="10"/>
      <c r="O60" s="10" t="s">
        <v>4614</v>
      </c>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t="s">
        <v>4614</v>
      </c>
      <c r="BG60" s="10"/>
      <c r="BH60" s="10" t="s">
        <v>4614</v>
      </c>
      <c r="BI60" s="10"/>
      <c r="BJ60" s="10"/>
      <c r="BK60" s="10"/>
      <c r="BL60" s="10"/>
      <c r="BM60" s="10"/>
      <c r="BN60" s="10"/>
    </row>
    <row r="61" ht="15.75" customHeight="1">
      <c r="A61" s="10"/>
      <c r="B61" s="10" t="s">
        <v>4615</v>
      </c>
      <c r="C61" s="10"/>
      <c r="D61" s="10"/>
      <c r="E61" s="10"/>
      <c r="F61" s="10"/>
      <c r="G61" s="10"/>
      <c r="H61" s="10"/>
      <c r="I61" s="10" t="s">
        <v>4616</v>
      </c>
      <c r="J61" s="10"/>
      <c r="K61" s="10" t="s">
        <v>4616</v>
      </c>
      <c r="L61" s="10"/>
      <c r="M61" s="10" t="s">
        <v>4616</v>
      </c>
      <c r="N61" s="10"/>
      <c r="O61" s="10" t="s">
        <v>4616</v>
      </c>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t="s">
        <v>4616</v>
      </c>
      <c r="BG61" s="10" t="s">
        <v>4616</v>
      </c>
      <c r="BH61" s="10" t="s">
        <v>4616</v>
      </c>
      <c r="BI61" s="10" t="s">
        <v>4616</v>
      </c>
      <c r="BJ61" s="10"/>
      <c r="BK61" s="10"/>
      <c r="BL61" s="10" t="s">
        <v>4616</v>
      </c>
      <c r="BM61" s="10" t="s">
        <v>4616</v>
      </c>
      <c r="BN61" s="10" t="s">
        <v>4616</v>
      </c>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t="s">
        <v>5449</v>
      </c>
      <c r="BJ62" s="10"/>
      <c r="BK62" s="10"/>
      <c r="BL62" s="10"/>
      <c r="BM62" s="10"/>
      <c r="BN62" s="10" t="s">
        <v>5449</v>
      </c>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8"/>
      <c r="AB66" s="10"/>
      <c r="AC66" s="108"/>
      <c r="AD66" s="10"/>
      <c r="AE66" s="10"/>
      <c r="AF66" s="10"/>
      <c r="AG66" s="10"/>
      <c r="AH66" s="10"/>
      <c r="AI66" s="108"/>
      <c r="AJ66" s="108"/>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8"/>
      <c r="AB67" s="10"/>
      <c r="AC67" s="108"/>
      <c r="AD67" s="10"/>
      <c r="AE67" s="10"/>
      <c r="AF67" s="10"/>
      <c r="AG67" s="10"/>
      <c r="AH67" s="10"/>
      <c r="AI67" s="108"/>
      <c r="AJ67" s="108"/>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8"/>
      <c r="AB68" s="10"/>
      <c r="AC68" s="108"/>
      <c r="AD68" s="10"/>
      <c r="AE68" s="10"/>
      <c r="AF68" s="10"/>
      <c r="AG68" s="10"/>
      <c r="AH68" s="10"/>
      <c r="AI68" s="108"/>
      <c r="AJ68" s="108"/>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8"/>
      <c r="AB69" s="10"/>
      <c r="AC69" s="108"/>
      <c r="AD69" s="10"/>
      <c r="AE69" s="10"/>
      <c r="AF69" s="10"/>
      <c r="AG69" s="10"/>
      <c r="AH69" s="10"/>
      <c r="AI69" s="108"/>
      <c r="AJ69" s="108"/>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8"/>
      <c r="AB70" s="10"/>
      <c r="AC70" s="108"/>
      <c r="AD70" s="10"/>
      <c r="AE70" s="10"/>
      <c r="AF70" s="10"/>
      <c r="AG70" s="10"/>
      <c r="AH70" s="10"/>
      <c r="AI70" s="108"/>
      <c r="AJ70" s="108"/>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8"/>
      <c r="AB71" s="10"/>
      <c r="AC71" s="108"/>
      <c r="AD71" s="10"/>
      <c r="AE71" s="10"/>
      <c r="AF71" s="10"/>
      <c r="AG71" s="10"/>
      <c r="AH71" s="10"/>
      <c r="AI71" s="108"/>
      <c r="AJ71" s="108"/>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8"/>
      <c r="AB72" s="10"/>
      <c r="AC72" s="108"/>
      <c r="AD72" s="10"/>
      <c r="AE72" s="10"/>
      <c r="AF72" s="10"/>
      <c r="AG72" s="10"/>
      <c r="AH72" s="10"/>
      <c r="AI72" s="108"/>
      <c r="AJ72" s="108"/>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8"/>
      <c r="AB73" s="10"/>
      <c r="AC73" s="108"/>
      <c r="AD73" s="10"/>
      <c r="AE73" s="10"/>
      <c r="AF73" s="10"/>
      <c r="AG73" s="10"/>
      <c r="AH73" s="10"/>
      <c r="AI73" s="108"/>
      <c r="AJ73" s="108"/>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8"/>
      <c r="AB74" s="10"/>
      <c r="AC74" s="108"/>
      <c r="AD74" s="10"/>
      <c r="AE74" s="10"/>
      <c r="AF74" s="10"/>
      <c r="AG74" s="10"/>
      <c r="AH74" s="10"/>
      <c r="AI74" s="108"/>
      <c r="AJ74" s="108"/>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8"/>
      <c r="AB75" s="10"/>
      <c r="AC75" s="108"/>
      <c r="AD75" s="10"/>
      <c r="AE75" s="10"/>
      <c r="AF75" s="10"/>
      <c r="AG75" s="10"/>
      <c r="AH75" s="10"/>
      <c r="AI75" s="108"/>
      <c r="AJ75" s="108"/>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8"/>
      <c r="AB76" s="10"/>
      <c r="AC76" s="108"/>
      <c r="AD76" s="10"/>
      <c r="AE76" s="10"/>
      <c r="AF76" s="10"/>
      <c r="AG76" s="10"/>
      <c r="AH76" s="10"/>
      <c r="AI76" s="108"/>
      <c r="AJ76" s="108"/>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8"/>
      <c r="AB77" s="10"/>
      <c r="AC77" s="108"/>
      <c r="AD77" s="10"/>
      <c r="AE77" s="10"/>
      <c r="AF77" s="10"/>
      <c r="AG77" s="10"/>
      <c r="AH77" s="10"/>
      <c r="AI77" s="108"/>
      <c r="AJ77" s="108"/>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8"/>
      <c r="AB78" s="10"/>
      <c r="AC78" s="108"/>
      <c r="AD78" s="10"/>
      <c r="AE78" s="10"/>
      <c r="AF78" s="10"/>
      <c r="AG78" s="10"/>
      <c r="AH78" s="10"/>
      <c r="AI78" s="108"/>
      <c r="AJ78" s="108"/>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8"/>
      <c r="AB79" s="10"/>
      <c r="AC79" s="108"/>
      <c r="AD79" s="10"/>
      <c r="AE79" s="10"/>
      <c r="AF79" s="10"/>
      <c r="AG79" s="10"/>
      <c r="AH79" s="10"/>
      <c r="AI79" s="108"/>
      <c r="AJ79" s="108"/>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8"/>
      <c r="AB80" s="10"/>
      <c r="AC80" s="108"/>
      <c r="AD80" s="10"/>
      <c r="AE80" s="10"/>
      <c r="AF80" s="10"/>
      <c r="AG80" s="10"/>
      <c r="AH80" s="10"/>
      <c r="AI80" s="108"/>
      <c r="AJ80" s="108"/>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8"/>
      <c r="AB81" s="10"/>
      <c r="AC81" s="108"/>
      <c r="AD81" s="10"/>
      <c r="AE81" s="10"/>
      <c r="AF81" s="10"/>
      <c r="AG81" s="10"/>
      <c r="AH81" s="10"/>
      <c r="AI81" s="108"/>
      <c r="AJ81" s="108"/>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8"/>
      <c r="AB82" s="10"/>
      <c r="AC82" s="108"/>
      <c r="AD82" s="10"/>
      <c r="AE82" s="10"/>
      <c r="AF82" s="10"/>
      <c r="AG82" s="10"/>
      <c r="AH82" s="10"/>
      <c r="AI82" s="108"/>
      <c r="AJ82" s="108"/>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8"/>
      <c r="AB83" s="10"/>
      <c r="AC83" s="108"/>
      <c r="AD83" s="10"/>
      <c r="AE83" s="10"/>
      <c r="AF83" s="10"/>
      <c r="AG83" s="10"/>
      <c r="AH83" s="10"/>
      <c r="AI83" s="108"/>
      <c r="AJ83" s="108"/>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8"/>
      <c r="AB84" s="10"/>
      <c r="AC84" s="108"/>
      <c r="AD84" s="10"/>
      <c r="AE84" s="10"/>
      <c r="AF84" s="10"/>
      <c r="AG84" s="10"/>
      <c r="AH84" s="10"/>
      <c r="AI84" s="108"/>
      <c r="AJ84" s="108"/>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8"/>
      <c r="AB85" s="10"/>
      <c r="AC85" s="108"/>
      <c r="AD85" s="10"/>
      <c r="AE85" s="10"/>
      <c r="AF85" s="10"/>
      <c r="AG85" s="10"/>
      <c r="AH85" s="10"/>
      <c r="AI85" s="108"/>
      <c r="AJ85" s="108"/>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8"/>
      <c r="AB86" s="10"/>
      <c r="AC86" s="108"/>
      <c r="AD86" s="10"/>
      <c r="AE86" s="10"/>
      <c r="AF86" s="10"/>
      <c r="AG86" s="10"/>
      <c r="AH86" s="10"/>
      <c r="AI86" s="108"/>
      <c r="AJ86" s="108"/>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8"/>
      <c r="AB87" s="10"/>
      <c r="AC87" s="108"/>
      <c r="AD87" s="10"/>
      <c r="AE87" s="10"/>
      <c r="AF87" s="10"/>
      <c r="AG87" s="10"/>
      <c r="AH87" s="10"/>
      <c r="AI87" s="108"/>
      <c r="AJ87" s="108"/>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8"/>
      <c r="AB88" s="10"/>
      <c r="AC88" s="108"/>
      <c r="AD88" s="10"/>
      <c r="AE88" s="10"/>
      <c r="AF88" s="10"/>
      <c r="AG88" s="10"/>
      <c r="AH88" s="10"/>
      <c r="AI88" s="108"/>
      <c r="AJ88" s="108"/>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8"/>
      <c r="AB89" s="10"/>
      <c r="AC89" s="108"/>
      <c r="AD89" s="10"/>
      <c r="AE89" s="10"/>
      <c r="AF89" s="10"/>
      <c r="AG89" s="10"/>
      <c r="AH89" s="10"/>
      <c r="AI89" s="108"/>
      <c r="AJ89" s="108"/>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8"/>
      <c r="AB90" s="10"/>
      <c r="AC90" s="108"/>
      <c r="AD90" s="10"/>
      <c r="AE90" s="10"/>
      <c r="AF90" s="10"/>
      <c r="AG90" s="10"/>
      <c r="AH90" s="10"/>
      <c r="AI90" s="108"/>
      <c r="AJ90" s="108"/>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8"/>
      <c r="AB91" s="10"/>
      <c r="AC91" s="108"/>
      <c r="AD91" s="10"/>
      <c r="AE91" s="10"/>
      <c r="AF91" s="10"/>
      <c r="AG91" s="10"/>
      <c r="AH91" s="10"/>
      <c r="AI91" s="108"/>
      <c r="AJ91" s="108"/>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8"/>
      <c r="AB92" s="10"/>
      <c r="AC92" s="108"/>
      <c r="AD92" s="10"/>
      <c r="AE92" s="10"/>
      <c r="AF92" s="10"/>
      <c r="AG92" s="10"/>
      <c r="AH92" s="10"/>
      <c r="AI92" s="108"/>
      <c r="AJ92" s="108"/>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8"/>
      <c r="AB93" s="10"/>
      <c r="AC93" s="108"/>
      <c r="AD93" s="10"/>
      <c r="AE93" s="10"/>
      <c r="AF93" s="10"/>
      <c r="AG93" s="10"/>
      <c r="AH93" s="10"/>
      <c r="AI93" s="108"/>
      <c r="AJ93" s="108"/>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8"/>
      <c r="AB94" s="10"/>
      <c r="AC94" s="108"/>
      <c r="AD94" s="10"/>
      <c r="AE94" s="10"/>
      <c r="AF94" s="10"/>
      <c r="AG94" s="10"/>
      <c r="AH94" s="10"/>
      <c r="AI94" s="108"/>
      <c r="AJ94" s="108"/>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8"/>
      <c r="AB95" s="10"/>
      <c r="AC95" s="108"/>
      <c r="AD95" s="10"/>
      <c r="AE95" s="10"/>
      <c r="AF95" s="10"/>
      <c r="AG95" s="10"/>
      <c r="AH95" s="10"/>
      <c r="AI95" s="108"/>
      <c r="AJ95" s="108"/>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8"/>
      <c r="AB96" s="10"/>
      <c r="AC96" s="108"/>
      <c r="AD96" s="10"/>
      <c r="AE96" s="10"/>
      <c r="AF96" s="10"/>
      <c r="AG96" s="10"/>
      <c r="AH96" s="10"/>
      <c r="AI96" s="108"/>
      <c r="AJ96" s="108"/>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8"/>
      <c r="AB97" s="10"/>
      <c r="AC97" s="108"/>
      <c r="AD97" s="10"/>
      <c r="AE97" s="10"/>
      <c r="AF97" s="10"/>
      <c r="AG97" s="10"/>
      <c r="AH97" s="10"/>
      <c r="AI97" s="108"/>
      <c r="AJ97" s="108"/>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8"/>
      <c r="AB98" s="10"/>
      <c r="AC98" s="108"/>
      <c r="AD98" s="10"/>
      <c r="AE98" s="10"/>
      <c r="AF98" s="10"/>
      <c r="AG98" s="10"/>
      <c r="AH98" s="10"/>
      <c r="AI98" s="108"/>
      <c r="AJ98" s="108"/>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8"/>
      <c r="AB99" s="10"/>
      <c r="AC99" s="108"/>
      <c r="AD99" s="10"/>
      <c r="AE99" s="10"/>
      <c r="AF99" s="10"/>
      <c r="AG99" s="10"/>
      <c r="AH99" s="10"/>
      <c r="AI99" s="108"/>
      <c r="AJ99" s="108"/>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8"/>
      <c r="AB100" s="10"/>
      <c r="AC100" s="108"/>
      <c r="AD100" s="10"/>
      <c r="AE100" s="10"/>
      <c r="AF100" s="10"/>
      <c r="AG100" s="10"/>
      <c r="AH100" s="10"/>
      <c r="AI100" s="108"/>
      <c r="AJ100" s="108"/>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8"/>
      <c r="AB101" s="10"/>
      <c r="AC101" s="108"/>
      <c r="AD101" s="10"/>
      <c r="AE101" s="10"/>
      <c r="AF101" s="10"/>
      <c r="AG101" s="10"/>
      <c r="AH101" s="10"/>
      <c r="AI101" s="108"/>
      <c r="AJ101" s="108"/>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8"/>
      <c r="AB102" s="10"/>
      <c r="AC102" s="108"/>
      <c r="AD102" s="10"/>
      <c r="AE102" s="10"/>
      <c r="AF102" s="10"/>
      <c r="AG102" s="10"/>
      <c r="AH102" s="10"/>
      <c r="AI102" s="108"/>
      <c r="AJ102" s="108"/>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8"/>
      <c r="AB103" s="10"/>
      <c r="AC103" s="108"/>
      <c r="AD103" s="10"/>
      <c r="AE103" s="10"/>
      <c r="AF103" s="10"/>
      <c r="AG103" s="10"/>
      <c r="AH103" s="10"/>
      <c r="AI103" s="108"/>
      <c r="AJ103" s="108"/>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8"/>
      <c r="AB104" s="10"/>
      <c r="AC104" s="108"/>
      <c r="AD104" s="10"/>
      <c r="AE104" s="10"/>
      <c r="AF104" s="10"/>
      <c r="AG104" s="10"/>
      <c r="AH104" s="10"/>
      <c r="AI104" s="108"/>
      <c r="AJ104" s="108"/>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8"/>
      <c r="AB105" s="10"/>
      <c r="AC105" s="108"/>
      <c r="AD105" s="10"/>
      <c r="AE105" s="10"/>
      <c r="AF105" s="10"/>
      <c r="AG105" s="10"/>
      <c r="AH105" s="10"/>
      <c r="AI105" s="108"/>
      <c r="AJ105" s="108"/>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8"/>
      <c r="AB106" s="10"/>
      <c r="AC106" s="108"/>
      <c r="AD106" s="10"/>
      <c r="AE106" s="10"/>
      <c r="AF106" s="10"/>
      <c r="AG106" s="10"/>
      <c r="AH106" s="10"/>
      <c r="AI106" s="108"/>
      <c r="AJ106" s="108"/>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8"/>
      <c r="AB107" s="10"/>
      <c r="AC107" s="108"/>
      <c r="AD107" s="10"/>
      <c r="AE107" s="10"/>
      <c r="AF107" s="10"/>
      <c r="AG107" s="10"/>
      <c r="AH107" s="10"/>
      <c r="AI107" s="108"/>
      <c r="AJ107" s="108"/>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8"/>
      <c r="AB108" s="10"/>
      <c r="AC108" s="108"/>
      <c r="AD108" s="10"/>
      <c r="AE108" s="10"/>
      <c r="AF108" s="10"/>
      <c r="AG108" s="10"/>
      <c r="AH108" s="10"/>
      <c r="AI108" s="108"/>
      <c r="AJ108" s="108"/>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8"/>
      <c r="AB109" s="10"/>
      <c r="AC109" s="108"/>
      <c r="AD109" s="10"/>
      <c r="AE109" s="10"/>
      <c r="AF109" s="10"/>
      <c r="AG109" s="10"/>
      <c r="AH109" s="10"/>
      <c r="AI109" s="108"/>
      <c r="AJ109" s="108"/>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8"/>
      <c r="AB110" s="10"/>
      <c r="AC110" s="108"/>
      <c r="AD110" s="10"/>
      <c r="AE110" s="10"/>
      <c r="AF110" s="10"/>
      <c r="AG110" s="10"/>
      <c r="AH110" s="10"/>
      <c r="AI110" s="108"/>
      <c r="AJ110" s="108"/>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8"/>
      <c r="AB111" s="10"/>
      <c r="AC111" s="108"/>
      <c r="AD111" s="10"/>
      <c r="AE111" s="10"/>
      <c r="AF111" s="10"/>
      <c r="AG111" s="10"/>
      <c r="AH111" s="10"/>
      <c r="AI111" s="108"/>
      <c r="AJ111" s="108"/>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8"/>
      <c r="AB112" s="10"/>
      <c r="AC112" s="108"/>
      <c r="AD112" s="10"/>
      <c r="AE112" s="10"/>
      <c r="AF112" s="10"/>
      <c r="AG112" s="10"/>
      <c r="AH112" s="10"/>
      <c r="AI112" s="108"/>
      <c r="AJ112" s="108"/>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8"/>
      <c r="AB113" s="10"/>
      <c r="AC113" s="108"/>
      <c r="AD113" s="10"/>
      <c r="AE113" s="10"/>
      <c r="AF113" s="10"/>
      <c r="AG113" s="10"/>
      <c r="AH113" s="10"/>
      <c r="AI113" s="108"/>
      <c r="AJ113" s="108"/>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8"/>
      <c r="AB114" s="10"/>
      <c r="AC114" s="108"/>
      <c r="AD114" s="10"/>
      <c r="AE114" s="10"/>
      <c r="AF114" s="10"/>
      <c r="AG114" s="10"/>
      <c r="AH114" s="10"/>
      <c r="AI114" s="108"/>
      <c r="AJ114" s="108"/>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8"/>
      <c r="AB115" s="10"/>
      <c r="AC115" s="108"/>
      <c r="AD115" s="10"/>
      <c r="AE115" s="10"/>
      <c r="AF115" s="10"/>
      <c r="AG115" s="10"/>
      <c r="AH115" s="10"/>
      <c r="AI115" s="108"/>
      <c r="AJ115" s="108"/>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8"/>
      <c r="AB116" s="10"/>
      <c r="AC116" s="108"/>
      <c r="AD116" s="10"/>
      <c r="AE116" s="10"/>
      <c r="AF116" s="10"/>
      <c r="AG116" s="10"/>
      <c r="AH116" s="10"/>
      <c r="AI116" s="108"/>
      <c r="AJ116" s="108"/>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8"/>
      <c r="AB117" s="10"/>
      <c r="AC117" s="108"/>
      <c r="AD117" s="10"/>
      <c r="AE117" s="10"/>
      <c r="AF117" s="10"/>
      <c r="AG117" s="10"/>
      <c r="AH117" s="10"/>
      <c r="AI117" s="108"/>
      <c r="AJ117" s="108"/>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8"/>
      <c r="AB118" s="10"/>
      <c r="AC118" s="108"/>
      <c r="AD118" s="10"/>
      <c r="AE118" s="10"/>
      <c r="AF118" s="10"/>
      <c r="AG118" s="10"/>
      <c r="AH118" s="10"/>
      <c r="AI118" s="108"/>
      <c r="AJ118" s="108"/>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8"/>
      <c r="AB119" s="10"/>
      <c r="AC119" s="108"/>
      <c r="AD119" s="10"/>
      <c r="AE119" s="10"/>
      <c r="AF119" s="10"/>
      <c r="AG119" s="10"/>
      <c r="AH119" s="10"/>
      <c r="AI119" s="108"/>
      <c r="AJ119" s="108"/>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8"/>
      <c r="AB120" s="10"/>
      <c r="AC120" s="108"/>
      <c r="AD120" s="10"/>
      <c r="AE120" s="10"/>
      <c r="AF120" s="10"/>
      <c r="AG120" s="10"/>
      <c r="AH120" s="10"/>
      <c r="AI120" s="108"/>
      <c r="AJ120" s="108"/>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8"/>
      <c r="AB121" s="10"/>
      <c r="AC121" s="108"/>
      <c r="AD121" s="10"/>
      <c r="AE121" s="10"/>
      <c r="AF121" s="10"/>
      <c r="AG121" s="10"/>
      <c r="AH121" s="10"/>
      <c r="AI121" s="108"/>
      <c r="AJ121" s="108"/>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8"/>
      <c r="AB122" s="10"/>
      <c r="AC122" s="108"/>
      <c r="AD122" s="10"/>
      <c r="AE122" s="10"/>
      <c r="AF122" s="10"/>
      <c r="AG122" s="10"/>
      <c r="AH122" s="10"/>
      <c r="AI122" s="108"/>
      <c r="AJ122" s="108"/>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8"/>
      <c r="AB123" s="10"/>
      <c r="AC123" s="108"/>
      <c r="AD123" s="10"/>
      <c r="AE123" s="10"/>
      <c r="AF123" s="10"/>
      <c r="AG123" s="10"/>
      <c r="AH123" s="10"/>
      <c r="AI123" s="108"/>
      <c r="AJ123" s="108"/>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8"/>
      <c r="AB124" s="10"/>
      <c r="AC124" s="108"/>
      <c r="AD124" s="10"/>
      <c r="AE124" s="10"/>
      <c r="AF124" s="10"/>
      <c r="AG124" s="10"/>
      <c r="AH124" s="10"/>
      <c r="AI124" s="108"/>
      <c r="AJ124" s="108"/>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8"/>
      <c r="AB125" s="10"/>
      <c r="AC125" s="108"/>
      <c r="AD125" s="10"/>
      <c r="AE125" s="10"/>
      <c r="AF125" s="10"/>
      <c r="AG125" s="10"/>
      <c r="AH125" s="10"/>
      <c r="AI125" s="108"/>
      <c r="AJ125" s="108"/>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8"/>
      <c r="AB126" s="10"/>
      <c r="AC126" s="108"/>
      <c r="AD126" s="10"/>
      <c r="AE126" s="10"/>
      <c r="AF126" s="10"/>
      <c r="AG126" s="10"/>
      <c r="AH126" s="10"/>
      <c r="AI126" s="108"/>
      <c r="AJ126" s="108"/>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8"/>
      <c r="AB127" s="10"/>
      <c r="AC127" s="108"/>
      <c r="AD127" s="10"/>
      <c r="AE127" s="10"/>
      <c r="AF127" s="10"/>
      <c r="AG127" s="10"/>
      <c r="AH127" s="10"/>
      <c r="AI127" s="108"/>
      <c r="AJ127" s="108"/>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8"/>
      <c r="AB128" s="10"/>
      <c r="AC128" s="108"/>
      <c r="AD128" s="10"/>
      <c r="AE128" s="10"/>
      <c r="AF128" s="10"/>
      <c r="AG128" s="10"/>
      <c r="AH128" s="10"/>
      <c r="AI128" s="108"/>
      <c r="AJ128" s="108"/>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8"/>
      <c r="AB129" s="10"/>
      <c r="AC129" s="108"/>
      <c r="AD129" s="10"/>
      <c r="AE129" s="10"/>
      <c r="AF129" s="10"/>
      <c r="AG129" s="10"/>
      <c r="AH129" s="10"/>
      <c r="AI129" s="108"/>
      <c r="AJ129" s="108"/>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8"/>
      <c r="AB130" s="10"/>
      <c r="AC130" s="108"/>
      <c r="AD130" s="10"/>
      <c r="AE130" s="10"/>
      <c r="AF130" s="10"/>
      <c r="AG130" s="10"/>
      <c r="AH130" s="10"/>
      <c r="AI130" s="108"/>
      <c r="AJ130" s="108"/>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8"/>
      <c r="AB131" s="10"/>
      <c r="AC131" s="108"/>
      <c r="AD131" s="10"/>
      <c r="AE131" s="10"/>
      <c r="AF131" s="10"/>
      <c r="AG131" s="10"/>
      <c r="AH131" s="10"/>
      <c r="AI131" s="108"/>
      <c r="AJ131" s="108"/>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8"/>
      <c r="AB132" s="10"/>
      <c r="AC132" s="108"/>
      <c r="AD132" s="10"/>
      <c r="AE132" s="10"/>
      <c r="AF132" s="10"/>
      <c r="AG132" s="10"/>
      <c r="AH132" s="10"/>
      <c r="AI132" s="108"/>
      <c r="AJ132" s="108"/>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8"/>
      <c r="AB133" s="10"/>
      <c r="AC133" s="108"/>
      <c r="AD133" s="10"/>
      <c r="AE133" s="10"/>
      <c r="AF133" s="10"/>
      <c r="AG133" s="10"/>
      <c r="AH133" s="10"/>
      <c r="AI133" s="108"/>
      <c r="AJ133" s="108"/>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8"/>
      <c r="AB134" s="10"/>
      <c r="AC134" s="108"/>
      <c r="AD134" s="10"/>
      <c r="AE134" s="10"/>
      <c r="AF134" s="10"/>
      <c r="AG134" s="10"/>
      <c r="AH134" s="10"/>
      <c r="AI134" s="108"/>
      <c r="AJ134" s="108"/>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8"/>
      <c r="AB135" s="10"/>
      <c r="AC135" s="108"/>
      <c r="AD135" s="10"/>
      <c r="AE135" s="10"/>
      <c r="AF135" s="10"/>
      <c r="AG135" s="10"/>
      <c r="AH135" s="10"/>
      <c r="AI135" s="108"/>
      <c r="AJ135" s="108"/>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8"/>
      <c r="AB136" s="10"/>
      <c r="AC136" s="108"/>
      <c r="AD136" s="10"/>
      <c r="AE136" s="10"/>
      <c r="AF136" s="10"/>
      <c r="AG136" s="10"/>
      <c r="AH136" s="10"/>
      <c r="AI136" s="108"/>
      <c r="AJ136" s="108"/>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8"/>
      <c r="AB137" s="10"/>
      <c r="AC137" s="108"/>
      <c r="AD137" s="10"/>
      <c r="AE137" s="10"/>
      <c r="AF137" s="10"/>
      <c r="AG137" s="10"/>
      <c r="AH137" s="10"/>
      <c r="AI137" s="108"/>
      <c r="AJ137" s="108"/>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8"/>
      <c r="AB138" s="10"/>
      <c r="AC138" s="108"/>
      <c r="AD138" s="10"/>
      <c r="AE138" s="10"/>
      <c r="AF138" s="10"/>
      <c r="AG138" s="10"/>
      <c r="AH138" s="10"/>
      <c r="AI138" s="108"/>
      <c r="AJ138" s="108"/>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8"/>
      <c r="AB139" s="10"/>
      <c r="AC139" s="108"/>
      <c r="AD139" s="10"/>
      <c r="AE139" s="10"/>
      <c r="AF139" s="10"/>
      <c r="AG139" s="10"/>
      <c r="AH139" s="10"/>
      <c r="AI139" s="108"/>
      <c r="AJ139" s="108"/>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8"/>
      <c r="AB140" s="10"/>
      <c r="AC140" s="108"/>
      <c r="AD140" s="10"/>
      <c r="AE140" s="10"/>
      <c r="AF140" s="10"/>
      <c r="AG140" s="10"/>
      <c r="AH140" s="10"/>
      <c r="AI140" s="108"/>
      <c r="AJ140" s="108"/>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8"/>
      <c r="AB141" s="10"/>
      <c r="AC141" s="108"/>
      <c r="AD141" s="10"/>
      <c r="AE141" s="10"/>
      <c r="AF141" s="10"/>
      <c r="AG141" s="10"/>
      <c r="AH141" s="10"/>
      <c r="AI141" s="108"/>
      <c r="AJ141" s="108"/>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8"/>
      <c r="AB142" s="10"/>
      <c r="AC142" s="108"/>
      <c r="AD142" s="10"/>
      <c r="AE142" s="10"/>
      <c r="AF142" s="10"/>
      <c r="AG142" s="10"/>
      <c r="AH142" s="10"/>
      <c r="AI142" s="108"/>
      <c r="AJ142" s="108"/>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8"/>
      <c r="AB143" s="10"/>
      <c r="AC143" s="108"/>
      <c r="AD143" s="10"/>
      <c r="AE143" s="10"/>
      <c r="AF143" s="10"/>
      <c r="AG143" s="10"/>
      <c r="AH143" s="10"/>
      <c r="AI143" s="108"/>
      <c r="AJ143" s="108"/>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8"/>
      <c r="AB144" s="10"/>
      <c r="AC144" s="108"/>
      <c r="AD144" s="10"/>
      <c r="AE144" s="10"/>
      <c r="AF144" s="10"/>
      <c r="AG144" s="10"/>
      <c r="AH144" s="10"/>
      <c r="AI144" s="108"/>
      <c r="AJ144" s="108"/>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8"/>
      <c r="AB145" s="10"/>
      <c r="AC145" s="108"/>
      <c r="AD145" s="10"/>
      <c r="AE145" s="10"/>
      <c r="AF145" s="10"/>
      <c r="AG145" s="10"/>
      <c r="AH145" s="10"/>
      <c r="AI145" s="108"/>
      <c r="AJ145" s="108"/>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8"/>
      <c r="AB146" s="10"/>
      <c r="AC146" s="108"/>
      <c r="AD146" s="10"/>
      <c r="AE146" s="10"/>
      <c r="AF146" s="10"/>
      <c r="AG146" s="10"/>
      <c r="AH146" s="10"/>
      <c r="AI146" s="108"/>
      <c r="AJ146" s="108"/>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8"/>
      <c r="AB147" s="10"/>
      <c r="AC147" s="108"/>
      <c r="AD147" s="10"/>
      <c r="AE147" s="10"/>
      <c r="AF147" s="10"/>
      <c r="AG147" s="10"/>
      <c r="AH147" s="10"/>
      <c r="AI147" s="108"/>
      <c r="AJ147" s="108"/>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8"/>
      <c r="AB148" s="10"/>
      <c r="AC148" s="108"/>
      <c r="AD148" s="10"/>
      <c r="AE148" s="10"/>
      <c r="AF148" s="10"/>
      <c r="AG148" s="10"/>
      <c r="AH148" s="10"/>
      <c r="AI148" s="108"/>
      <c r="AJ148" s="108"/>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8"/>
      <c r="AB149" s="10"/>
      <c r="AC149" s="108"/>
      <c r="AD149" s="10"/>
      <c r="AE149" s="10"/>
      <c r="AF149" s="10"/>
      <c r="AG149" s="10"/>
      <c r="AH149" s="10"/>
      <c r="AI149" s="108"/>
      <c r="AJ149" s="108"/>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8"/>
      <c r="AB150" s="10"/>
      <c r="AC150" s="108"/>
      <c r="AD150" s="10"/>
      <c r="AE150" s="10"/>
      <c r="AF150" s="10"/>
      <c r="AG150" s="10"/>
      <c r="AH150" s="10"/>
      <c r="AI150" s="108"/>
      <c r="AJ150" s="108"/>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8"/>
      <c r="AB151" s="10"/>
      <c r="AC151" s="108"/>
      <c r="AD151" s="10"/>
      <c r="AE151" s="10"/>
      <c r="AF151" s="10"/>
      <c r="AG151" s="10"/>
      <c r="AH151" s="10"/>
      <c r="AI151" s="108"/>
      <c r="AJ151" s="108"/>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8"/>
      <c r="AB152" s="10"/>
      <c r="AC152" s="108"/>
      <c r="AD152" s="10"/>
      <c r="AE152" s="10"/>
      <c r="AF152" s="10"/>
      <c r="AG152" s="10"/>
      <c r="AH152" s="10"/>
      <c r="AI152" s="108"/>
      <c r="AJ152" s="108"/>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8"/>
      <c r="AB153" s="10"/>
      <c r="AC153" s="108"/>
      <c r="AD153" s="10"/>
      <c r="AE153" s="10"/>
      <c r="AF153" s="10"/>
      <c r="AG153" s="10"/>
      <c r="AH153" s="10"/>
      <c r="AI153" s="108"/>
      <c r="AJ153" s="108"/>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8"/>
      <c r="AB154" s="10"/>
      <c r="AC154" s="108"/>
      <c r="AD154" s="10"/>
      <c r="AE154" s="10"/>
      <c r="AF154" s="10"/>
      <c r="AG154" s="10"/>
      <c r="AH154" s="10"/>
      <c r="AI154" s="108"/>
      <c r="AJ154" s="108"/>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8"/>
      <c r="AB155" s="10"/>
      <c r="AC155" s="108"/>
      <c r="AD155" s="10"/>
      <c r="AE155" s="10"/>
      <c r="AF155" s="10"/>
      <c r="AG155" s="10"/>
      <c r="AH155" s="10"/>
      <c r="AI155" s="108"/>
      <c r="AJ155" s="108"/>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8"/>
      <c r="AB156" s="10"/>
      <c r="AC156" s="108"/>
      <c r="AD156" s="10"/>
      <c r="AE156" s="10"/>
      <c r="AF156" s="10"/>
      <c r="AG156" s="10"/>
      <c r="AH156" s="10"/>
      <c r="AI156" s="108"/>
      <c r="AJ156" s="108"/>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8"/>
      <c r="AB157" s="10"/>
      <c r="AC157" s="108"/>
      <c r="AD157" s="10"/>
      <c r="AE157" s="10"/>
      <c r="AF157" s="10"/>
      <c r="AG157" s="10"/>
      <c r="AH157" s="10"/>
      <c r="AI157" s="108"/>
      <c r="AJ157" s="108"/>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8"/>
      <c r="AB158" s="10"/>
      <c r="AC158" s="108"/>
      <c r="AD158" s="10"/>
      <c r="AE158" s="10"/>
      <c r="AF158" s="10"/>
      <c r="AG158" s="10"/>
      <c r="AH158" s="10"/>
      <c r="AI158" s="108"/>
      <c r="AJ158" s="108"/>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8"/>
      <c r="AB159" s="10"/>
      <c r="AC159" s="108"/>
      <c r="AD159" s="10"/>
      <c r="AE159" s="10"/>
      <c r="AF159" s="10"/>
      <c r="AG159" s="10"/>
      <c r="AH159" s="10"/>
      <c r="AI159" s="108"/>
      <c r="AJ159" s="108"/>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8"/>
      <c r="AB160" s="10"/>
      <c r="AC160" s="108"/>
      <c r="AD160" s="10"/>
      <c r="AE160" s="10"/>
      <c r="AF160" s="10"/>
      <c r="AG160" s="10"/>
      <c r="AH160" s="10"/>
      <c r="AI160" s="108"/>
      <c r="AJ160" s="108"/>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8"/>
      <c r="AB161" s="10"/>
      <c r="AC161" s="108"/>
      <c r="AD161" s="10"/>
      <c r="AE161" s="10"/>
      <c r="AF161" s="10"/>
      <c r="AG161" s="10"/>
      <c r="AH161" s="10"/>
      <c r="AI161" s="108"/>
      <c r="AJ161" s="108"/>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8"/>
      <c r="AB162" s="10"/>
      <c r="AC162" s="108"/>
      <c r="AD162" s="10"/>
      <c r="AE162" s="10"/>
      <c r="AF162" s="10"/>
      <c r="AG162" s="10"/>
      <c r="AH162" s="10"/>
      <c r="AI162" s="108"/>
      <c r="AJ162" s="108"/>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8"/>
      <c r="AB163" s="10"/>
      <c r="AC163" s="108"/>
      <c r="AD163" s="10"/>
      <c r="AE163" s="10"/>
      <c r="AF163" s="10"/>
      <c r="AG163" s="10"/>
      <c r="AH163" s="10"/>
      <c r="AI163" s="108"/>
      <c r="AJ163" s="108"/>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8"/>
      <c r="AB164" s="10"/>
      <c r="AC164" s="108"/>
      <c r="AD164" s="10"/>
      <c r="AE164" s="10"/>
      <c r="AF164" s="10"/>
      <c r="AG164" s="10"/>
      <c r="AH164" s="10"/>
      <c r="AI164" s="108"/>
      <c r="AJ164" s="108"/>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8"/>
      <c r="AB165" s="10"/>
      <c r="AC165" s="108"/>
      <c r="AD165" s="10"/>
      <c r="AE165" s="10"/>
      <c r="AF165" s="10"/>
      <c r="AG165" s="10"/>
      <c r="AH165" s="10"/>
      <c r="AI165" s="108"/>
      <c r="AJ165" s="108"/>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8"/>
      <c r="AB166" s="10"/>
      <c r="AC166" s="108"/>
      <c r="AD166" s="10"/>
      <c r="AE166" s="10"/>
      <c r="AF166" s="10"/>
      <c r="AG166" s="10"/>
      <c r="AH166" s="10"/>
      <c r="AI166" s="108"/>
      <c r="AJ166" s="108"/>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8"/>
      <c r="AB167" s="10"/>
      <c r="AC167" s="108"/>
      <c r="AD167" s="10"/>
      <c r="AE167" s="10"/>
      <c r="AF167" s="10"/>
      <c r="AG167" s="10"/>
      <c r="AH167" s="10"/>
      <c r="AI167" s="108"/>
      <c r="AJ167" s="108"/>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8"/>
      <c r="AB168" s="10"/>
      <c r="AC168" s="108"/>
      <c r="AD168" s="10"/>
      <c r="AE168" s="10"/>
      <c r="AF168" s="10"/>
      <c r="AG168" s="10"/>
      <c r="AH168" s="10"/>
      <c r="AI168" s="108"/>
      <c r="AJ168" s="108"/>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8"/>
      <c r="AB169" s="10"/>
      <c r="AC169" s="108"/>
      <c r="AD169" s="10"/>
      <c r="AE169" s="10"/>
      <c r="AF169" s="10"/>
      <c r="AG169" s="10"/>
      <c r="AH169" s="10"/>
      <c r="AI169" s="108"/>
      <c r="AJ169" s="108"/>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8"/>
      <c r="AB170" s="10"/>
      <c r="AC170" s="108"/>
      <c r="AD170" s="10"/>
      <c r="AE170" s="10"/>
      <c r="AF170" s="10"/>
      <c r="AG170" s="10"/>
      <c r="AH170" s="10"/>
      <c r="AI170" s="108"/>
      <c r="AJ170" s="108"/>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8"/>
      <c r="AB171" s="10"/>
      <c r="AC171" s="108"/>
      <c r="AD171" s="10"/>
      <c r="AE171" s="10"/>
      <c r="AF171" s="10"/>
      <c r="AG171" s="10"/>
      <c r="AH171" s="10"/>
      <c r="AI171" s="108"/>
      <c r="AJ171" s="108"/>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8"/>
      <c r="AB172" s="10"/>
      <c r="AC172" s="108"/>
      <c r="AD172" s="10"/>
      <c r="AE172" s="10"/>
      <c r="AF172" s="10"/>
      <c r="AG172" s="10"/>
      <c r="AH172" s="10"/>
      <c r="AI172" s="108"/>
      <c r="AJ172" s="108"/>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8"/>
      <c r="AB173" s="10"/>
      <c r="AC173" s="108"/>
      <c r="AD173" s="10"/>
      <c r="AE173" s="10"/>
      <c r="AF173" s="10"/>
      <c r="AG173" s="10"/>
      <c r="AH173" s="10"/>
      <c r="AI173" s="108"/>
      <c r="AJ173" s="108"/>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8"/>
      <c r="AB174" s="10"/>
      <c r="AC174" s="108"/>
      <c r="AD174" s="10"/>
      <c r="AE174" s="10"/>
      <c r="AF174" s="10"/>
      <c r="AG174" s="10"/>
      <c r="AH174" s="10"/>
      <c r="AI174" s="108"/>
      <c r="AJ174" s="108"/>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8"/>
      <c r="AB175" s="10"/>
      <c r="AC175" s="108"/>
      <c r="AD175" s="10"/>
      <c r="AE175" s="10"/>
      <c r="AF175" s="10"/>
      <c r="AG175" s="10"/>
      <c r="AH175" s="10"/>
      <c r="AI175" s="108"/>
      <c r="AJ175" s="108"/>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8"/>
      <c r="AB176" s="10"/>
      <c r="AC176" s="108"/>
      <c r="AD176" s="10"/>
      <c r="AE176" s="10"/>
      <c r="AF176" s="10"/>
      <c r="AG176" s="10"/>
      <c r="AH176" s="10"/>
      <c r="AI176" s="108"/>
      <c r="AJ176" s="108"/>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8"/>
      <c r="AB177" s="10"/>
      <c r="AC177" s="108"/>
      <c r="AD177" s="10"/>
      <c r="AE177" s="10"/>
      <c r="AF177" s="10"/>
      <c r="AG177" s="10"/>
      <c r="AH177" s="10"/>
      <c r="AI177" s="108"/>
      <c r="AJ177" s="108"/>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8"/>
      <c r="AB178" s="10"/>
      <c r="AC178" s="108"/>
      <c r="AD178" s="10"/>
      <c r="AE178" s="10"/>
      <c r="AF178" s="10"/>
      <c r="AG178" s="10"/>
      <c r="AH178" s="10"/>
      <c r="AI178" s="108"/>
      <c r="AJ178" s="108"/>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8"/>
      <c r="AB179" s="10"/>
      <c r="AC179" s="108"/>
      <c r="AD179" s="10"/>
      <c r="AE179" s="10"/>
      <c r="AF179" s="10"/>
      <c r="AG179" s="10"/>
      <c r="AH179" s="10"/>
      <c r="AI179" s="108"/>
      <c r="AJ179" s="108"/>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8"/>
      <c r="AB180" s="10"/>
      <c r="AC180" s="108"/>
      <c r="AD180" s="10"/>
      <c r="AE180" s="10"/>
      <c r="AF180" s="10"/>
      <c r="AG180" s="10"/>
      <c r="AH180" s="10"/>
      <c r="AI180" s="108"/>
      <c r="AJ180" s="108"/>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8"/>
      <c r="AB181" s="10"/>
      <c r="AC181" s="108"/>
      <c r="AD181" s="10"/>
      <c r="AE181" s="10"/>
      <c r="AF181" s="10"/>
      <c r="AG181" s="10"/>
      <c r="AH181" s="10"/>
      <c r="AI181" s="108"/>
      <c r="AJ181" s="108"/>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8"/>
      <c r="AB182" s="10"/>
      <c r="AC182" s="108"/>
      <c r="AD182" s="10"/>
      <c r="AE182" s="10"/>
      <c r="AF182" s="10"/>
      <c r="AG182" s="10"/>
      <c r="AH182" s="10"/>
      <c r="AI182" s="108"/>
      <c r="AJ182" s="108"/>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8"/>
      <c r="AB183" s="10"/>
      <c r="AC183" s="108"/>
      <c r="AD183" s="10"/>
      <c r="AE183" s="10"/>
      <c r="AF183" s="10"/>
      <c r="AG183" s="10"/>
      <c r="AH183" s="10"/>
      <c r="AI183" s="108"/>
      <c r="AJ183" s="108"/>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8"/>
      <c r="AB184" s="10"/>
      <c r="AC184" s="108"/>
      <c r="AD184" s="10"/>
      <c r="AE184" s="10"/>
      <c r="AF184" s="10"/>
      <c r="AG184" s="10"/>
      <c r="AH184" s="10"/>
      <c r="AI184" s="108"/>
      <c r="AJ184" s="108"/>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8"/>
      <c r="AB185" s="10"/>
      <c r="AC185" s="108"/>
      <c r="AD185" s="10"/>
      <c r="AE185" s="10"/>
      <c r="AF185" s="10"/>
      <c r="AG185" s="10"/>
      <c r="AH185" s="10"/>
      <c r="AI185" s="108"/>
      <c r="AJ185" s="108"/>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8"/>
      <c r="AB186" s="10"/>
      <c r="AC186" s="108"/>
      <c r="AD186" s="10"/>
      <c r="AE186" s="10"/>
      <c r="AF186" s="10"/>
      <c r="AG186" s="10"/>
      <c r="AH186" s="10"/>
      <c r="AI186" s="108"/>
      <c r="AJ186" s="108"/>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8"/>
      <c r="AB187" s="10"/>
      <c r="AC187" s="108"/>
      <c r="AD187" s="10"/>
      <c r="AE187" s="10"/>
      <c r="AF187" s="10"/>
      <c r="AG187" s="10"/>
      <c r="AH187" s="10"/>
      <c r="AI187" s="108"/>
      <c r="AJ187" s="108"/>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8"/>
      <c r="AB188" s="10"/>
      <c r="AC188" s="108"/>
      <c r="AD188" s="10"/>
      <c r="AE188" s="10"/>
      <c r="AF188" s="10"/>
      <c r="AG188" s="10"/>
      <c r="AH188" s="10"/>
      <c r="AI188" s="108"/>
      <c r="AJ188" s="108"/>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8"/>
      <c r="AB189" s="10"/>
      <c r="AC189" s="108"/>
      <c r="AD189" s="10"/>
      <c r="AE189" s="10"/>
      <c r="AF189" s="10"/>
      <c r="AG189" s="10"/>
      <c r="AH189" s="10"/>
      <c r="AI189" s="108"/>
      <c r="AJ189" s="108"/>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8"/>
      <c r="AB190" s="10"/>
      <c r="AC190" s="108"/>
      <c r="AD190" s="10"/>
      <c r="AE190" s="10"/>
      <c r="AF190" s="10"/>
      <c r="AG190" s="10"/>
      <c r="AH190" s="10"/>
      <c r="AI190" s="108"/>
      <c r="AJ190" s="108"/>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8"/>
      <c r="AB191" s="10"/>
      <c r="AC191" s="108"/>
      <c r="AD191" s="10"/>
      <c r="AE191" s="10"/>
      <c r="AF191" s="10"/>
      <c r="AG191" s="10"/>
      <c r="AH191" s="10"/>
      <c r="AI191" s="108"/>
      <c r="AJ191" s="108"/>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8"/>
      <c r="AB192" s="10"/>
      <c r="AC192" s="108"/>
      <c r="AD192" s="10"/>
      <c r="AE192" s="10"/>
      <c r="AF192" s="10"/>
      <c r="AG192" s="10"/>
      <c r="AH192" s="10"/>
      <c r="AI192" s="108"/>
      <c r="AJ192" s="108"/>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8"/>
      <c r="AB193" s="10"/>
      <c r="AC193" s="108"/>
      <c r="AD193" s="10"/>
      <c r="AE193" s="10"/>
      <c r="AF193" s="10"/>
      <c r="AG193" s="10"/>
      <c r="AH193" s="10"/>
      <c r="AI193" s="108"/>
      <c r="AJ193" s="108"/>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8"/>
      <c r="AB194" s="10"/>
      <c r="AC194" s="108"/>
      <c r="AD194" s="10"/>
      <c r="AE194" s="10"/>
      <c r="AF194" s="10"/>
      <c r="AG194" s="10"/>
      <c r="AH194" s="10"/>
      <c r="AI194" s="108"/>
      <c r="AJ194" s="108"/>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8"/>
      <c r="AB195" s="10"/>
      <c r="AC195" s="108"/>
      <c r="AD195" s="10"/>
      <c r="AE195" s="10"/>
      <c r="AF195" s="10"/>
      <c r="AG195" s="10"/>
      <c r="AH195" s="10"/>
      <c r="AI195" s="108"/>
      <c r="AJ195" s="108"/>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8"/>
      <c r="AB196" s="10"/>
      <c r="AC196" s="108"/>
      <c r="AD196" s="10"/>
      <c r="AE196" s="10"/>
      <c r="AF196" s="10"/>
      <c r="AG196" s="10"/>
      <c r="AH196" s="10"/>
      <c r="AI196" s="108"/>
      <c r="AJ196" s="108"/>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8"/>
      <c r="AB197" s="10"/>
      <c r="AC197" s="108"/>
      <c r="AD197" s="10"/>
      <c r="AE197" s="10"/>
      <c r="AF197" s="10"/>
      <c r="AG197" s="10"/>
      <c r="AH197" s="10"/>
      <c r="AI197" s="108"/>
      <c r="AJ197" s="108"/>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8"/>
      <c r="AB198" s="10"/>
      <c r="AC198" s="108"/>
      <c r="AD198" s="10"/>
      <c r="AE198" s="10"/>
      <c r="AF198" s="10"/>
      <c r="AG198" s="10"/>
      <c r="AH198" s="10"/>
      <c r="AI198" s="108"/>
      <c r="AJ198" s="108"/>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8"/>
      <c r="AB199" s="10"/>
      <c r="AC199" s="108"/>
      <c r="AD199" s="10"/>
      <c r="AE199" s="10"/>
      <c r="AF199" s="10"/>
      <c r="AG199" s="10"/>
      <c r="AH199" s="10"/>
      <c r="AI199" s="108"/>
      <c r="AJ199" s="108"/>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8"/>
      <c r="AB200" s="10"/>
      <c r="AC200" s="108"/>
      <c r="AD200" s="10"/>
      <c r="AE200" s="10"/>
      <c r="AF200" s="10"/>
      <c r="AG200" s="10"/>
      <c r="AH200" s="10"/>
      <c r="AI200" s="108"/>
      <c r="AJ200" s="108"/>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8"/>
      <c r="AB201" s="10"/>
      <c r="AC201" s="108"/>
      <c r="AD201" s="10"/>
      <c r="AE201" s="10"/>
      <c r="AF201" s="10"/>
      <c r="AG201" s="10"/>
      <c r="AH201" s="10"/>
      <c r="AI201" s="108"/>
      <c r="AJ201" s="108"/>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8"/>
      <c r="AB202" s="10"/>
      <c r="AC202" s="108"/>
      <c r="AD202" s="10"/>
      <c r="AE202" s="10"/>
      <c r="AF202" s="10"/>
      <c r="AG202" s="10"/>
      <c r="AH202" s="10"/>
      <c r="AI202" s="108"/>
      <c r="AJ202" s="108"/>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8"/>
      <c r="AB203" s="10"/>
      <c r="AC203" s="108"/>
      <c r="AD203" s="10"/>
      <c r="AE203" s="10"/>
      <c r="AF203" s="10"/>
      <c r="AG203" s="10"/>
      <c r="AH203" s="10"/>
      <c r="AI203" s="108"/>
      <c r="AJ203" s="108"/>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8"/>
      <c r="AB204" s="10"/>
      <c r="AC204" s="108"/>
      <c r="AD204" s="10"/>
      <c r="AE204" s="10"/>
      <c r="AF204" s="10"/>
      <c r="AG204" s="10"/>
      <c r="AH204" s="10"/>
      <c r="AI204" s="108"/>
      <c r="AJ204" s="108"/>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8"/>
      <c r="AB205" s="10"/>
      <c r="AC205" s="108"/>
      <c r="AD205" s="10"/>
      <c r="AE205" s="10"/>
      <c r="AF205" s="10"/>
      <c r="AG205" s="10"/>
      <c r="AH205" s="10"/>
      <c r="AI205" s="108"/>
      <c r="AJ205" s="108"/>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8"/>
      <c r="AB206" s="10"/>
      <c r="AC206" s="108"/>
      <c r="AD206" s="10"/>
      <c r="AE206" s="10"/>
      <c r="AF206" s="10"/>
      <c r="AG206" s="10"/>
      <c r="AH206" s="10"/>
      <c r="AI206" s="108"/>
      <c r="AJ206" s="108"/>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8"/>
      <c r="AB207" s="10"/>
      <c r="AC207" s="108"/>
      <c r="AD207" s="10"/>
      <c r="AE207" s="10"/>
      <c r="AF207" s="10"/>
      <c r="AG207" s="10"/>
      <c r="AH207" s="10"/>
      <c r="AI207" s="108"/>
      <c r="AJ207" s="108"/>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8"/>
      <c r="AB208" s="10"/>
      <c r="AC208" s="108"/>
      <c r="AD208" s="10"/>
      <c r="AE208" s="10"/>
      <c r="AF208" s="10"/>
      <c r="AG208" s="10"/>
      <c r="AH208" s="10"/>
      <c r="AI208" s="108"/>
      <c r="AJ208" s="108"/>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8"/>
      <c r="AB209" s="10"/>
      <c r="AC209" s="108"/>
      <c r="AD209" s="10"/>
      <c r="AE209" s="10"/>
      <c r="AF209" s="10"/>
      <c r="AG209" s="10"/>
      <c r="AH209" s="10"/>
      <c r="AI209" s="108"/>
      <c r="AJ209" s="108"/>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8"/>
      <c r="AB210" s="10"/>
      <c r="AC210" s="108"/>
      <c r="AD210" s="10"/>
      <c r="AE210" s="10"/>
      <c r="AF210" s="10"/>
      <c r="AG210" s="10"/>
      <c r="AH210" s="10"/>
      <c r="AI210" s="108"/>
      <c r="AJ210" s="108"/>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8"/>
      <c r="AB211" s="10"/>
      <c r="AC211" s="108"/>
      <c r="AD211" s="10"/>
      <c r="AE211" s="10"/>
      <c r="AF211" s="10"/>
      <c r="AG211" s="10"/>
      <c r="AH211" s="10"/>
      <c r="AI211" s="108"/>
      <c r="AJ211" s="108"/>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8"/>
      <c r="AB212" s="10"/>
      <c r="AC212" s="108"/>
      <c r="AD212" s="10"/>
      <c r="AE212" s="10"/>
      <c r="AF212" s="10"/>
      <c r="AG212" s="10"/>
      <c r="AH212" s="10"/>
      <c r="AI212" s="108"/>
      <c r="AJ212" s="108"/>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8"/>
      <c r="AB213" s="10"/>
      <c r="AC213" s="108"/>
      <c r="AD213" s="10"/>
      <c r="AE213" s="10"/>
      <c r="AF213" s="10"/>
      <c r="AG213" s="10"/>
      <c r="AH213" s="10"/>
      <c r="AI213" s="108"/>
      <c r="AJ213" s="108"/>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8"/>
      <c r="AB214" s="10"/>
      <c r="AC214" s="108"/>
      <c r="AD214" s="10"/>
      <c r="AE214" s="10"/>
      <c r="AF214" s="10"/>
      <c r="AG214" s="10"/>
      <c r="AH214" s="10"/>
      <c r="AI214" s="108"/>
      <c r="AJ214" s="108"/>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8"/>
      <c r="AB215" s="10"/>
      <c r="AC215" s="108"/>
      <c r="AD215" s="10"/>
      <c r="AE215" s="10"/>
      <c r="AF215" s="10"/>
      <c r="AG215" s="10"/>
      <c r="AH215" s="10"/>
      <c r="AI215" s="108"/>
      <c r="AJ215" s="108"/>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8"/>
      <c r="AB216" s="10"/>
      <c r="AC216" s="108"/>
      <c r="AD216" s="10"/>
      <c r="AE216" s="10"/>
      <c r="AF216" s="10"/>
      <c r="AG216" s="10"/>
      <c r="AH216" s="10"/>
      <c r="AI216" s="108"/>
      <c r="AJ216" s="108"/>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8"/>
      <c r="AB217" s="10"/>
      <c r="AC217" s="108"/>
      <c r="AD217" s="10"/>
      <c r="AE217" s="10"/>
      <c r="AF217" s="10"/>
      <c r="AG217" s="10"/>
      <c r="AH217" s="10"/>
      <c r="AI217" s="108"/>
      <c r="AJ217" s="108"/>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8"/>
      <c r="AB218" s="10"/>
      <c r="AC218" s="108"/>
      <c r="AD218" s="10"/>
      <c r="AE218" s="10"/>
      <c r="AF218" s="10"/>
      <c r="AG218" s="10"/>
      <c r="AH218" s="10"/>
      <c r="AI218" s="108"/>
      <c r="AJ218" s="108"/>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8"/>
      <c r="AB219" s="10"/>
      <c r="AC219" s="108"/>
      <c r="AD219" s="10"/>
      <c r="AE219" s="10"/>
      <c r="AF219" s="10"/>
      <c r="AG219" s="10"/>
      <c r="AH219" s="10"/>
      <c r="AI219" s="108"/>
      <c r="AJ219" s="108"/>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8"/>
      <c r="AB220" s="10"/>
      <c r="AC220" s="108"/>
      <c r="AD220" s="10"/>
      <c r="AE220" s="10"/>
      <c r="AF220" s="10"/>
      <c r="AG220" s="10"/>
      <c r="AH220" s="10"/>
      <c r="AI220" s="108"/>
      <c r="AJ220" s="108"/>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8"/>
      <c r="AB221" s="10"/>
      <c r="AC221" s="108"/>
      <c r="AD221" s="10"/>
      <c r="AE221" s="10"/>
      <c r="AF221" s="10"/>
      <c r="AG221" s="10"/>
      <c r="AH221" s="10"/>
      <c r="AI221" s="108"/>
      <c r="AJ221" s="108"/>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8"/>
      <c r="AB222" s="10"/>
      <c r="AC222" s="108"/>
      <c r="AD222" s="10"/>
      <c r="AE222" s="10"/>
      <c r="AF222" s="10"/>
      <c r="AG222" s="10"/>
      <c r="AH222" s="10"/>
      <c r="AI222" s="108"/>
      <c r="AJ222" s="108"/>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8"/>
      <c r="AB223" s="10"/>
      <c r="AC223" s="108"/>
      <c r="AD223" s="10"/>
      <c r="AE223" s="10"/>
      <c r="AF223" s="10"/>
      <c r="AG223" s="10"/>
      <c r="AH223" s="10"/>
      <c r="AI223" s="108"/>
      <c r="AJ223" s="108"/>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8"/>
      <c r="AB224" s="10"/>
      <c r="AC224" s="108"/>
      <c r="AD224" s="10"/>
      <c r="AE224" s="10"/>
      <c r="AF224" s="10"/>
      <c r="AG224" s="10"/>
      <c r="AH224" s="10"/>
      <c r="AI224" s="108"/>
      <c r="AJ224" s="108"/>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8"/>
      <c r="AB225" s="10"/>
      <c r="AC225" s="108"/>
      <c r="AD225" s="10"/>
      <c r="AE225" s="10"/>
      <c r="AF225" s="10"/>
      <c r="AG225" s="10"/>
      <c r="AH225" s="10"/>
      <c r="AI225" s="108"/>
      <c r="AJ225" s="108"/>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8"/>
      <c r="AB226" s="10"/>
      <c r="AC226" s="108"/>
      <c r="AD226" s="10"/>
      <c r="AE226" s="10"/>
      <c r="AF226" s="10"/>
      <c r="AG226" s="10"/>
      <c r="AH226" s="10"/>
      <c r="AI226" s="108"/>
      <c r="AJ226" s="108"/>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8"/>
      <c r="AB227" s="10"/>
      <c r="AC227" s="108"/>
      <c r="AD227" s="10"/>
      <c r="AE227" s="10"/>
      <c r="AF227" s="10"/>
      <c r="AG227" s="10"/>
      <c r="AH227" s="10"/>
      <c r="AI227" s="108"/>
      <c r="AJ227" s="108"/>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8"/>
      <c r="AB228" s="10"/>
      <c r="AC228" s="108"/>
      <c r="AD228" s="10"/>
      <c r="AE228" s="10"/>
      <c r="AF228" s="10"/>
      <c r="AG228" s="10"/>
      <c r="AH228" s="10"/>
      <c r="AI228" s="108"/>
      <c r="AJ228" s="108"/>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8"/>
      <c r="AB229" s="10"/>
      <c r="AC229" s="108"/>
      <c r="AD229" s="10"/>
      <c r="AE229" s="10"/>
      <c r="AF229" s="10"/>
      <c r="AG229" s="10"/>
      <c r="AH229" s="10"/>
      <c r="AI229" s="108"/>
      <c r="AJ229" s="108"/>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8"/>
      <c r="AB230" s="10"/>
      <c r="AC230" s="108"/>
      <c r="AD230" s="10"/>
      <c r="AE230" s="10"/>
      <c r="AF230" s="10"/>
      <c r="AG230" s="10"/>
      <c r="AH230" s="10"/>
      <c r="AI230" s="108"/>
      <c r="AJ230" s="108"/>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8"/>
      <c r="AB231" s="10"/>
      <c r="AC231" s="108"/>
      <c r="AD231" s="10"/>
      <c r="AE231" s="10"/>
      <c r="AF231" s="10"/>
      <c r="AG231" s="10"/>
      <c r="AH231" s="10"/>
      <c r="AI231" s="108"/>
      <c r="AJ231" s="108"/>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8"/>
      <c r="AB232" s="10"/>
      <c r="AC232" s="108"/>
      <c r="AD232" s="10"/>
      <c r="AE232" s="10"/>
      <c r="AF232" s="10"/>
      <c r="AG232" s="10"/>
      <c r="AH232" s="10"/>
      <c r="AI232" s="108"/>
      <c r="AJ232" s="108"/>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8"/>
      <c r="AB233" s="10"/>
      <c r="AC233" s="108"/>
      <c r="AD233" s="10"/>
      <c r="AE233" s="10"/>
      <c r="AF233" s="10"/>
      <c r="AG233" s="10"/>
      <c r="AH233" s="10"/>
      <c r="AI233" s="108"/>
      <c r="AJ233" s="108"/>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8"/>
      <c r="AB234" s="10"/>
      <c r="AC234" s="108"/>
      <c r="AD234" s="10"/>
      <c r="AE234" s="10"/>
      <c r="AF234" s="10"/>
      <c r="AG234" s="10"/>
      <c r="AH234" s="10"/>
      <c r="AI234" s="108"/>
      <c r="AJ234" s="108"/>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8"/>
      <c r="AB235" s="10"/>
      <c r="AC235" s="108"/>
      <c r="AD235" s="10"/>
      <c r="AE235" s="10"/>
      <c r="AF235" s="10"/>
      <c r="AG235" s="10"/>
      <c r="AH235" s="10"/>
      <c r="AI235" s="108"/>
      <c r="AJ235" s="108"/>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8"/>
      <c r="AB236" s="10"/>
      <c r="AC236" s="108"/>
      <c r="AD236" s="10"/>
      <c r="AE236" s="10"/>
      <c r="AF236" s="10"/>
      <c r="AG236" s="10"/>
      <c r="AH236" s="10"/>
      <c r="AI236" s="108"/>
      <c r="AJ236" s="108"/>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8"/>
      <c r="AB237" s="10"/>
      <c r="AC237" s="108"/>
      <c r="AD237" s="10"/>
      <c r="AE237" s="10"/>
      <c r="AF237" s="10"/>
      <c r="AG237" s="10"/>
      <c r="AH237" s="10"/>
      <c r="AI237" s="108"/>
      <c r="AJ237" s="108"/>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8"/>
      <c r="AB238" s="10"/>
      <c r="AC238" s="108"/>
      <c r="AD238" s="10"/>
      <c r="AE238" s="10"/>
      <c r="AF238" s="10"/>
      <c r="AG238" s="10"/>
      <c r="AH238" s="10"/>
      <c r="AI238" s="108"/>
      <c r="AJ238" s="108"/>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8"/>
      <c r="AB239" s="10"/>
      <c r="AC239" s="108"/>
      <c r="AD239" s="10"/>
      <c r="AE239" s="10"/>
      <c r="AF239" s="10"/>
      <c r="AG239" s="10"/>
      <c r="AH239" s="10"/>
      <c r="AI239" s="108"/>
      <c r="AJ239" s="108"/>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8"/>
      <c r="AB240" s="10"/>
      <c r="AC240" s="108"/>
      <c r="AD240" s="10"/>
      <c r="AE240" s="10"/>
      <c r="AF240" s="10"/>
      <c r="AG240" s="10"/>
      <c r="AH240" s="10"/>
      <c r="AI240" s="108"/>
      <c r="AJ240" s="108"/>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8"/>
      <c r="AB241" s="10"/>
      <c r="AC241" s="108"/>
      <c r="AD241" s="10"/>
      <c r="AE241" s="10"/>
      <c r="AF241" s="10"/>
      <c r="AG241" s="10"/>
      <c r="AH241" s="10"/>
      <c r="AI241" s="108"/>
      <c r="AJ241" s="108"/>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8"/>
      <c r="AB242" s="10"/>
      <c r="AC242" s="108"/>
      <c r="AD242" s="10"/>
      <c r="AE242" s="10"/>
      <c r="AF242" s="10"/>
      <c r="AG242" s="10"/>
      <c r="AH242" s="10"/>
      <c r="AI242" s="108"/>
      <c r="AJ242" s="108"/>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8"/>
      <c r="AB243" s="10"/>
      <c r="AC243" s="108"/>
      <c r="AD243" s="10"/>
      <c r="AE243" s="10"/>
      <c r="AF243" s="10"/>
      <c r="AG243" s="10"/>
      <c r="AH243" s="10"/>
      <c r="AI243" s="108"/>
      <c r="AJ243" s="108"/>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8"/>
      <c r="AB244" s="10"/>
      <c r="AC244" s="108"/>
      <c r="AD244" s="10"/>
      <c r="AE244" s="10"/>
      <c r="AF244" s="10"/>
      <c r="AG244" s="10"/>
      <c r="AH244" s="10"/>
      <c r="AI244" s="108"/>
      <c r="AJ244" s="108"/>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8"/>
      <c r="AB245" s="10"/>
      <c r="AC245" s="108"/>
      <c r="AD245" s="10"/>
      <c r="AE245" s="10"/>
      <c r="AF245" s="10"/>
      <c r="AG245" s="10"/>
      <c r="AH245" s="10"/>
      <c r="AI245" s="108"/>
      <c r="AJ245" s="108"/>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8"/>
      <c r="AB246" s="10"/>
      <c r="AC246" s="108"/>
      <c r="AD246" s="10"/>
      <c r="AE246" s="10"/>
      <c r="AF246" s="10"/>
      <c r="AG246" s="10"/>
      <c r="AH246" s="10"/>
      <c r="AI246" s="108"/>
      <c r="AJ246" s="108"/>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8"/>
      <c r="AB247" s="10"/>
      <c r="AC247" s="108"/>
      <c r="AD247" s="10"/>
      <c r="AE247" s="10"/>
      <c r="AF247" s="10"/>
      <c r="AG247" s="10"/>
      <c r="AH247" s="10"/>
      <c r="AI247" s="108"/>
      <c r="AJ247" s="108"/>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8"/>
      <c r="AB248" s="10"/>
      <c r="AC248" s="108"/>
      <c r="AD248" s="10"/>
      <c r="AE248" s="10"/>
      <c r="AF248" s="10"/>
      <c r="AG248" s="10"/>
      <c r="AH248" s="10"/>
      <c r="AI248" s="108"/>
      <c r="AJ248" s="108"/>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8"/>
      <c r="AB249" s="10"/>
      <c r="AC249" s="108"/>
      <c r="AD249" s="10"/>
      <c r="AE249" s="10"/>
      <c r="AF249" s="10"/>
      <c r="AG249" s="10"/>
      <c r="AH249" s="10"/>
      <c r="AI249" s="108"/>
      <c r="AJ249" s="108"/>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8"/>
      <c r="AB250" s="10"/>
      <c r="AC250" s="108"/>
      <c r="AD250" s="10"/>
      <c r="AE250" s="10"/>
      <c r="AF250" s="10"/>
      <c r="AG250" s="10"/>
      <c r="AH250" s="10"/>
      <c r="AI250" s="108"/>
      <c r="AJ250" s="108"/>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8"/>
      <c r="AB251" s="10"/>
      <c r="AC251" s="108"/>
      <c r="AD251" s="10"/>
      <c r="AE251" s="10"/>
      <c r="AF251" s="10"/>
      <c r="AG251" s="10"/>
      <c r="AH251" s="10"/>
      <c r="AI251" s="108"/>
      <c r="AJ251" s="108"/>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8"/>
      <c r="AB252" s="10"/>
      <c r="AC252" s="108"/>
      <c r="AD252" s="10"/>
      <c r="AE252" s="10"/>
      <c r="AF252" s="10"/>
      <c r="AG252" s="10"/>
      <c r="AH252" s="10"/>
      <c r="AI252" s="108"/>
      <c r="AJ252" s="108"/>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8"/>
      <c r="AB253" s="10"/>
      <c r="AC253" s="108"/>
      <c r="AD253" s="10"/>
      <c r="AE253" s="10"/>
      <c r="AF253" s="10"/>
      <c r="AG253" s="10"/>
      <c r="AH253" s="10"/>
      <c r="AI253" s="108"/>
      <c r="AJ253" s="108"/>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8"/>
      <c r="AB254" s="10"/>
      <c r="AC254" s="108"/>
      <c r="AD254" s="10"/>
      <c r="AE254" s="10"/>
      <c r="AF254" s="10"/>
      <c r="AG254" s="10"/>
      <c r="AH254" s="10"/>
      <c r="AI254" s="108"/>
      <c r="AJ254" s="108"/>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8"/>
      <c r="AB255" s="10"/>
      <c r="AC255" s="108"/>
      <c r="AD255" s="10"/>
      <c r="AE255" s="10"/>
      <c r="AF255" s="10"/>
      <c r="AG255" s="10"/>
      <c r="AH255" s="10"/>
      <c r="AI255" s="108"/>
      <c r="AJ255" s="108"/>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8"/>
      <c r="AB256" s="10"/>
      <c r="AC256" s="108"/>
      <c r="AD256" s="10"/>
      <c r="AE256" s="10"/>
      <c r="AF256" s="10"/>
      <c r="AG256" s="10"/>
      <c r="AH256" s="10"/>
      <c r="AI256" s="108"/>
      <c r="AJ256" s="108"/>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8"/>
      <c r="AB257" s="10"/>
      <c r="AC257" s="108"/>
      <c r="AD257" s="10"/>
      <c r="AE257" s="10"/>
      <c r="AF257" s="10"/>
      <c r="AG257" s="10"/>
      <c r="AH257" s="10"/>
      <c r="AI257" s="108"/>
      <c r="AJ257" s="108"/>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8"/>
      <c r="AB258" s="10"/>
      <c r="AC258" s="108"/>
      <c r="AD258" s="10"/>
      <c r="AE258" s="10"/>
      <c r="AF258" s="10"/>
      <c r="AG258" s="10"/>
      <c r="AH258" s="10"/>
      <c r="AI258" s="108"/>
      <c r="AJ258" s="108"/>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8"/>
      <c r="AB259" s="10"/>
      <c r="AC259" s="108"/>
      <c r="AD259" s="10"/>
      <c r="AE259" s="10"/>
      <c r="AF259" s="10"/>
      <c r="AG259" s="10"/>
      <c r="AH259" s="10"/>
      <c r="AI259" s="108"/>
      <c r="AJ259" s="108"/>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8"/>
      <c r="AB260" s="10"/>
      <c r="AC260" s="108"/>
      <c r="AD260" s="10"/>
      <c r="AE260" s="10"/>
      <c r="AF260" s="10"/>
      <c r="AG260" s="10"/>
      <c r="AH260" s="10"/>
      <c r="AI260" s="108"/>
      <c r="AJ260" s="108"/>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8"/>
      <c r="AB261" s="10"/>
      <c r="AC261" s="108"/>
      <c r="AD261" s="10"/>
      <c r="AE261" s="10"/>
      <c r="AF261" s="10"/>
      <c r="AG261" s="10"/>
      <c r="AH261" s="10"/>
      <c r="AI261" s="108"/>
      <c r="AJ261" s="108"/>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8"/>
      <c r="AB262" s="10"/>
      <c r="AC262" s="108"/>
      <c r="AD262" s="10"/>
      <c r="AE262" s="10"/>
      <c r="AF262" s="10"/>
      <c r="AG262" s="10"/>
      <c r="AH262" s="10"/>
      <c r="AI262" s="108"/>
      <c r="AJ262" s="108"/>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38"/>
    <col customWidth="1" min="2" max="2" width="6.63"/>
    <col customWidth="1" min="3" max="3" width="5.25"/>
    <col customWidth="1" min="4" max="4" width="5.38"/>
    <col customWidth="1" min="5" max="5" width="26.25"/>
    <col customWidth="1" min="6" max="6" width="59.38"/>
    <col customWidth="1" min="7" max="7" width="5.13"/>
    <col customWidth="1" min="8" max="9" width="4.0"/>
    <col customWidth="1" min="10" max="12" width="4.88"/>
    <col customWidth="1" min="13" max="13" width="4.13"/>
    <col customWidth="1" min="14" max="14" width="4.75"/>
    <col customWidth="1" min="15" max="15" width="8.75"/>
    <col customWidth="1" min="16" max="16" width="12.25"/>
  </cols>
  <sheetData>
    <row r="1" ht="15.75" customHeight="1">
      <c r="A1" s="20" t="s">
        <v>1462</v>
      </c>
      <c r="B1" s="21" t="s">
        <v>34</v>
      </c>
      <c r="C1" s="20" t="s">
        <v>35</v>
      </c>
      <c r="D1" s="20" t="s">
        <v>36</v>
      </c>
      <c r="E1" s="20" t="s">
        <v>37</v>
      </c>
      <c r="F1" s="20" t="s">
        <v>38</v>
      </c>
      <c r="G1" s="20" t="s">
        <v>39</v>
      </c>
      <c r="H1" s="20" t="s">
        <v>40</v>
      </c>
      <c r="I1" s="20" t="s">
        <v>41</v>
      </c>
      <c r="J1" s="20" t="s">
        <v>42</v>
      </c>
      <c r="K1" s="20" t="s">
        <v>43</v>
      </c>
      <c r="L1" s="20" t="s">
        <v>44</v>
      </c>
      <c r="M1" s="20" t="s">
        <v>45</v>
      </c>
      <c r="N1" s="20" t="s">
        <v>46</v>
      </c>
      <c r="O1" s="22" t="s">
        <v>47</v>
      </c>
      <c r="P1" s="23" t="s">
        <v>48</v>
      </c>
    </row>
    <row r="2" ht="15.75" customHeight="1">
      <c r="A2" s="139">
        <v>45560.0</v>
      </c>
      <c r="B2" s="10">
        <v>0.0</v>
      </c>
      <c r="C2" s="25">
        <v>0.1111111111111111</v>
      </c>
      <c r="D2" s="25">
        <v>0.13194444444444445</v>
      </c>
      <c r="E2" s="34" t="s">
        <v>5450</v>
      </c>
      <c r="F2" s="10" t="s">
        <v>5451</v>
      </c>
      <c r="G2" s="10">
        <v>6.0</v>
      </c>
      <c r="H2" s="10">
        <v>5.0</v>
      </c>
      <c r="I2" s="10">
        <v>0.0</v>
      </c>
      <c r="J2" s="10">
        <v>0.0</v>
      </c>
      <c r="K2" s="10">
        <v>1.0</v>
      </c>
      <c r="L2" s="10">
        <v>0.0</v>
      </c>
      <c r="M2" s="10">
        <v>4.0</v>
      </c>
      <c r="N2" s="10">
        <v>0.0</v>
      </c>
      <c r="O2" s="10"/>
      <c r="P2" s="10"/>
    </row>
    <row r="3" ht="15.75" customHeight="1">
      <c r="B3" s="13">
        <v>0.0</v>
      </c>
      <c r="C3" s="28">
        <v>0.1625</v>
      </c>
      <c r="D3" s="28">
        <v>0.17777777777777778</v>
      </c>
      <c r="E3" s="34" t="s">
        <v>5452</v>
      </c>
      <c r="F3" s="10" t="s">
        <v>5453</v>
      </c>
      <c r="G3" s="13">
        <v>3.0</v>
      </c>
      <c r="H3" s="13">
        <v>2.0</v>
      </c>
      <c r="I3" s="13">
        <v>1.0</v>
      </c>
      <c r="J3" s="13">
        <v>0.0</v>
      </c>
      <c r="K3" s="13">
        <v>0.0</v>
      </c>
      <c r="L3" s="13">
        <v>0.0</v>
      </c>
      <c r="M3" s="13">
        <v>0.0</v>
      </c>
      <c r="N3" s="13">
        <v>3.0</v>
      </c>
    </row>
    <row r="4" ht="15.75" customHeight="1">
      <c r="E4" s="10"/>
      <c r="F4" s="10"/>
    </row>
    <row r="5" ht="15.75" customHeight="1">
      <c r="A5" s="29">
        <v>45561.0</v>
      </c>
      <c r="B5" s="13">
        <v>0.0</v>
      </c>
      <c r="C5" s="28">
        <v>0.4375</v>
      </c>
      <c r="D5" s="28">
        <v>0.4548611111111111</v>
      </c>
      <c r="E5" s="34" t="s">
        <v>5454</v>
      </c>
      <c r="F5" s="10" t="s">
        <v>5455</v>
      </c>
      <c r="G5" s="13">
        <v>5.0</v>
      </c>
      <c r="H5" s="13">
        <v>1.0</v>
      </c>
      <c r="I5" s="13">
        <v>3.0</v>
      </c>
      <c r="J5" s="13">
        <v>1.0</v>
      </c>
      <c r="K5" s="13">
        <v>0.0</v>
      </c>
      <c r="L5" s="13">
        <v>0.0</v>
      </c>
      <c r="M5" s="13">
        <v>1.0</v>
      </c>
      <c r="N5" s="13">
        <v>3.0</v>
      </c>
    </row>
    <row r="6" ht="15.75" customHeight="1">
      <c r="B6" s="13">
        <v>0.0</v>
      </c>
      <c r="C6" s="28">
        <v>0.5291666666666667</v>
      </c>
      <c r="D6" s="28">
        <v>0.043055555555555555</v>
      </c>
      <c r="E6" s="34" t="s">
        <v>5456</v>
      </c>
      <c r="F6" s="10" t="s">
        <v>5457</v>
      </c>
      <c r="G6" s="13">
        <v>8.0</v>
      </c>
      <c r="H6" s="13">
        <v>0.0</v>
      </c>
      <c r="I6" s="13">
        <v>5.0</v>
      </c>
      <c r="J6" s="13">
        <v>2.0</v>
      </c>
      <c r="K6" s="13">
        <v>3.0</v>
      </c>
      <c r="L6" s="13">
        <v>0.0</v>
      </c>
      <c r="M6" s="13">
        <v>0.0</v>
      </c>
      <c r="N6" s="13">
        <v>3.0</v>
      </c>
    </row>
    <row r="7" ht="15.75" customHeight="1">
      <c r="A7" s="29"/>
      <c r="B7" s="13"/>
      <c r="C7" s="28"/>
      <c r="D7" s="28"/>
      <c r="E7" s="20"/>
      <c r="F7" s="10"/>
      <c r="G7" s="13"/>
      <c r="H7" s="13"/>
      <c r="I7" s="13"/>
      <c r="J7" s="13"/>
      <c r="K7" s="13"/>
      <c r="L7" s="13"/>
      <c r="M7" s="13"/>
      <c r="N7" s="13"/>
    </row>
    <row r="8" ht="15.75" customHeight="1">
      <c r="A8" s="29">
        <v>45562.0</v>
      </c>
      <c r="B8" s="13">
        <v>0.0</v>
      </c>
      <c r="C8" s="28">
        <v>0.4840277777777778</v>
      </c>
      <c r="D8" s="28">
        <v>0.5</v>
      </c>
      <c r="E8" s="34" t="s">
        <v>5458</v>
      </c>
      <c r="F8" s="10" t="s">
        <v>5459</v>
      </c>
      <c r="G8" s="13">
        <v>4.0</v>
      </c>
      <c r="H8" s="13">
        <v>0.0</v>
      </c>
      <c r="I8" s="13">
        <v>3.0</v>
      </c>
      <c r="J8" s="13">
        <v>1.0</v>
      </c>
      <c r="K8" s="13">
        <v>1.0</v>
      </c>
      <c r="L8" s="13">
        <v>0.0</v>
      </c>
      <c r="M8" s="13">
        <v>0.0</v>
      </c>
      <c r="N8" s="13">
        <v>2.0</v>
      </c>
    </row>
    <row r="9" ht="15.75" customHeight="1">
      <c r="B9" s="13">
        <v>0.0</v>
      </c>
      <c r="C9" s="28">
        <v>0.06875</v>
      </c>
      <c r="D9" s="28">
        <v>0.08680555555555555</v>
      </c>
      <c r="E9" s="34" t="s">
        <v>5460</v>
      </c>
      <c r="F9" s="10" t="s">
        <v>5461</v>
      </c>
      <c r="G9" s="13">
        <v>7.0</v>
      </c>
      <c r="H9" s="13">
        <v>1.0</v>
      </c>
      <c r="I9" s="13">
        <v>4.0</v>
      </c>
      <c r="J9" s="13">
        <v>1.0</v>
      </c>
      <c r="K9" s="13">
        <v>3.0</v>
      </c>
      <c r="L9" s="13">
        <v>0.0</v>
      </c>
      <c r="M9" s="13">
        <v>3.0</v>
      </c>
      <c r="N9" s="13">
        <v>2.0</v>
      </c>
    </row>
    <row r="10" ht="15.75" customHeight="1">
      <c r="A10" s="29"/>
      <c r="B10" s="13"/>
      <c r="E10" s="202"/>
      <c r="F10" s="10"/>
    </row>
    <row r="11" ht="15.75" customHeight="1">
      <c r="A11" s="29">
        <v>45565.0</v>
      </c>
      <c r="B11" s="13">
        <v>0.0</v>
      </c>
      <c r="C11" s="28">
        <v>0.4236111111111111</v>
      </c>
      <c r="D11" s="28">
        <v>0.46319444444444446</v>
      </c>
      <c r="E11" s="34" t="s">
        <v>5462</v>
      </c>
      <c r="F11" s="10" t="s">
        <v>5463</v>
      </c>
      <c r="G11" s="13">
        <v>50.0</v>
      </c>
      <c r="H11" s="13">
        <v>15.0</v>
      </c>
      <c r="I11" s="13">
        <v>12.0</v>
      </c>
      <c r="J11" s="13">
        <v>23.0</v>
      </c>
      <c r="K11" s="13">
        <v>1.0</v>
      </c>
      <c r="L11" s="13">
        <v>0.0</v>
      </c>
      <c r="M11" s="13">
        <v>15.0</v>
      </c>
      <c r="N11" s="13">
        <v>4.0</v>
      </c>
    </row>
    <row r="12" ht="15.75" customHeight="1">
      <c r="B12" s="13">
        <v>0.0</v>
      </c>
      <c r="C12" s="28">
        <v>0.052083333333333336</v>
      </c>
      <c r="D12" s="28">
        <v>0.09375</v>
      </c>
      <c r="E12" s="34" t="s">
        <v>5464</v>
      </c>
      <c r="F12" s="10" t="s">
        <v>5465</v>
      </c>
      <c r="G12" s="13">
        <v>57.0</v>
      </c>
      <c r="H12" s="13">
        <v>19.0</v>
      </c>
      <c r="I12" s="13">
        <v>28.0</v>
      </c>
      <c r="J12" s="13">
        <v>9.0</v>
      </c>
      <c r="K12" s="13">
        <v>22.0</v>
      </c>
      <c r="L12" s="13">
        <v>0.0</v>
      </c>
      <c r="M12" s="13">
        <v>11.0</v>
      </c>
      <c r="N12" s="13">
        <v>17.0</v>
      </c>
    </row>
    <row r="13" ht="15.75" customHeight="1">
      <c r="A13" s="29">
        <v>45566.0</v>
      </c>
      <c r="B13" s="13">
        <v>0.0</v>
      </c>
      <c r="C13" s="28">
        <v>0.4173611111111111</v>
      </c>
      <c r="D13" s="28">
        <v>0.45555555555555555</v>
      </c>
      <c r="E13" s="34" t="s">
        <v>5466</v>
      </c>
      <c r="F13" s="10" t="s">
        <v>5467</v>
      </c>
      <c r="G13" s="13">
        <v>36.0</v>
      </c>
      <c r="H13" s="13">
        <v>19.0</v>
      </c>
      <c r="I13" s="13">
        <v>7.0</v>
      </c>
      <c r="J13" s="13">
        <v>8.0</v>
      </c>
      <c r="K13" s="13">
        <v>7.0</v>
      </c>
      <c r="L13" s="13">
        <v>1.0</v>
      </c>
      <c r="M13" s="13">
        <v>2.0</v>
      </c>
      <c r="N13" s="13">
        <v>18.0</v>
      </c>
    </row>
    <row r="14" ht="15.75" customHeight="1">
      <c r="B14" s="13">
        <v>0.0</v>
      </c>
      <c r="C14" s="28">
        <v>0.5326388888888889</v>
      </c>
      <c r="D14" s="28">
        <v>0.09791666666666667</v>
      </c>
      <c r="E14" s="34" t="s">
        <v>5468</v>
      </c>
      <c r="F14" s="10" t="s">
        <v>5469</v>
      </c>
      <c r="G14" s="13">
        <v>60.0</v>
      </c>
      <c r="H14" s="13">
        <v>23.0</v>
      </c>
      <c r="I14" s="13">
        <v>21.0</v>
      </c>
      <c r="J14" s="13">
        <v>15.0</v>
      </c>
      <c r="K14" s="13">
        <v>5.0</v>
      </c>
      <c r="L14" s="13">
        <v>1.0</v>
      </c>
      <c r="M14" s="13">
        <v>15.0</v>
      </c>
      <c r="N14" s="13">
        <v>25.0</v>
      </c>
    </row>
    <row r="15" ht="15.75" customHeight="1">
      <c r="E15" s="10"/>
      <c r="F15" s="10"/>
    </row>
    <row r="16" ht="15.75" customHeight="1">
      <c r="A16" s="30">
        <v>45567.0</v>
      </c>
      <c r="B16" s="13">
        <v>1.0</v>
      </c>
      <c r="C16" s="28">
        <v>0.41041666666666665</v>
      </c>
      <c r="D16" s="28">
        <v>0.4375</v>
      </c>
      <c r="E16" s="10" t="s">
        <v>57</v>
      </c>
      <c r="F16" s="10" t="s">
        <v>5470</v>
      </c>
    </row>
    <row r="17" ht="15.75" customHeight="1">
      <c r="C17" s="28">
        <v>0.44930555555555557</v>
      </c>
      <c r="D17" s="28">
        <v>0.5118055555555555</v>
      </c>
      <c r="E17" s="34" t="s">
        <v>5471</v>
      </c>
      <c r="F17" s="10" t="s">
        <v>5472</v>
      </c>
      <c r="G17" s="13">
        <v>90.0</v>
      </c>
      <c r="H17" s="13">
        <v>36.0</v>
      </c>
      <c r="I17" s="13">
        <v>36.0</v>
      </c>
      <c r="J17" s="13">
        <v>18.0</v>
      </c>
      <c r="K17" s="13">
        <v>29.0</v>
      </c>
      <c r="L17" s="13">
        <v>0.0</v>
      </c>
      <c r="M17" s="13">
        <v>9.0</v>
      </c>
      <c r="N17" s="13">
        <v>36.0</v>
      </c>
    </row>
    <row r="18" ht="15.75" customHeight="1">
      <c r="C18" s="28">
        <v>0.5131944444444444</v>
      </c>
      <c r="D18" s="28">
        <v>0.04236111111111111</v>
      </c>
      <c r="E18" s="10" t="s">
        <v>60</v>
      </c>
      <c r="F18" s="10"/>
    </row>
    <row r="19" ht="15.75" customHeight="1">
      <c r="C19" s="28">
        <v>0.05763888888888889</v>
      </c>
      <c r="D19" s="28">
        <v>0.11458333333333333</v>
      </c>
      <c r="E19" s="34" t="s">
        <v>5473</v>
      </c>
      <c r="F19" s="10" t="s">
        <v>5474</v>
      </c>
      <c r="G19" s="13">
        <v>73.0</v>
      </c>
      <c r="H19" s="13">
        <v>36.0</v>
      </c>
      <c r="I19" s="13">
        <v>28.0</v>
      </c>
      <c r="J19" s="13">
        <v>7.0</v>
      </c>
      <c r="K19" s="13">
        <v>14.0</v>
      </c>
      <c r="L19" s="13">
        <v>2.0</v>
      </c>
      <c r="M19" s="13">
        <v>15.0</v>
      </c>
      <c r="N19" s="13">
        <v>34.0</v>
      </c>
    </row>
    <row r="20" ht="15.75" customHeight="1">
      <c r="C20" s="28">
        <v>0.11527777777777778</v>
      </c>
      <c r="D20" s="28">
        <v>0.13680555555555557</v>
      </c>
      <c r="E20" s="10" t="s">
        <v>63</v>
      </c>
      <c r="F20" s="10"/>
    </row>
    <row r="21" ht="15.75" customHeight="1">
      <c r="E21" s="10"/>
      <c r="F21" s="10"/>
    </row>
    <row r="22" ht="15.75" customHeight="1">
      <c r="A22" s="30">
        <v>45568.0</v>
      </c>
      <c r="B22" s="13">
        <v>2.0</v>
      </c>
      <c r="C22" s="28">
        <v>0.41458333333333336</v>
      </c>
      <c r="D22" s="28">
        <v>0.44027777777777777</v>
      </c>
      <c r="E22" s="13" t="s">
        <v>57</v>
      </c>
      <c r="F22" s="10"/>
    </row>
    <row r="23" ht="15.75" customHeight="1">
      <c r="C23" s="28">
        <v>0.44513888888888886</v>
      </c>
      <c r="D23" s="28">
        <v>0.4840277777777778</v>
      </c>
      <c r="E23" s="34" t="s">
        <v>5475</v>
      </c>
      <c r="F23" s="10" t="s">
        <v>5476</v>
      </c>
      <c r="G23" s="13">
        <v>52.0</v>
      </c>
      <c r="H23" s="13">
        <v>25.0</v>
      </c>
      <c r="I23" s="13">
        <v>23.0</v>
      </c>
      <c r="J23" s="13">
        <v>4.0</v>
      </c>
      <c r="K23" s="13">
        <v>14.0</v>
      </c>
      <c r="L23" s="13">
        <v>1.0</v>
      </c>
      <c r="M23" s="13">
        <v>1.0</v>
      </c>
      <c r="N23" s="13">
        <v>32.0</v>
      </c>
    </row>
    <row r="24" ht="15.75" customHeight="1">
      <c r="C24" s="28">
        <v>0.48680555555555555</v>
      </c>
      <c r="D24" s="28">
        <v>0.5340277777777778</v>
      </c>
      <c r="E24" s="34" t="s">
        <v>5477</v>
      </c>
      <c r="F24" s="10" t="s">
        <v>5478</v>
      </c>
      <c r="G24" s="13">
        <v>62.0</v>
      </c>
      <c r="H24" s="13">
        <v>18.0</v>
      </c>
      <c r="I24" s="13">
        <v>34.0</v>
      </c>
      <c r="J24" s="13">
        <v>5.0</v>
      </c>
      <c r="K24" s="13">
        <v>8.0</v>
      </c>
      <c r="L24" s="13">
        <v>5.0</v>
      </c>
      <c r="M24" s="13">
        <v>17.0</v>
      </c>
      <c r="N24" s="13">
        <v>27.0</v>
      </c>
    </row>
    <row r="25" ht="15.75" customHeight="1">
      <c r="C25" s="28">
        <v>0.5368055555555555</v>
      </c>
      <c r="D25" s="28">
        <v>0.07083333333333333</v>
      </c>
      <c r="E25" s="10" t="s">
        <v>60</v>
      </c>
      <c r="F25" s="10"/>
    </row>
    <row r="26" ht="15.75" customHeight="1">
      <c r="C26" s="28">
        <v>0.07569444444444444</v>
      </c>
      <c r="D26" s="28">
        <v>0.14930555555555555</v>
      </c>
      <c r="E26" s="34" t="s">
        <v>5479</v>
      </c>
      <c r="F26" s="10" t="s">
        <v>5480</v>
      </c>
      <c r="G26" s="13">
        <v>77.0</v>
      </c>
      <c r="H26" s="13">
        <v>27.0</v>
      </c>
      <c r="I26" s="13">
        <v>36.0</v>
      </c>
      <c r="J26" s="13">
        <v>2.0</v>
      </c>
      <c r="K26" s="13">
        <v>13.0</v>
      </c>
      <c r="L26" s="13">
        <v>11.0</v>
      </c>
      <c r="M26" s="13">
        <v>8.0</v>
      </c>
      <c r="N26" s="13">
        <v>42.0</v>
      </c>
    </row>
    <row r="27" ht="15.75" customHeight="1">
      <c r="C27" s="28">
        <v>0.15069444444444444</v>
      </c>
      <c r="D27" s="28">
        <v>0.18263888888888888</v>
      </c>
      <c r="E27" s="10" t="s">
        <v>63</v>
      </c>
      <c r="F27" s="10"/>
    </row>
    <row r="28" ht="15.75" customHeight="1">
      <c r="E28" s="10"/>
      <c r="F28" s="10"/>
    </row>
    <row r="29" ht="15.75" customHeight="1">
      <c r="A29" s="30">
        <v>45569.0</v>
      </c>
      <c r="B29" s="13">
        <v>3.0</v>
      </c>
      <c r="C29" s="28">
        <v>0.4041666666666667</v>
      </c>
      <c r="D29" s="28">
        <v>0.4340277777777778</v>
      </c>
      <c r="E29" s="13" t="s">
        <v>57</v>
      </c>
    </row>
    <row r="30" ht="15.75" customHeight="1">
      <c r="C30" s="28">
        <v>0.43819444444444444</v>
      </c>
      <c r="D30" s="28">
        <v>0.4527777777777778</v>
      </c>
      <c r="E30" s="34" t="s">
        <v>5481</v>
      </c>
      <c r="F30" s="10" t="s">
        <v>5482</v>
      </c>
      <c r="G30" s="13">
        <v>20.0</v>
      </c>
      <c r="H30" s="13">
        <v>12.0</v>
      </c>
      <c r="I30" s="13">
        <v>7.0</v>
      </c>
      <c r="J30" s="13">
        <v>0.0</v>
      </c>
      <c r="K30" s="13">
        <v>5.0</v>
      </c>
      <c r="L30" s="13">
        <v>1.0</v>
      </c>
      <c r="M30" s="13">
        <v>0.0</v>
      </c>
      <c r="N30" s="13">
        <v>13.0</v>
      </c>
    </row>
    <row r="31" ht="15.75" customHeight="1">
      <c r="C31" s="28">
        <v>0.45416666666666666</v>
      </c>
      <c r="D31" s="28">
        <v>0.5020833333333333</v>
      </c>
      <c r="E31" s="34" t="s">
        <v>5483</v>
      </c>
      <c r="F31" s="10" t="s">
        <v>5484</v>
      </c>
      <c r="G31" s="13">
        <v>64.0</v>
      </c>
      <c r="H31" s="13">
        <v>20.0</v>
      </c>
      <c r="I31" s="13">
        <v>32.0</v>
      </c>
      <c r="J31" s="13">
        <v>6.0</v>
      </c>
      <c r="K31" s="13">
        <v>14.0</v>
      </c>
      <c r="L31" s="13">
        <v>6.0</v>
      </c>
      <c r="M31" s="13">
        <v>15.0</v>
      </c>
      <c r="N31" s="13">
        <v>23.0</v>
      </c>
    </row>
    <row r="32" ht="15.75" customHeight="1">
      <c r="C32" s="28">
        <v>0.5041666666666667</v>
      </c>
      <c r="D32" s="28">
        <v>0.5305555555555556</v>
      </c>
      <c r="E32" s="10" t="s">
        <v>60</v>
      </c>
      <c r="F32" s="10"/>
    </row>
    <row r="33" ht="15.75" customHeight="1">
      <c r="C33" s="28">
        <v>0.5340277777777778</v>
      </c>
      <c r="D33" s="28">
        <v>0.09861111111111111</v>
      </c>
      <c r="E33" s="34" t="s">
        <v>5485</v>
      </c>
      <c r="F33" s="10" t="s">
        <v>5486</v>
      </c>
      <c r="G33" s="13">
        <v>86.0</v>
      </c>
      <c r="H33" s="13">
        <v>36.0</v>
      </c>
      <c r="I33" s="13">
        <v>37.0</v>
      </c>
      <c r="J33" s="13">
        <v>4.0</v>
      </c>
      <c r="K33" s="13">
        <v>23.0</v>
      </c>
      <c r="L33" s="13">
        <v>8.0</v>
      </c>
      <c r="M33" s="13">
        <v>15.0</v>
      </c>
      <c r="N33" s="13">
        <v>38.0</v>
      </c>
    </row>
    <row r="34" ht="15.75" customHeight="1">
      <c r="C34" s="28">
        <v>0.15069444444444444</v>
      </c>
      <c r="D34" s="28">
        <v>0.17152777777777778</v>
      </c>
      <c r="E34" s="10" t="s">
        <v>63</v>
      </c>
      <c r="F34" s="10" t="s">
        <v>5487</v>
      </c>
    </row>
    <row r="35" ht="15.75" customHeight="1">
      <c r="E35" s="10"/>
      <c r="F35" s="10"/>
    </row>
    <row r="36" ht="15.75" customHeight="1">
      <c r="A36" s="30">
        <v>45572.0</v>
      </c>
      <c r="B36" s="13">
        <v>4.0</v>
      </c>
      <c r="C36" s="28">
        <v>0.4097222222222222</v>
      </c>
      <c r="D36" s="28">
        <v>0.4354166666666667</v>
      </c>
      <c r="E36" s="13" t="s">
        <v>57</v>
      </c>
      <c r="F36" s="10"/>
    </row>
    <row r="37" ht="15.75" customHeight="1">
      <c r="C37" s="28">
        <v>0.43819444444444444</v>
      </c>
      <c r="D37" s="28">
        <v>0.50625</v>
      </c>
      <c r="E37" s="34" t="s">
        <v>5488</v>
      </c>
      <c r="F37" s="10" t="s">
        <v>5489</v>
      </c>
      <c r="G37" s="13">
        <v>99.0</v>
      </c>
      <c r="H37" s="13">
        <v>37.0</v>
      </c>
      <c r="I37" s="13">
        <v>49.0</v>
      </c>
      <c r="J37" s="13">
        <v>12.0</v>
      </c>
      <c r="K37" s="13">
        <v>18.0</v>
      </c>
      <c r="L37" s="13">
        <v>1.0</v>
      </c>
      <c r="M37" s="13">
        <v>30.0</v>
      </c>
      <c r="N37" s="13">
        <v>37.0</v>
      </c>
      <c r="Q37" s="10" t="s">
        <v>5490</v>
      </c>
    </row>
    <row r="38" ht="15.75" customHeight="1">
      <c r="C38" s="28">
        <v>0.5090277777777777</v>
      </c>
      <c r="D38" s="28">
        <v>0.04375</v>
      </c>
      <c r="E38" s="10" t="s">
        <v>60</v>
      </c>
      <c r="F38" s="10"/>
    </row>
    <row r="39" ht="15.75" customHeight="1">
      <c r="C39" s="28">
        <v>0.049305555555555554</v>
      </c>
      <c r="D39" s="28">
        <v>0.07291666666666667</v>
      </c>
      <c r="E39" s="34" t="s">
        <v>5491</v>
      </c>
      <c r="F39" s="10" t="s">
        <v>5492</v>
      </c>
      <c r="Q39" s="10" t="s">
        <v>5493</v>
      </c>
    </row>
    <row r="40" ht="15.75" customHeight="1">
      <c r="C40" s="28">
        <v>0.07361111111111111</v>
      </c>
      <c r="D40" s="28">
        <v>0.10625</v>
      </c>
      <c r="E40" s="34" t="s">
        <v>5494</v>
      </c>
      <c r="F40" s="10" t="s">
        <v>5495</v>
      </c>
      <c r="G40" s="13">
        <v>77.0</v>
      </c>
      <c r="H40" s="13">
        <v>36.0</v>
      </c>
      <c r="I40" s="13">
        <v>28.0</v>
      </c>
      <c r="J40" s="13">
        <v>2.0</v>
      </c>
      <c r="K40" s="13">
        <v>14.0</v>
      </c>
      <c r="L40" s="13">
        <v>10.0</v>
      </c>
      <c r="M40" s="13">
        <v>18.0</v>
      </c>
      <c r="N40" s="13">
        <v>33.0</v>
      </c>
    </row>
    <row r="41" ht="15.75" customHeight="1">
      <c r="C41" s="28">
        <v>0.1076388888888889</v>
      </c>
      <c r="D41" s="28">
        <v>0.12916666666666668</v>
      </c>
      <c r="E41" s="10" t="s">
        <v>63</v>
      </c>
      <c r="F41" s="10"/>
    </row>
    <row r="42" ht="15.75" customHeight="1">
      <c r="E42" s="10"/>
      <c r="F42" s="10"/>
    </row>
    <row r="43" ht="15.75" customHeight="1">
      <c r="A43" s="30">
        <v>45573.0</v>
      </c>
      <c r="B43" s="13">
        <v>5.0</v>
      </c>
      <c r="C43" s="28">
        <v>0.39791666666666664</v>
      </c>
      <c r="D43" s="28">
        <v>0.4270833333333333</v>
      </c>
      <c r="E43" s="10" t="s">
        <v>57</v>
      </c>
      <c r="F43" s="10"/>
    </row>
    <row r="44" ht="15.75" customHeight="1">
      <c r="C44" s="28">
        <v>0.43333333333333335</v>
      </c>
      <c r="D44" s="28">
        <v>0.4708333333333333</v>
      </c>
      <c r="E44" s="26" t="s">
        <v>5496</v>
      </c>
      <c r="F44" s="10" t="s">
        <v>5497</v>
      </c>
      <c r="G44" s="13">
        <v>66.0</v>
      </c>
      <c r="H44" s="13">
        <v>33.0</v>
      </c>
      <c r="I44" s="13">
        <v>29.0</v>
      </c>
      <c r="J44" s="13">
        <v>1.0</v>
      </c>
      <c r="K44" s="13">
        <v>3.0</v>
      </c>
      <c r="L44" s="13">
        <v>3.0</v>
      </c>
      <c r="M44" s="13">
        <v>30.0</v>
      </c>
      <c r="N44" s="13">
        <v>28.0</v>
      </c>
    </row>
    <row r="45" ht="15.75" customHeight="1">
      <c r="C45" s="28">
        <v>0.47291666666666665</v>
      </c>
      <c r="D45" s="28">
        <v>0.5083333333333333</v>
      </c>
      <c r="E45" s="10" t="s">
        <v>60</v>
      </c>
      <c r="F45" s="10"/>
    </row>
    <row r="46" ht="15.75" customHeight="1">
      <c r="C46" s="28">
        <v>0.5125</v>
      </c>
      <c r="D46" s="28">
        <v>0.06041666666666667</v>
      </c>
      <c r="E46" s="26" t="s">
        <v>5498</v>
      </c>
      <c r="F46" s="10" t="s">
        <v>5499</v>
      </c>
      <c r="G46" s="13">
        <v>80.0</v>
      </c>
      <c r="H46" s="13">
        <v>37.0</v>
      </c>
      <c r="I46" s="13">
        <v>36.0</v>
      </c>
      <c r="J46" s="13">
        <v>3.0</v>
      </c>
      <c r="K46" s="13">
        <v>7.0</v>
      </c>
      <c r="L46" s="13">
        <v>3.0</v>
      </c>
      <c r="M46" s="13">
        <v>39.0</v>
      </c>
      <c r="N46" s="13">
        <v>28.0</v>
      </c>
    </row>
    <row r="47" ht="15.75" customHeight="1">
      <c r="C47" s="28">
        <v>0.0625</v>
      </c>
      <c r="D47" s="28">
        <v>0.0875</v>
      </c>
      <c r="E47" s="10" t="s">
        <v>63</v>
      </c>
      <c r="F47" s="10"/>
    </row>
    <row r="48" ht="15.75" customHeight="1">
      <c r="E48" s="10"/>
      <c r="F48" s="10"/>
    </row>
    <row r="49" ht="15.75" customHeight="1">
      <c r="A49" s="30">
        <v>45574.0</v>
      </c>
      <c r="B49" s="13">
        <v>6.0</v>
      </c>
      <c r="C49" s="28">
        <v>0.3909722222222222</v>
      </c>
      <c r="D49" s="28">
        <v>0.4166666666666667</v>
      </c>
      <c r="E49" s="10" t="s">
        <v>57</v>
      </c>
      <c r="F49" s="10"/>
    </row>
    <row r="50" ht="15.75" customHeight="1">
      <c r="C50" s="28">
        <v>0.4361111111111111</v>
      </c>
      <c r="D50" s="28">
        <v>0.5013888888888889</v>
      </c>
      <c r="E50" s="26" t="s">
        <v>5500</v>
      </c>
      <c r="F50" s="10" t="s">
        <v>5501</v>
      </c>
      <c r="G50" s="13">
        <v>97.0</v>
      </c>
      <c r="H50" s="13">
        <v>44.0</v>
      </c>
      <c r="I50" s="13">
        <v>44.0</v>
      </c>
      <c r="J50" s="13">
        <v>3.0</v>
      </c>
      <c r="K50" s="13">
        <v>13.0</v>
      </c>
      <c r="L50" s="13">
        <v>5.0</v>
      </c>
      <c r="M50" s="13">
        <v>34.0</v>
      </c>
      <c r="N50" s="13">
        <v>41.0</v>
      </c>
    </row>
    <row r="51" ht="15.75" customHeight="1">
      <c r="C51" s="28">
        <v>0.5027777777777778</v>
      </c>
      <c r="D51" s="28">
        <v>0.5284722222222222</v>
      </c>
      <c r="E51" s="10" t="s">
        <v>60</v>
      </c>
      <c r="F51" s="10"/>
    </row>
    <row r="52" ht="15.75" customHeight="1">
      <c r="C52" s="28">
        <v>0.050694444444444445</v>
      </c>
      <c r="D52" s="28">
        <v>0.10972222222222222</v>
      </c>
      <c r="E52" s="26" t="s">
        <v>5502</v>
      </c>
      <c r="F52" s="10" t="s">
        <v>5503</v>
      </c>
      <c r="G52" s="13">
        <v>74.0</v>
      </c>
      <c r="H52" s="13">
        <v>24.0</v>
      </c>
      <c r="I52" s="13">
        <v>43.0</v>
      </c>
      <c r="J52" s="13">
        <v>0.0</v>
      </c>
      <c r="K52" s="13">
        <v>19.0</v>
      </c>
      <c r="L52" s="13">
        <v>7.0</v>
      </c>
      <c r="M52" s="13">
        <v>8.0</v>
      </c>
      <c r="N52" s="13">
        <v>39.0</v>
      </c>
    </row>
    <row r="53" ht="15.75" customHeight="1">
      <c r="C53" s="28">
        <v>0.11041666666666666</v>
      </c>
      <c r="D53" s="28">
        <v>0.13194444444444445</v>
      </c>
      <c r="E53" s="10" t="s">
        <v>63</v>
      </c>
      <c r="F53" s="10" t="s">
        <v>5504</v>
      </c>
    </row>
    <row r="54" ht="15.75" customHeight="1">
      <c r="E54" s="10"/>
      <c r="F54" s="10"/>
    </row>
    <row r="55" ht="15.75" customHeight="1">
      <c r="A55" s="30">
        <v>45575.0</v>
      </c>
      <c r="B55" s="13">
        <v>7.0</v>
      </c>
      <c r="C55" s="28">
        <v>0.3770833333333333</v>
      </c>
      <c r="D55" s="28">
        <v>0.4013888888888889</v>
      </c>
      <c r="E55" s="10" t="s">
        <v>57</v>
      </c>
      <c r="F55" s="10"/>
    </row>
    <row r="56" ht="15.75" customHeight="1">
      <c r="C56" s="28">
        <v>0.4305555555555556</v>
      </c>
      <c r="D56" s="28">
        <v>0.4444444444444444</v>
      </c>
      <c r="E56" s="26" t="s">
        <v>5505</v>
      </c>
      <c r="F56" s="10" t="s">
        <v>5506</v>
      </c>
      <c r="G56" s="13">
        <v>26.0</v>
      </c>
      <c r="H56" s="13">
        <v>12.0</v>
      </c>
      <c r="I56" s="13">
        <v>13.0</v>
      </c>
      <c r="J56" s="13">
        <v>1.0</v>
      </c>
      <c r="K56" s="13">
        <v>2.0</v>
      </c>
      <c r="L56" s="13">
        <v>0.0</v>
      </c>
      <c r="M56" s="13">
        <v>6.0</v>
      </c>
      <c r="N56" s="13">
        <v>17.0</v>
      </c>
    </row>
    <row r="57" ht="15.75" customHeight="1">
      <c r="C57" s="28">
        <v>0.4527777777777778</v>
      </c>
      <c r="D57" s="28">
        <v>0.5173611111111112</v>
      </c>
      <c r="E57" s="26" t="s">
        <v>5507</v>
      </c>
      <c r="F57" s="10" t="s">
        <v>5508</v>
      </c>
      <c r="G57" s="13">
        <v>95.0</v>
      </c>
      <c r="H57" s="13">
        <v>48.0</v>
      </c>
      <c r="I57" s="13">
        <v>35.0</v>
      </c>
      <c r="J57" s="13">
        <v>6.0</v>
      </c>
      <c r="K57" s="13">
        <v>3.0</v>
      </c>
      <c r="L57" s="13">
        <v>5.0</v>
      </c>
      <c r="M57" s="13">
        <v>31.0</v>
      </c>
      <c r="N57" s="13">
        <v>49.0</v>
      </c>
      <c r="O57" s="203" t="s">
        <v>5509</v>
      </c>
      <c r="Q57" s="109" t="s">
        <v>5510</v>
      </c>
    </row>
    <row r="58" ht="15.75" customHeight="1">
      <c r="C58" s="28">
        <v>0.5222222222222223</v>
      </c>
      <c r="D58" s="28">
        <v>0.05347222222222222</v>
      </c>
      <c r="E58" s="10" t="s">
        <v>60</v>
      </c>
      <c r="F58" s="10" t="s">
        <v>5511</v>
      </c>
    </row>
    <row r="59" ht="15.75" customHeight="1">
      <c r="C59" s="28">
        <v>0.05555555555555555</v>
      </c>
      <c r="D59" s="28">
        <v>0.11805555555555555</v>
      </c>
      <c r="E59" s="26" t="s">
        <v>5512</v>
      </c>
      <c r="F59" s="10" t="s">
        <v>5513</v>
      </c>
      <c r="G59" s="13">
        <v>72.0</v>
      </c>
      <c r="H59" s="13">
        <v>24.0</v>
      </c>
      <c r="I59" s="13">
        <v>30.0</v>
      </c>
      <c r="J59" s="13">
        <v>6.0</v>
      </c>
      <c r="K59" s="13">
        <v>13.0</v>
      </c>
      <c r="L59" s="13">
        <v>11.0</v>
      </c>
      <c r="M59" s="13">
        <v>7.0</v>
      </c>
      <c r="N59" s="13">
        <v>36.0</v>
      </c>
    </row>
    <row r="60" ht="15.75" customHeight="1">
      <c r="C60" s="28">
        <v>0.12152777777777778</v>
      </c>
      <c r="D60" s="28">
        <v>0.14930555555555555</v>
      </c>
      <c r="E60" s="10" t="s">
        <v>63</v>
      </c>
      <c r="F60" s="10"/>
    </row>
    <row r="61" ht="15.75" customHeight="1">
      <c r="E61" s="10"/>
      <c r="F61" s="10"/>
    </row>
    <row r="62" ht="15.75" customHeight="1">
      <c r="A62" s="30">
        <v>45576.0</v>
      </c>
      <c r="B62" s="13">
        <v>8.0</v>
      </c>
      <c r="C62" s="28">
        <v>0.41041666666666665</v>
      </c>
      <c r="D62" s="28">
        <v>0.4375</v>
      </c>
      <c r="E62" s="10" t="s">
        <v>57</v>
      </c>
      <c r="F62" s="10"/>
    </row>
    <row r="63" ht="15.75" customHeight="1">
      <c r="C63" s="28">
        <v>0.44930555555555557</v>
      </c>
      <c r="D63" s="28">
        <v>0.5097222222222222</v>
      </c>
      <c r="E63" s="26" t="s">
        <v>5514</v>
      </c>
      <c r="F63" s="10" t="s">
        <v>5515</v>
      </c>
      <c r="G63" s="13">
        <v>92.0</v>
      </c>
      <c r="H63" s="13">
        <v>46.0</v>
      </c>
      <c r="I63" s="13">
        <v>36.0</v>
      </c>
      <c r="J63" s="13">
        <v>5.0</v>
      </c>
      <c r="K63" s="13">
        <v>10.0</v>
      </c>
      <c r="L63" s="13">
        <v>5.0</v>
      </c>
      <c r="M63" s="13">
        <v>36.0</v>
      </c>
      <c r="N63" s="13">
        <v>35.0</v>
      </c>
    </row>
    <row r="64" ht="15.75" customHeight="1">
      <c r="C64" s="28">
        <v>0.5111111111111111</v>
      </c>
      <c r="D64" s="28">
        <v>0.5354166666666667</v>
      </c>
      <c r="E64" s="10" t="s">
        <v>60</v>
      </c>
      <c r="F64" s="10"/>
    </row>
    <row r="65" ht="15.75" customHeight="1">
      <c r="C65" s="28">
        <v>0.5388888888888889</v>
      </c>
      <c r="D65" s="28">
        <v>0.10208333333333333</v>
      </c>
      <c r="E65" s="26" t="s">
        <v>5516</v>
      </c>
      <c r="F65" s="10" t="s">
        <v>5517</v>
      </c>
      <c r="G65" s="13">
        <v>80.0</v>
      </c>
      <c r="H65" s="13">
        <v>31.0</v>
      </c>
      <c r="I65" s="13">
        <v>22.0</v>
      </c>
      <c r="J65" s="13">
        <v>3.0</v>
      </c>
      <c r="K65" s="13">
        <v>11.0</v>
      </c>
      <c r="L65" s="13">
        <v>24.0</v>
      </c>
      <c r="M65" s="13">
        <v>11.0</v>
      </c>
      <c r="N65" s="13">
        <v>30.0</v>
      </c>
    </row>
    <row r="66" ht="15.75" customHeight="1">
      <c r="C66" s="28">
        <v>0.10347222222222222</v>
      </c>
      <c r="D66" s="28">
        <v>0.12638888888888888</v>
      </c>
      <c r="E66" s="10" t="s">
        <v>63</v>
      </c>
      <c r="F66" s="10"/>
    </row>
    <row r="67" ht="15.75" customHeight="1">
      <c r="E67" s="10"/>
      <c r="F67" s="10"/>
    </row>
    <row r="68" ht="15.75" customHeight="1">
      <c r="A68" s="30">
        <v>45579.0</v>
      </c>
      <c r="B68" s="13">
        <v>9.0</v>
      </c>
      <c r="C68" s="28">
        <v>0.3819444444444444</v>
      </c>
      <c r="D68" s="28">
        <v>0.4083333333333333</v>
      </c>
      <c r="E68" s="10" t="s">
        <v>57</v>
      </c>
      <c r="F68" s="10"/>
    </row>
    <row r="69" ht="15.75" customHeight="1">
      <c r="C69" s="28">
        <v>0.42083333333333334</v>
      </c>
      <c r="D69" s="28">
        <v>0.46944444444444444</v>
      </c>
      <c r="E69" s="26" t="s">
        <v>5518</v>
      </c>
      <c r="F69" s="10" t="s">
        <v>5519</v>
      </c>
      <c r="G69" s="13">
        <v>55.0</v>
      </c>
      <c r="H69" s="13">
        <v>22.0</v>
      </c>
      <c r="I69" s="13">
        <v>29.0</v>
      </c>
      <c r="J69" s="13">
        <v>1.0</v>
      </c>
      <c r="K69" s="13">
        <v>14.0</v>
      </c>
      <c r="L69" s="13">
        <v>3.0</v>
      </c>
      <c r="M69" s="13">
        <v>18.0</v>
      </c>
      <c r="N69" s="13">
        <v>19.0</v>
      </c>
    </row>
    <row r="70" ht="15.75" customHeight="1">
      <c r="C70" s="28">
        <v>0.47430555555555554</v>
      </c>
      <c r="D70" s="28">
        <v>0.4979166666666667</v>
      </c>
      <c r="E70" s="10" t="s">
        <v>60</v>
      </c>
      <c r="F70" s="10"/>
    </row>
    <row r="71" ht="15.75" customHeight="1">
      <c r="C71" s="28">
        <v>0.5395833333333333</v>
      </c>
      <c r="D71" s="28">
        <v>0.10208333333333333</v>
      </c>
      <c r="E71" s="26" t="s">
        <v>5520</v>
      </c>
      <c r="F71" s="10" t="s">
        <v>5521</v>
      </c>
      <c r="G71" s="13">
        <v>73.0</v>
      </c>
      <c r="H71" s="13">
        <v>39.0</v>
      </c>
      <c r="I71" s="13">
        <v>29.0</v>
      </c>
      <c r="J71" s="13">
        <v>0.0</v>
      </c>
      <c r="K71" s="13">
        <v>21.0</v>
      </c>
      <c r="L71" s="13">
        <v>4.0</v>
      </c>
      <c r="M71" s="13">
        <v>15.0</v>
      </c>
      <c r="N71" s="13">
        <v>31.0</v>
      </c>
    </row>
    <row r="72" ht="15.75" customHeight="1">
      <c r="C72" s="28">
        <v>0.10347222222222222</v>
      </c>
      <c r="D72" s="28">
        <v>0.12569444444444444</v>
      </c>
      <c r="E72" s="10" t="s">
        <v>63</v>
      </c>
      <c r="F72" s="10"/>
    </row>
    <row r="73" ht="15.75" customHeight="1">
      <c r="E73" s="10"/>
      <c r="F73" s="10"/>
    </row>
    <row r="74" ht="15.75" customHeight="1">
      <c r="A74" s="30">
        <v>45580.0</v>
      </c>
      <c r="B74" s="13">
        <v>10.0</v>
      </c>
      <c r="C74" s="28">
        <v>0.3875</v>
      </c>
      <c r="D74" s="28">
        <v>0.41180555555555554</v>
      </c>
      <c r="E74" s="10" t="s">
        <v>57</v>
      </c>
      <c r="F74" s="10"/>
    </row>
    <row r="75" ht="15.75" customHeight="1">
      <c r="C75" s="28">
        <v>0.4201388888888889</v>
      </c>
      <c r="D75" s="28">
        <v>0.47847222222222224</v>
      </c>
      <c r="E75" s="34" t="s">
        <v>5522</v>
      </c>
      <c r="F75" s="10" t="s">
        <v>5523</v>
      </c>
      <c r="G75" s="13">
        <v>82.0</v>
      </c>
      <c r="H75" s="13">
        <v>31.0</v>
      </c>
      <c r="I75" s="13">
        <v>39.0</v>
      </c>
      <c r="J75" s="13">
        <v>4.0</v>
      </c>
      <c r="K75" s="13">
        <v>9.0</v>
      </c>
      <c r="L75" s="13">
        <v>8.0</v>
      </c>
      <c r="M75" s="13">
        <v>30.0</v>
      </c>
      <c r="N75" s="13">
        <v>30.0</v>
      </c>
    </row>
    <row r="76" ht="15.75" customHeight="1">
      <c r="C76" s="28">
        <v>0.4798611111111111</v>
      </c>
      <c r="D76" s="28">
        <v>0.5006944444444444</v>
      </c>
      <c r="E76" s="10" t="s">
        <v>60</v>
      </c>
      <c r="F76" s="10"/>
    </row>
    <row r="77" ht="15.75" customHeight="1">
      <c r="C77" s="28">
        <v>0.5201388888888889</v>
      </c>
      <c r="D77" s="28">
        <v>0.08680555555555555</v>
      </c>
      <c r="E77" s="34" t="s">
        <v>5524</v>
      </c>
      <c r="F77" s="10" t="s">
        <v>5525</v>
      </c>
      <c r="G77" s="13">
        <v>85.0</v>
      </c>
      <c r="H77" s="13">
        <v>48.0</v>
      </c>
      <c r="I77" s="13">
        <v>31.0</v>
      </c>
      <c r="J77" s="13">
        <v>1.0</v>
      </c>
      <c r="K77" s="13">
        <v>27.0</v>
      </c>
      <c r="L77" s="13">
        <v>5.0</v>
      </c>
      <c r="M77" s="13">
        <v>16.0</v>
      </c>
      <c r="N77" s="13">
        <v>36.0</v>
      </c>
    </row>
    <row r="78" ht="15.75" customHeight="1">
      <c r="C78" s="28">
        <v>0.08888888888888889</v>
      </c>
      <c r="D78" s="28">
        <v>0.11458333333333333</v>
      </c>
      <c r="E78" s="10" t="s">
        <v>63</v>
      </c>
      <c r="F78" s="10"/>
    </row>
    <row r="79" ht="15.75" customHeight="1">
      <c r="F79" s="10"/>
    </row>
    <row r="80" ht="15.75" customHeight="1">
      <c r="A80" s="30">
        <v>45581.0</v>
      </c>
      <c r="B80" s="13">
        <v>11.0</v>
      </c>
      <c r="C80" s="28">
        <v>0.37430555555555556</v>
      </c>
      <c r="D80" s="28">
        <v>0.4027777777777778</v>
      </c>
      <c r="E80" s="10" t="s">
        <v>57</v>
      </c>
      <c r="F80" s="10"/>
    </row>
    <row r="81" ht="15.75" customHeight="1">
      <c r="C81" s="28">
        <v>0.4131944444444444</v>
      </c>
      <c r="D81" s="28">
        <v>0.46805555555555556</v>
      </c>
      <c r="E81" s="34" t="s">
        <v>5526</v>
      </c>
      <c r="F81" s="10" t="s">
        <v>5527</v>
      </c>
      <c r="G81" s="13">
        <v>52.0</v>
      </c>
      <c r="H81" s="13">
        <v>26.0</v>
      </c>
      <c r="I81" s="13">
        <v>22.0</v>
      </c>
      <c r="J81" s="13">
        <v>3.0</v>
      </c>
      <c r="K81" s="13">
        <v>18.0</v>
      </c>
      <c r="L81" s="13">
        <v>1.0</v>
      </c>
      <c r="M81" s="13">
        <v>15.0</v>
      </c>
      <c r="N81" s="13">
        <v>14.0</v>
      </c>
    </row>
    <row r="82" ht="15.75" customHeight="1">
      <c r="C82" s="28">
        <v>0.46875</v>
      </c>
      <c r="D82" s="28">
        <v>0.49583333333333335</v>
      </c>
      <c r="E82" s="10" t="s">
        <v>60</v>
      </c>
      <c r="F82" s="10"/>
    </row>
    <row r="83" ht="15.75" customHeight="1">
      <c r="C83" s="28">
        <v>0.49722222222222223</v>
      </c>
      <c r="D83" s="28">
        <v>0.06041666666666667</v>
      </c>
      <c r="E83" s="34" t="s">
        <v>5528</v>
      </c>
      <c r="F83" s="10" t="s">
        <v>5529</v>
      </c>
      <c r="G83" s="13">
        <v>74.0</v>
      </c>
      <c r="H83" s="13">
        <v>35.0</v>
      </c>
      <c r="I83" s="13">
        <v>34.0</v>
      </c>
      <c r="J83" s="13">
        <v>1.0</v>
      </c>
      <c r="K83" s="13">
        <v>23.0</v>
      </c>
      <c r="L83" s="13">
        <v>3.0</v>
      </c>
      <c r="M83" s="13">
        <v>20.0</v>
      </c>
      <c r="N83" s="13">
        <v>26.0</v>
      </c>
    </row>
    <row r="84" ht="15.75" customHeight="1">
      <c r="C84" s="28">
        <v>0.0625</v>
      </c>
      <c r="D84" s="28">
        <v>0.08888888888888889</v>
      </c>
      <c r="E84" s="10" t="s">
        <v>63</v>
      </c>
      <c r="F84" s="10"/>
    </row>
    <row r="85" ht="15.75" customHeight="1">
      <c r="E85" s="10"/>
      <c r="F85" s="10"/>
    </row>
    <row r="86" ht="15.75" customHeight="1">
      <c r="A86" s="29">
        <v>45582.0</v>
      </c>
      <c r="B86" s="13">
        <v>12.0</v>
      </c>
      <c r="C86" s="28">
        <v>0.4340277777777778</v>
      </c>
      <c r="D86" s="28">
        <v>0.4597222222222222</v>
      </c>
      <c r="E86" s="10" t="s">
        <v>57</v>
      </c>
    </row>
    <row r="87" ht="15.75" customHeight="1">
      <c r="C87" s="28">
        <v>0.46319444444444446</v>
      </c>
      <c r="D87" s="28">
        <v>0.53125</v>
      </c>
      <c r="E87" s="34" t="s">
        <v>5530</v>
      </c>
      <c r="F87" s="10" t="s">
        <v>5531</v>
      </c>
      <c r="G87" s="13">
        <v>88.0</v>
      </c>
      <c r="H87" s="13">
        <v>36.0</v>
      </c>
      <c r="I87" s="13">
        <v>42.0</v>
      </c>
      <c r="J87" s="13">
        <v>2.0</v>
      </c>
      <c r="K87" s="13">
        <v>19.0</v>
      </c>
      <c r="L87" s="13">
        <v>7.0</v>
      </c>
      <c r="M87" s="13">
        <v>15.0</v>
      </c>
      <c r="N87" s="13">
        <v>44.0</v>
      </c>
    </row>
    <row r="88" ht="15.75" customHeight="1">
      <c r="C88" s="28">
        <v>0.5326388888888889</v>
      </c>
      <c r="D88" s="28">
        <v>0.05694444444444444</v>
      </c>
      <c r="E88" s="10" t="s">
        <v>60</v>
      </c>
      <c r="F88" s="10"/>
    </row>
    <row r="89" ht="15.75" customHeight="1">
      <c r="C89" s="28">
        <v>0.059027777777777776</v>
      </c>
      <c r="D89" s="28">
        <v>0.13333333333333333</v>
      </c>
      <c r="E89" s="34" t="s">
        <v>5532</v>
      </c>
      <c r="F89" s="10" t="s">
        <v>5533</v>
      </c>
      <c r="G89" s="13">
        <v>98.0</v>
      </c>
      <c r="H89" s="13">
        <v>46.0</v>
      </c>
      <c r="I89" s="13">
        <v>50.0</v>
      </c>
      <c r="J89" s="13">
        <v>0.0</v>
      </c>
      <c r="K89" s="13">
        <v>21.0</v>
      </c>
      <c r="L89" s="13">
        <v>2.0</v>
      </c>
      <c r="M89" s="13">
        <v>30.0</v>
      </c>
      <c r="N89" s="13">
        <v>44.0</v>
      </c>
    </row>
    <row r="90" ht="15.75" customHeight="1">
      <c r="C90" s="28">
        <v>0.13541666666666666</v>
      </c>
      <c r="D90" s="28">
        <v>0.1638888888888889</v>
      </c>
      <c r="E90" s="10" t="s">
        <v>63</v>
      </c>
      <c r="F90" s="10"/>
    </row>
    <row r="91" ht="15.75" customHeight="1">
      <c r="F91" s="10"/>
    </row>
    <row r="92" ht="15.75" customHeight="1">
      <c r="A92" s="30">
        <v>45583.0</v>
      </c>
      <c r="B92" s="13">
        <v>13.0</v>
      </c>
      <c r="C92" s="28">
        <v>0.38125</v>
      </c>
      <c r="D92" s="28">
        <v>0.4076388888888889</v>
      </c>
      <c r="E92" s="10" t="s">
        <v>57</v>
      </c>
      <c r="F92" s="10"/>
    </row>
    <row r="93" ht="15.75" customHeight="1">
      <c r="C93" s="28">
        <v>0.41944444444444445</v>
      </c>
      <c r="D93" s="28">
        <v>0.4798611111111111</v>
      </c>
      <c r="E93" s="34" t="s">
        <v>5534</v>
      </c>
      <c r="F93" s="10" t="s">
        <v>5535</v>
      </c>
      <c r="G93" s="13">
        <v>76.0</v>
      </c>
      <c r="H93" s="13">
        <v>38.0</v>
      </c>
      <c r="I93" s="13">
        <v>31.0</v>
      </c>
      <c r="J93" s="13">
        <v>2.0</v>
      </c>
      <c r="K93" s="13">
        <v>13.0</v>
      </c>
      <c r="L93" s="13">
        <v>5.0</v>
      </c>
      <c r="M93" s="13">
        <v>30.0</v>
      </c>
      <c r="N93" s="13">
        <v>26.0</v>
      </c>
    </row>
    <row r="94" ht="15.75" customHeight="1">
      <c r="C94" s="28">
        <v>0.48125</v>
      </c>
      <c r="D94" s="28">
        <v>0.5083333333333333</v>
      </c>
      <c r="E94" s="10" t="s">
        <v>60</v>
      </c>
      <c r="F94" s="10"/>
    </row>
    <row r="95" ht="15.75" customHeight="1">
      <c r="C95" s="28">
        <v>0.525</v>
      </c>
      <c r="D95" s="28">
        <v>0.09652777777777778</v>
      </c>
      <c r="E95" s="34" t="s">
        <v>5536</v>
      </c>
      <c r="F95" s="10" t="s">
        <v>5537</v>
      </c>
      <c r="G95" s="13">
        <v>84.0</v>
      </c>
      <c r="H95" s="13">
        <v>35.0</v>
      </c>
      <c r="I95" s="13">
        <v>44.0</v>
      </c>
      <c r="J95" s="13">
        <v>0.0</v>
      </c>
      <c r="K95" s="13">
        <v>22.0</v>
      </c>
      <c r="L95" s="13">
        <v>5.0</v>
      </c>
      <c r="M95" s="13">
        <v>31.0</v>
      </c>
      <c r="N95" s="13">
        <v>27.0</v>
      </c>
    </row>
    <row r="96" ht="15.75" customHeight="1">
      <c r="C96" s="28">
        <v>0.09861111111111111</v>
      </c>
      <c r="D96" s="28">
        <v>0.1326388888888889</v>
      </c>
      <c r="E96" s="10" t="s">
        <v>63</v>
      </c>
      <c r="F96" s="10" t="s">
        <v>5538</v>
      </c>
    </row>
    <row r="97" ht="15.75" customHeight="1">
      <c r="E97" s="10"/>
      <c r="F97" s="10"/>
    </row>
    <row r="98" ht="15.75" customHeight="1">
      <c r="A98" s="30">
        <v>45586.0</v>
      </c>
      <c r="B98" s="13">
        <v>14.0</v>
      </c>
      <c r="C98" s="28">
        <v>0.4513888888888889</v>
      </c>
      <c r="D98" s="28">
        <v>0.4722222222222222</v>
      </c>
      <c r="E98" s="10" t="s">
        <v>57</v>
      </c>
      <c r="F98" s="10"/>
    </row>
    <row r="99" ht="15.75" customHeight="1">
      <c r="C99" s="28">
        <v>0.4791666666666667</v>
      </c>
      <c r="D99" s="28">
        <v>0.5277777777777778</v>
      </c>
      <c r="E99" s="8" t="s">
        <v>5539</v>
      </c>
      <c r="F99" s="10" t="s">
        <v>5540</v>
      </c>
      <c r="G99" s="13">
        <v>67.0</v>
      </c>
      <c r="H99" s="13">
        <v>18.0</v>
      </c>
      <c r="I99" s="13">
        <v>35.0</v>
      </c>
      <c r="J99" s="13">
        <v>7.0</v>
      </c>
      <c r="K99" s="13">
        <v>16.0</v>
      </c>
      <c r="L99" s="13">
        <v>6.0</v>
      </c>
      <c r="M99" s="13">
        <v>12.0</v>
      </c>
      <c r="N99" s="13">
        <v>25.0</v>
      </c>
      <c r="Q99" s="109" t="s">
        <v>5541</v>
      </c>
    </row>
    <row r="100" ht="15.75" customHeight="1">
      <c r="C100" s="28">
        <v>0.5291666666666667</v>
      </c>
      <c r="D100" s="28">
        <v>0.058333333333333334</v>
      </c>
      <c r="E100" s="10" t="s">
        <v>60</v>
      </c>
      <c r="F100" s="10"/>
    </row>
    <row r="101" ht="15.75" customHeight="1">
      <c r="C101" s="28">
        <v>0.06388888888888888</v>
      </c>
      <c r="D101" s="28">
        <v>0.13055555555555556</v>
      </c>
      <c r="E101" s="204" t="s">
        <v>5542</v>
      </c>
      <c r="F101" s="10" t="s">
        <v>5543</v>
      </c>
      <c r="G101" s="13">
        <v>85.0</v>
      </c>
      <c r="H101" s="13">
        <v>5.0</v>
      </c>
      <c r="I101" s="13">
        <v>35.0</v>
      </c>
      <c r="J101" s="13">
        <v>32.0</v>
      </c>
      <c r="K101" s="13">
        <v>8.0</v>
      </c>
      <c r="L101" s="13">
        <v>12.0</v>
      </c>
      <c r="M101" s="13">
        <v>12.0</v>
      </c>
      <c r="N101" s="13">
        <v>20.0</v>
      </c>
    </row>
    <row r="102" ht="15.75" customHeight="1">
      <c r="C102" s="28">
        <v>0.13194444444444445</v>
      </c>
      <c r="D102" s="28">
        <v>0.175</v>
      </c>
      <c r="E102" s="10" t="s">
        <v>63</v>
      </c>
      <c r="F102" s="10"/>
    </row>
    <row r="103" ht="15.75" customHeight="1">
      <c r="F103" s="10"/>
    </row>
    <row r="104" ht="15.75" customHeight="1">
      <c r="A104" s="30">
        <v>45587.0</v>
      </c>
      <c r="B104" s="13">
        <v>15.0</v>
      </c>
      <c r="C104" s="28">
        <v>0.4583333333333333</v>
      </c>
      <c r="D104" s="28">
        <v>0.4826388888888889</v>
      </c>
      <c r="E104" s="10" t="s">
        <v>57</v>
      </c>
      <c r="F104" s="10"/>
    </row>
    <row r="105" ht="15.75" customHeight="1">
      <c r="C105" s="28">
        <v>0.4861111111111111</v>
      </c>
      <c r="D105" s="28">
        <v>0.050694444444444445</v>
      </c>
      <c r="E105" s="204" t="s">
        <v>5544</v>
      </c>
      <c r="F105" s="10" t="s">
        <v>5545</v>
      </c>
      <c r="G105" s="13">
        <v>93.0</v>
      </c>
      <c r="H105" s="13">
        <v>21.0</v>
      </c>
      <c r="I105" s="13">
        <v>39.0</v>
      </c>
      <c r="J105" s="13">
        <v>24.0</v>
      </c>
      <c r="K105" s="13">
        <v>10.0</v>
      </c>
      <c r="L105" s="13">
        <v>7.0</v>
      </c>
      <c r="M105" s="13">
        <v>16.0</v>
      </c>
      <c r="N105" s="13">
        <v>35.0</v>
      </c>
    </row>
    <row r="106" ht="15.75" customHeight="1">
      <c r="C106" s="28">
        <v>0.052083333333333336</v>
      </c>
      <c r="D106" s="28">
        <v>0.08680555555555555</v>
      </c>
      <c r="E106" s="10" t="s">
        <v>60</v>
      </c>
      <c r="F106" s="10"/>
    </row>
    <row r="107" ht="15.75" customHeight="1">
      <c r="C107" s="28">
        <v>0.09027777777777778</v>
      </c>
      <c r="D107" s="28">
        <v>0.15416666666666667</v>
      </c>
      <c r="E107" s="8" t="s">
        <v>5546</v>
      </c>
      <c r="F107" s="10" t="s">
        <v>5547</v>
      </c>
      <c r="G107" s="13">
        <v>97.0</v>
      </c>
      <c r="H107" s="13">
        <v>45.0</v>
      </c>
      <c r="I107" s="13">
        <v>49.0</v>
      </c>
      <c r="J107" s="13">
        <v>0.0</v>
      </c>
      <c r="K107" s="13">
        <v>26.0</v>
      </c>
      <c r="L107" s="13">
        <v>3.0</v>
      </c>
      <c r="M107" s="13">
        <v>21.0</v>
      </c>
      <c r="N107" s="13">
        <v>47.0</v>
      </c>
    </row>
    <row r="108" ht="15.75" customHeight="1">
      <c r="C108" s="28">
        <v>0.15625</v>
      </c>
      <c r="D108" s="28">
        <v>0.18958333333333333</v>
      </c>
      <c r="E108" s="10" t="s">
        <v>63</v>
      </c>
      <c r="F108" s="10"/>
    </row>
    <row r="109" ht="15.75" customHeight="1">
      <c r="F109" s="10"/>
    </row>
    <row r="110" ht="15.75" customHeight="1">
      <c r="A110" s="30">
        <v>45588.0</v>
      </c>
      <c r="B110" s="13">
        <v>16.0</v>
      </c>
      <c r="C110" s="28">
        <v>0.4444444444444444</v>
      </c>
      <c r="D110" s="28">
        <v>0.46944444444444444</v>
      </c>
      <c r="E110" s="10" t="s">
        <v>57</v>
      </c>
      <c r="F110" s="10"/>
    </row>
    <row r="111" ht="15.75" customHeight="1">
      <c r="C111" s="28">
        <v>0.4756944444444444</v>
      </c>
      <c r="D111" s="28">
        <v>0.5381944444444444</v>
      </c>
      <c r="E111" s="8" t="s">
        <v>5548</v>
      </c>
      <c r="F111" s="10" t="s">
        <v>5549</v>
      </c>
      <c r="G111" s="13">
        <v>96.0</v>
      </c>
      <c r="H111" s="13">
        <v>45.0</v>
      </c>
      <c r="I111" s="13">
        <v>41.0</v>
      </c>
      <c r="J111" s="13">
        <v>3.0</v>
      </c>
      <c r="K111" s="13">
        <v>14.0</v>
      </c>
      <c r="L111" s="13">
        <v>7.0</v>
      </c>
      <c r="M111" s="13">
        <v>17.0</v>
      </c>
      <c r="N111" s="13">
        <v>54.0</v>
      </c>
    </row>
    <row r="112" ht="15.75" customHeight="1">
      <c r="C112" s="28">
        <v>0.5388888888888889</v>
      </c>
      <c r="D112" s="28">
        <v>0.07847222222222222</v>
      </c>
      <c r="E112" s="10" t="s">
        <v>60</v>
      </c>
      <c r="F112" s="10"/>
    </row>
    <row r="113" ht="15.75" customHeight="1">
      <c r="C113" s="28">
        <v>0.08333333333333333</v>
      </c>
      <c r="D113" s="28">
        <v>0.14652777777777778</v>
      </c>
      <c r="E113" s="8" t="s">
        <v>5550</v>
      </c>
      <c r="F113" s="10" t="s">
        <v>5551</v>
      </c>
      <c r="G113" s="13">
        <v>68.0</v>
      </c>
      <c r="H113" s="13">
        <v>26.0</v>
      </c>
      <c r="I113" s="13">
        <v>36.0</v>
      </c>
      <c r="J113" s="13">
        <v>0.0</v>
      </c>
      <c r="K113" s="13">
        <v>23.0</v>
      </c>
      <c r="L113" s="13">
        <v>6.0</v>
      </c>
      <c r="M113" s="13">
        <v>3.0</v>
      </c>
      <c r="N113" s="13">
        <v>36.0</v>
      </c>
    </row>
    <row r="114" ht="15.75" customHeight="1">
      <c r="C114" s="28">
        <v>0.14791666666666667</v>
      </c>
      <c r="D114" s="28">
        <v>0.18611111111111112</v>
      </c>
      <c r="E114" s="10" t="s">
        <v>63</v>
      </c>
      <c r="F114" s="10"/>
    </row>
    <row r="115" ht="15.75" customHeight="1">
      <c r="A115" s="30"/>
      <c r="C115" s="28"/>
      <c r="D115" s="28"/>
      <c r="E115" s="10"/>
      <c r="F115" s="10"/>
    </row>
    <row r="116" ht="15.75" customHeight="1">
      <c r="A116" s="30">
        <v>45589.0</v>
      </c>
      <c r="B116" s="13">
        <v>17.0</v>
      </c>
      <c r="C116" s="28">
        <v>0.4583333333333333</v>
      </c>
      <c r="D116" s="28">
        <v>0.4840277777777778</v>
      </c>
      <c r="E116" s="10" t="s">
        <v>57</v>
      </c>
      <c r="F116" s="10"/>
    </row>
    <row r="117" ht="15.75" customHeight="1">
      <c r="C117" s="28">
        <v>0.4861111111111111</v>
      </c>
      <c r="D117" s="28">
        <v>0.5</v>
      </c>
      <c r="E117" s="8" t="s">
        <v>5552</v>
      </c>
      <c r="F117" s="10" t="s">
        <v>5553</v>
      </c>
      <c r="Q117" s="109" t="s">
        <v>5541</v>
      </c>
    </row>
    <row r="118" ht="15.75" customHeight="1">
      <c r="C118" s="28">
        <v>0.53125</v>
      </c>
      <c r="D118" s="28">
        <v>0.10416666666666667</v>
      </c>
      <c r="E118" s="8" t="s">
        <v>5554</v>
      </c>
      <c r="F118" s="10" t="s">
        <v>5555</v>
      </c>
      <c r="G118" s="13">
        <v>110.0</v>
      </c>
      <c r="H118" s="13">
        <v>50.0</v>
      </c>
      <c r="I118" s="13">
        <v>54.0</v>
      </c>
      <c r="J118" s="13">
        <v>0.0</v>
      </c>
      <c r="K118" s="13">
        <v>23.0</v>
      </c>
      <c r="L118" s="13">
        <v>6.0</v>
      </c>
      <c r="M118" s="13">
        <v>18.0</v>
      </c>
      <c r="N118" s="13">
        <v>63.0</v>
      </c>
    </row>
    <row r="119" ht="15.75" customHeight="1">
      <c r="C119" s="28">
        <v>0.10555555555555556</v>
      </c>
      <c r="D119" s="28">
        <v>0.13055555555555556</v>
      </c>
      <c r="E119" s="10" t="s">
        <v>60</v>
      </c>
      <c r="F119" s="10"/>
    </row>
    <row r="120" ht="15.75" customHeight="1">
      <c r="C120" s="28">
        <v>0.13472222222222222</v>
      </c>
      <c r="D120" s="28">
        <v>0.20972222222222223</v>
      </c>
      <c r="E120" s="8" t="s">
        <v>5556</v>
      </c>
      <c r="F120" s="10" t="s">
        <v>5557</v>
      </c>
      <c r="G120" s="13">
        <v>102.0</v>
      </c>
      <c r="H120" s="13">
        <v>43.0</v>
      </c>
      <c r="I120" s="13">
        <v>49.0</v>
      </c>
      <c r="J120" s="13">
        <v>1.0</v>
      </c>
      <c r="K120" s="13">
        <v>24.0</v>
      </c>
      <c r="L120" s="13">
        <v>9.0</v>
      </c>
      <c r="M120" s="13">
        <v>15.0</v>
      </c>
      <c r="N120" s="13">
        <v>53.0</v>
      </c>
    </row>
    <row r="121" ht="15.75" customHeight="1">
      <c r="C121" s="28">
        <v>0.2111111111111111</v>
      </c>
      <c r="D121" s="28">
        <v>0.23333333333333334</v>
      </c>
      <c r="E121" s="10" t="s">
        <v>63</v>
      </c>
      <c r="F121" s="10"/>
    </row>
    <row r="122" ht="15.75" customHeight="1">
      <c r="E122" s="10"/>
      <c r="F122" s="10"/>
    </row>
    <row r="123" ht="15.75" customHeight="1">
      <c r="A123" s="30">
        <v>45590.0</v>
      </c>
      <c r="B123" s="13">
        <v>18.0</v>
      </c>
      <c r="C123" s="28">
        <v>0.4930555555555556</v>
      </c>
      <c r="D123" s="28">
        <v>0.5138888888888888</v>
      </c>
      <c r="E123" s="13" t="s">
        <v>57</v>
      </c>
      <c r="F123" s="13" t="s">
        <v>5558</v>
      </c>
    </row>
    <row r="124" ht="15.75" customHeight="1">
      <c r="C124" s="28">
        <v>0.5166666666666667</v>
      </c>
      <c r="D124" s="28">
        <v>0.08055555555555556</v>
      </c>
      <c r="E124" s="8" t="s">
        <v>5559</v>
      </c>
      <c r="F124" s="10" t="s">
        <v>5560</v>
      </c>
    </row>
    <row r="125" ht="15.75" customHeight="1">
      <c r="C125" s="28">
        <v>0.08125</v>
      </c>
      <c r="D125" s="28">
        <v>0.10694444444444444</v>
      </c>
      <c r="E125" s="10" t="s">
        <v>60</v>
      </c>
      <c r="F125" s="10"/>
    </row>
    <row r="126" ht="15.75" customHeight="1">
      <c r="C126" s="28">
        <v>0.10972222222222222</v>
      </c>
      <c r="D126" s="28">
        <v>0.175</v>
      </c>
      <c r="E126" s="8" t="s">
        <v>5561</v>
      </c>
      <c r="F126" s="10" t="s">
        <v>5562</v>
      </c>
      <c r="G126" s="13">
        <v>87.0</v>
      </c>
      <c r="H126" s="13">
        <v>39.0</v>
      </c>
      <c r="I126" s="13">
        <v>39.0</v>
      </c>
      <c r="J126" s="13">
        <v>5.0</v>
      </c>
      <c r="K126" s="13">
        <v>29.0</v>
      </c>
      <c r="L126" s="13">
        <v>4.0</v>
      </c>
      <c r="M126" s="13">
        <v>9.0</v>
      </c>
      <c r="N126" s="13">
        <v>40.0</v>
      </c>
    </row>
    <row r="127" ht="15.75" customHeight="1">
      <c r="C127" s="28">
        <v>0.17708333333333334</v>
      </c>
      <c r="D127" s="28">
        <v>0.2048611111111111</v>
      </c>
      <c r="E127" s="10" t="s">
        <v>63</v>
      </c>
      <c r="F127" s="10"/>
    </row>
    <row r="128" ht="15.75" customHeight="1">
      <c r="F128" s="10"/>
    </row>
    <row r="129" ht="15.75" customHeight="1">
      <c r="A129" s="30">
        <v>45596.0</v>
      </c>
      <c r="B129" s="13">
        <v>1.0</v>
      </c>
      <c r="C129" s="28">
        <v>0.049305555555555554</v>
      </c>
      <c r="D129" s="28">
        <v>0.2</v>
      </c>
      <c r="E129" s="10" t="s">
        <v>5563</v>
      </c>
      <c r="F129" s="10"/>
    </row>
    <row r="130" ht="15.75" customHeight="1">
      <c r="E130" s="10"/>
      <c r="F130" s="10"/>
    </row>
    <row r="131" ht="15.75" customHeight="1">
      <c r="A131" s="205">
        <v>45597.0</v>
      </c>
      <c r="B131" s="13">
        <v>2.0</v>
      </c>
      <c r="C131" s="28">
        <v>0.5347222222222222</v>
      </c>
      <c r="D131" s="28">
        <v>0.1951388888888889</v>
      </c>
      <c r="E131" s="13" t="s">
        <v>5563</v>
      </c>
      <c r="F131" s="10"/>
    </row>
    <row r="132" ht="15.75" customHeight="1">
      <c r="E132" s="10"/>
      <c r="F132" s="10"/>
    </row>
    <row r="133" ht="15.75" customHeight="1">
      <c r="E133" s="10"/>
      <c r="F133" s="10"/>
    </row>
    <row r="134" ht="15.75" customHeight="1">
      <c r="E134" s="10" t="s">
        <v>5564</v>
      </c>
      <c r="F134" s="10"/>
    </row>
    <row r="135" ht="15.75" customHeight="1">
      <c r="E135" s="10"/>
      <c r="F135" s="10"/>
    </row>
    <row r="136" ht="15.75" customHeight="1">
      <c r="E136" s="10"/>
      <c r="F136" s="10"/>
    </row>
    <row r="137" ht="15.75" customHeight="1">
      <c r="E137" s="10"/>
      <c r="F137" s="10"/>
    </row>
    <row r="138" ht="15.75" customHeight="1">
      <c r="E138" s="10"/>
      <c r="F138" s="10"/>
    </row>
    <row r="139" ht="15.75" customHeight="1">
      <c r="E139" s="10"/>
      <c r="F139" s="10"/>
    </row>
    <row r="140" ht="15.75" customHeight="1">
      <c r="E140" s="10"/>
      <c r="F140" s="10"/>
    </row>
    <row r="141" ht="15.75" customHeight="1">
      <c r="E141" s="10"/>
      <c r="F141" s="10"/>
    </row>
    <row r="142" ht="15.75" customHeight="1">
      <c r="E142" s="10"/>
      <c r="F142" s="10"/>
    </row>
    <row r="143" ht="15.75" customHeight="1">
      <c r="E143" s="10"/>
      <c r="F143" s="10"/>
    </row>
    <row r="144" ht="15.75" customHeight="1">
      <c r="E144" s="10"/>
      <c r="F144" s="10"/>
    </row>
    <row r="145" ht="15.75" customHeight="1">
      <c r="E145" s="10"/>
      <c r="F145" s="10"/>
    </row>
    <row r="146" ht="15.75" customHeight="1">
      <c r="E146" s="10"/>
      <c r="F146" s="10"/>
    </row>
    <row r="147" ht="15.75" customHeight="1">
      <c r="E147" s="10"/>
      <c r="F147" s="10"/>
    </row>
    <row r="148" ht="15.75" customHeight="1">
      <c r="E148" s="10"/>
      <c r="F148" s="10"/>
    </row>
    <row r="149" ht="15.75" customHeight="1">
      <c r="E149" s="10"/>
      <c r="F149" s="10"/>
    </row>
    <row r="150" ht="15.75" customHeight="1">
      <c r="E150" s="10"/>
      <c r="F150" s="10"/>
    </row>
    <row r="151" ht="15.75" customHeight="1">
      <c r="E151" s="10"/>
      <c r="F151" s="10"/>
    </row>
    <row r="152" ht="15.75" customHeight="1">
      <c r="E152" s="10"/>
      <c r="F152" s="10"/>
    </row>
    <row r="153" ht="15.75" customHeight="1">
      <c r="E153" s="10"/>
      <c r="F153" s="10"/>
    </row>
    <row r="154" ht="15.75" customHeight="1">
      <c r="E154" s="10"/>
      <c r="F154" s="10"/>
    </row>
    <row r="155" ht="15.75" customHeight="1">
      <c r="E155" s="10"/>
      <c r="F155" s="10"/>
    </row>
    <row r="156" ht="15.75" customHeight="1">
      <c r="E156" s="10"/>
      <c r="F156" s="10"/>
    </row>
    <row r="157" ht="15.75" customHeight="1">
      <c r="E157" s="10"/>
      <c r="F157" s="10"/>
    </row>
    <row r="158" ht="15.75" customHeight="1">
      <c r="E158" s="10"/>
      <c r="F158" s="10"/>
    </row>
    <row r="159" ht="15.75" customHeight="1">
      <c r="E159" s="10"/>
      <c r="F159" s="10"/>
    </row>
    <row r="160" ht="15.75" customHeight="1">
      <c r="E160" s="10"/>
      <c r="F160" s="10"/>
    </row>
    <row r="161" ht="15.75" customHeight="1">
      <c r="E161" s="10"/>
      <c r="F161" s="10"/>
    </row>
    <row r="162" ht="15.75" customHeight="1">
      <c r="E162" s="10"/>
      <c r="F162" s="10"/>
    </row>
    <row r="163" ht="15.75" customHeight="1">
      <c r="E163" s="10"/>
      <c r="F163" s="10"/>
    </row>
    <row r="164" ht="15.75" customHeight="1">
      <c r="E164" s="10"/>
      <c r="F164" s="10"/>
    </row>
    <row r="165" ht="15.75" customHeight="1">
      <c r="E165" s="10"/>
      <c r="F165" s="10"/>
    </row>
    <row r="166" ht="15.75" customHeight="1">
      <c r="E166" s="10"/>
      <c r="F166" s="10"/>
    </row>
    <row r="167" ht="15.75" customHeight="1">
      <c r="E167" s="10"/>
      <c r="F167" s="10"/>
    </row>
    <row r="168" ht="15.75" customHeight="1">
      <c r="E168" s="10"/>
      <c r="F168" s="10"/>
    </row>
    <row r="169" ht="15.75" customHeight="1">
      <c r="E169" s="10"/>
      <c r="F169" s="10"/>
    </row>
    <row r="170" ht="15.75" customHeight="1">
      <c r="E170" s="10"/>
      <c r="F170" s="10"/>
    </row>
    <row r="171" ht="15.75" customHeight="1">
      <c r="E171" s="10"/>
      <c r="F171" s="10"/>
    </row>
    <row r="172" ht="15.75" customHeight="1">
      <c r="E172" s="10"/>
      <c r="F172" s="10"/>
    </row>
    <row r="173" ht="15.75" customHeight="1">
      <c r="E173" s="10"/>
      <c r="F173" s="10"/>
    </row>
    <row r="174" ht="15.75" customHeight="1">
      <c r="E174" s="10"/>
      <c r="F174" s="10"/>
    </row>
    <row r="175" ht="15.75" customHeight="1">
      <c r="E175" s="10"/>
      <c r="F175" s="10"/>
    </row>
    <row r="176" ht="15.75" customHeight="1">
      <c r="E176" s="10"/>
      <c r="F176" s="10"/>
    </row>
    <row r="177" ht="15.75" customHeight="1">
      <c r="E177" s="10"/>
      <c r="F177" s="10"/>
    </row>
    <row r="178" ht="15.75" customHeight="1">
      <c r="E178" s="10"/>
      <c r="F178" s="10"/>
    </row>
    <row r="179" ht="15.75" customHeight="1">
      <c r="E179" s="10"/>
      <c r="F179" s="10"/>
    </row>
    <row r="180" ht="15.75" customHeight="1">
      <c r="E180" s="10"/>
      <c r="F180" s="10"/>
    </row>
    <row r="181" ht="15.75" customHeight="1">
      <c r="E181" s="10"/>
      <c r="F181" s="10"/>
    </row>
    <row r="182" ht="15.75" customHeight="1">
      <c r="E182" s="10"/>
      <c r="F182" s="10"/>
    </row>
    <row r="183" ht="15.75" customHeight="1">
      <c r="E183" s="10"/>
      <c r="F183" s="10"/>
    </row>
    <row r="184" ht="15.75" customHeight="1">
      <c r="E184" s="10"/>
      <c r="F184" s="10"/>
    </row>
    <row r="185" ht="15.75" customHeight="1">
      <c r="E185" s="10"/>
      <c r="F185" s="10"/>
    </row>
    <row r="186" ht="15.75" customHeight="1">
      <c r="E186" s="10"/>
      <c r="F186" s="10"/>
    </row>
    <row r="187" ht="15.75" customHeight="1">
      <c r="E187" s="10"/>
      <c r="F187" s="10"/>
    </row>
    <row r="188" ht="15.75" customHeight="1">
      <c r="E188" s="10"/>
      <c r="F188" s="10"/>
    </row>
    <row r="189" ht="15.75" customHeight="1">
      <c r="E189" s="10"/>
      <c r="F189" s="10"/>
    </row>
    <row r="190" ht="15.75" customHeight="1">
      <c r="E190" s="10"/>
      <c r="F190" s="10"/>
    </row>
    <row r="191" ht="15.75" customHeight="1">
      <c r="E191" s="10"/>
      <c r="F191" s="10"/>
    </row>
    <row r="192" ht="15.75" customHeight="1">
      <c r="E192" s="10"/>
      <c r="F192" s="10"/>
    </row>
    <row r="193" ht="15.75" customHeight="1">
      <c r="E193" s="10"/>
      <c r="F193" s="10"/>
    </row>
    <row r="194" ht="15.75" customHeight="1">
      <c r="E194" s="10"/>
      <c r="F194" s="10"/>
    </row>
    <row r="195" ht="15.75" customHeight="1">
      <c r="E195" s="10"/>
      <c r="F195" s="10"/>
    </row>
    <row r="196" ht="15.75" customHeight="1">
      <c r="E196" s="10"/>
      <c r="F196" s="10"/>
    </row>
    <row r="197" ht="15.75" customHeight="1">
      <c r="E197" s="10"/>
      <c r="F197" s="10"/>
    </row>
    <row r="198" ht="15.75" customHeight="1">
      <c r="E198" s="10"/>
      <c r="F198" s="10"/>
    </row>
    <row r="199" ht="15.75" customHeight="1">
      <c r="E199" s="10"/>
      <c r="F199" s="10"/>
    </row>
    <row r="200" ht="15.75" customHeight="1">
      <c r="E200" s="10"/>
      <c r="F200" s="10"/>
    </row>
    <row r="201" ht="15.75" customHeight="1">
      <c r="E201" s="10"/>
      <c r="F201" s="10"/>
    </row>
    <row r="202" ht="15.75" customHeight="1">
      <c r="E202" s="10"/>
      <c r="F202" s="10"/>
    </row>
    <row r="203" ht="15.75" customHeight="1">
      <c r="E203" s="10"/>
      <c r="F203" s="10"/>
    </row>
    <row r="204" ht="15.75" customHeight="1">
      <c r="E204" s="10"/>
      <c r="F204" s="10"/>
    </row>
    <row r="205" ht="15.75" customHeight="1">
      <c r="E205" s="10"/>
      <c r="F205" s="10"/>
    </row>
    <row r="206" ht="15.75" customHeight="1">
      <c r="E206" s="10"/>
      <c r="F206" s="10"/>
    </row>
    <row r="207" ht="15.75" customHeight="1">
      <c r="E207" s="10"/>
      <c r="F207" s="10"/>
    </row>
    <row r="208" ht="15.75" customHeight="1">
      <c r="E208" s="10"/>
      <c r="F208" s="10"/>
    </row>
    <row r="209" ht="15.75" customHeight="1">
      <c r="E209" s="10"/>
      <c r="F209" s="10"/>
    </row>
    <row r="210" ht="15.75" customHeight="1">
      <c r="E210" s="10"/>
      <c r="F210" s="10"/>
    </row>
    <row r="211" ht="15.75" customHeight="1">
      <c r="E211" s="10"/>
      <c r="F211" s="10"/>
    </row>
    <row r="212" ht="15.75" customHeight="1">
      <c r="E212" s="10"/>
      <c r="F212" s="10"/>
    </row>
    <row r="213" ht="15.75" customHeight="1">
      <c r="E213" s="10"/>
      <c r="F213" s="10"/>
    </row>
    <row r="214" ht="15.75" customHeight="1">
      <c r="E214" s="10"/>
      <c r="F214" s="10"/>
    </row>
    <row r="215" ht="15.75" customHeight="1">
      <c r="E215" s="10"/>
      <c r="F215" s="10"/>
    </row>
    <row r="216" ht="15.75" customHeight="1">
      <c r="E216" s="10"/>
      <c r="F216" s="10"/>
    </row>
    <row r="217" ht="15.75" customHeight="1">
      <c r="E217" s="10"/>
      <c r="F217" s="10"/>
    </row>
    <row r="218" ht="15.75" customHeight="1">
      <c r="E218" s="10"/>
      <c r="F218" s="10"/>
    </row>
    <row r="219" ht="15.75" customHeight="1">
      <c r="E219" s="10"/>
      <c r="F219" s="10"/>
    </row>
    <row r="220" ht="15.75" customHeight="1">
      <c r="E220" s="10"/>
      <c r="F220" s="10"/>
    </row>
    <row r="221" ht="15.75" customHeight="1">
      <c r="E221" s="10"/>
      <c r="F221" s="10"/>
    </row>
    <row r="222" ht="15.75" customHeight="1">
      <c r="E222" s="10"/>
      <c r="F222" s="10"/>
    </row>
    <row r="223" ht="15.75" customHeight="1">
      <c r="E223" s="10"/>
      <c r="F223" s="10"/>
    </row>
    <row r="224" ht="15.75" customHeight="1">
      <c r="E224" s="10"/>
      <c r="F224" s="10"/>
    </row>
    <row r="225" ht="15.75" customHeight="1">
      <c r="E225" s="10"/>
      <c r="F225" s="10"/>
    </row>
    <row r="226" ht="15.75" customHeight="1">
      <c r="E226" s="10"/>
      <c r="F226" s="10"/>
    </row>
    <row r="227" ht="15.75" customHeight="1">
      <c r="E227" s="10"/>
      <c r="F227" s="10"/>
    </row>
    <row r="228" ht="15.75" customHeight="1">
      <c r="E228" s="10"/>
      <c r="F228" s="10"/>
    </row>
    <row r="229" ht="15.75" customHeight="1">
      <c r="E229" s="10"/>
      <c r="F229" s="10"/>
    </row>
    <row r="230" ht="15.75" customHeight="1">
      <c r="E230" s="10"/>
      <c r="F230" s="10"/>
    </row>
    <row r="231" ht="15.75" customHeight="1">
      <c r="E231" s="10"/>
      <c r="F231" s="10"/>
    </row>
    <row r="232" ht="15.75" customHeight="1">
      <c r="E232" s="10"/>
      <c r="F232" s="10"/>
    </row>
    <row r="233" ht="15.75" customHeight="1">
      <c r="E233" s="10"/>
      <c r="F233" s="10"/>
    </row>
    <row r="234" ht="15.75" customHeight="1">
      <c r="E234" s="10"/>
      <c r="F234" s="10"/>
    </row>
    <row r="235" ht="15.75" customHeight="1">
      <c r="E235" s="10"/>
      <c r="F235" s="10"/>
    </row>
    <row r="236" ht="15.75" customHeight="1">
      <c r="E236" s="10"/>
      <c r="F236" s="10"/>
    </row>
    <row r="237" ht="15.75" customHeight="1">
      <c r="E237" s="10"/>
      <c r="F237" s="10"/>
    </row>
    <row r="238" ht="15.75" customHeight="1">
      <c r="E238" s="10"/>
      <c r="F238" s="10"/>
    </row>
    <row r="239" ht="15.75" customHeight="1">
      <c r="E239" s="10"/>
      <c r="F239" s="10"/>
    </row>
    <row r="240" ht="15.75" customHeight="1">
      <c r="E240" s="10"/>
      <c r="F240" s="10"/>
    </row>
    <row r="241" ht="15.75" customHeight="1">
      <c r="E241" s="10"/>
      <c r="F241" s="10"/>
    </row>
    <row r="242" ht="15.75" customHeight="1">
      <c r="E242" s="10"/>
      <c r="F242" s="10"/>
    </row>
    <row r="243" ht="15.75" customHeight="1">
      <c r="E243" s="10"/>
      <c r="F243" s="10"/>
    </row>
    <row r="244" ht="15.75" customHeight="1">
      <c r="E244" s="10"/>
      <c r="F244" s="10"/>
    </row>
    <row r="245" ht="15.75" customHeight="1">
      <c r="E245" s="10"/>
      <c r="F245" s="10"/>
    </row>
    <row r="246" ht="15.75" customHeight="1">
      <c r="E246" s="10"/>
      <c r="F246" s="10"/>
    </row>
    <row r="247" ht="15.75" customHeight="1">
      <c r="E247" s="10"/>
      <c r="F247" s="10"/>
    </row>
    <row r="248" ht="15.75" customHeight="1">
      <c r="E248" s="10"/>
      <c r="F248" s="10"/>
    </row>
    <row r="249" ht="15.75" customHeight="1">
      <c r="E249" s="10"/>
      <c r="F249" s="10"/>
    </row>
    <row r="250" ht="15.75" customHeight="1">
      <c r="E250" s="10"/>
      <c r="F250" s="10"/>
    </row>
    <row r="251" ht="15.75" customHeight="1">
      <c r="E251" s="10"/>
      <c r="F251" s="10"/>
    </row>
    <row r="252" ht="15.75" customHeight="1">
      <c r="E252" s="10"/>
      <c r="F252" s="10"/>
    </row>
    <row r="253" ht="15.75" customHeight="1">
      <c r="E253" s="10"/>
      <c r="F253" s="10"/>
    </row>
    <row r="254" ht="15.75" customHeight="1">
      <c r="E254" s="10"/>
      <c r="F254" s="10"/>
    </row>
    <row r="255" ht="15.75" customHeight="1">
      <c r="E255" s="10"/>
      <c r="F255" s="10"/>
    </row>
    <row r="256" ht="15.75" customHeight="1">
      <c r="E256" s="10"/>
      <c r="F256" s="10"/>
    </row>
    <row r="257" ht="15.75" customHeight="1">
      <c r="E257" s="10"/>
      <c r="F257" s="10"/>
    </row>
    <row r="258" ht="15.75" customHeight="1">
      <c r="E258" s="10"/>
      <c r="F258" s="10"/>
    </row>
    <row r="259" ht="15.75" customHeight="1">
      <c r="E259" s="10"/>
      <c r="F259" s="10"/>
    </row>
    <row r="260" ht="15.75" customHeight="1">
      <c r="E260" s="10"/>
      <c r="F260" s="10"/>
    </row>
    <row r="261" ht="15.75" customHeight="1">
      <c r="E261" s="10"/>
      <c r="F261" s="10"/>
    </row>
    <row r="262" ht="15.75" customHeight="1">
      <c r="E262" s="10"/>
      <c r="F262" s="10"/>
    </row>
    <row r="263" ht="15.75" customHeight="1">
      <c r="E263" s="10"/>
      <c r="F263" s="10"/>
    </row>
    <row r="264" ht="15.75" customHeight="1">
      <c r="E264" s="10"/>
      <c r="F264" s="10"/>
    </row>
    <row r="265" ht="15.75" customHeight="1">
      <c r="E265" s="10"/>
      <c r="F265" s="10"/>
    </row>
    <row r="266" ht="15.75" customHeight="1">
      <c r="E266" s="10"/>
      <c r="F266" s="10"/>
    </row>
    <row r="267" ht="15.75" customHeight="1">
      <c r="E267" s="10"/>
      <c r="F267" s="10"/>
    </row>
    <row r="268" ht="15.75" customHeight="1">
      <c r="E268" s="10"/>
      <c r="F268" s="10"/>
    </row>
    <row r="269" ht="15.75" customHeight="1">
      <c r="E269" s="10"/>
      <c r="F269" s="10"/>
    </row>
    <row r="270" ht="15.75" customHeight="1">
      <c r="E270" s="10"/>
      <c r="F270" s="10"/>
    </row>
    <row r="271" ht="15.75" customHeight="1">
      <c r="E271" s="10"/>
      <c r="F271" s="10"/>
    </row>
    <row r="272" ht="15.75" customHeight="1">
      <c r="E272" s="10"/>
      <c r="F272" s="10"/>
    </row>
    <row r="273" ht="15.75" customHeight="1">
      <c r="E273" s="10"/>
      <c r="F273" s="10"/>
    </row>
    <row r="274" ht="15.75" customHeight="1">
      <c r="E274" s="10"/>
      <c r="F274" s="10"/>
    </row>
    <row r="275" ht="15.75" customHeight="1">
      <c r="E275" s="10"/>
      <c r="F275" s="10"/>
    </row>
    <row r="276" ht="15.75" customHeight="1">
      <c r="E276" s="10"/>
      <c r="F276" s="10"/>
    </row>
    <row r="277" ht="15.75" customHeight="1">
      <c r="E277" s="10"/>
      <c r="F277" s="10"/>
    </row>
    <row r="278" ht="15.75" customHeight="1">
      <c r="E278" s="10"/>
      <c r="F278" s="10"/>
    </row>
    <row r="279" ht="15.75" customHeight="1">
      <c r="E279" s="10"/>
      <c r="F279" s="10"/>
    </row>
    <row r="280" ht="15.75" customHeight="1">
      <c r="E280" s="10"/>
      <c r="F280" s="10"/>
    </row>
    <row r="281" ht="15.75" customHeight="1">
      <c r="E281" s="10"/>
      <c r="F281" s="10"/>
    </row>
    <row r="282" ht="15.75" customHeight="1">
      <c r="E282" s="10"/>
      <c r="F282" s="10"/>
    </row>
    <row r="283" ht="15.75" customHeight="1">
      <c r="E283" s="10"/>
      <c r="F283" s="10"/>
    </row>
    <row r="284" ht="15.75" customHeight="1">
      <c r="E284" s="10"/>
      <c r="F284" s="10"/>
    </row>
    <row r="285" ht="15.75" customHeight="1">
      <c r="E285" s="10"/>
      <c r="F285" s="10"/>
    </row>
    <row r="286" ht="15.75" customHeight="1">
      <c r="E286" s="10"/>
      <c r="F286" s="10"/>
    </row>
    <row r="287" ht="15.75" customHeight="1">
      <c r="E287" s="10"/>
      <c r="F287" s="10"/>
    </row>
    <row r="288" ht="15.75" customHeight="1">
      <c r="E288" s="10"/>
      <c r="F288" s="10"/>
    </row>
    <row r="289" ht="15.75" customHeight="1">
      <c r="E289" s="10"/>
      <c r="F289" s="10"/>
    </row>
    <row r="290" ht="15.75" customHeight="1">
      <c r="E290" s="10"/>
      <c r="F290" s="10"/>
    </row>
    <row r="291" ht="15.75" customHeight="1">
      <c r="E291" s="10"/>
      <c r="F291" s="10"/>
    </row>
    <row r="292" ht="15.75" customHeight="1">
      <c r="E292" s="10"/>
      <c r="F292" s="10"/>
    </row>
    <row r="293" ht="15.75" customHeight="1">
      <c r="E293" s="10"/>
      <c r="F293" s="10"/>
    </row>
    <row r="294" ht="15.75" customHeight="1">
      <c r="E294" s="10"/>
      <c r="F294" s="10"/>
    </row>
    <row r="295" ht="15.75" customHeight="1">
      <c r="E295" s="10"/>
      <c r="F295" s="10"/>
    </row>
    <row r="296" ht="15.75" customHeight="1">
      <c r="E296" s="10"/>
      <c r="F296" s="10"/>
    </row>
    <row r="297" ht="15.75" customHeight="1">
      <c r="E297" s="10"/>
      <c r="F297" s="10"/>
    </row>
    <row r="298" ht="15.75" customHeight="1">
      <c r="E298" s="10"/>
      <c r="F298" s="10"/>
    </row>
    <row r="299" ht="15.75" customHeight="1">
      <c r="E299" s="10"/>
      <c r="F299" s="10"/>
    </row>
    <row r="300" ht="15.75" customHeight="1">
      <c r="E300" s="10"/>
      <c r="F300" s="10"/>
    </row>
    <row r="301" ht="15.75" customHeight="1">
      <c r="E301" s="10"/>
      <c r="F301" s="10"/>
    </row>
    <row r="302" ht="15.75" customHeight="1">
      <c r="E302" s="10"/>
      <c r="F302" s="10"/>
    </row>
    <row r="303" ht="15.75" customHeight="1">
      <c r="E303" s="10"/>
      <c r="F303" s="10"/>
    </row>
    <row r="304" ht="15.75" customHeight="1">
      <c r="E304" s="10"/>
      <c r="F304" s="10"/>
    </row>
    <row r="305" ht="15.75" customHeight="1">
      <c r="E305" s="10"/>
      <c r="F305" s="10"/>
    </row>
    <row r="306" ht="15.75" customHeight="1">
      <c r="E306" s="10"/>
      <c r="F306" s="10"/>
    </row>
    <row r="307" ht="15.75" customHeight="1">
      <c r="E307" s="10"/>
      <c r="F307" s="10"/>
    </row>
    <row r="308" ht="15.75" customHeight="1">
      <c r="E308" s="10"/>
      <c r="F308" s="10"/>
    </row>
    <row r="309" ht="15.75" customHeight="1">
      <c r="E309" s="10"/>
      <c r="F309" s="10"/>
    </row>
    <row r="310" ht="15.75" customHeight="1">
      <c r="E310" s="10"/>
      <c r="F310" s="10"/>
    </row>
    <row r="311" ht="15.75" customHeight="1">
      <c r="E311" s="10"/>
      <c r="F311" s="10"/>
    </row>
    <row r="312" ht="15.75" customHeight="1">
      <c r="E312" s="10"/>
      <c r="F312" s="10"/>
    </row>
    <row r="313" ht="15.75" customHeight="1">
      <c r="E313" s="10"/>
      <c r="F313" s="10"/>
    </row>
    <row r="314" ht="15.75" customHeight="1">
      <c r="E314" s="10"/>
      <c r="F314" s="10"/>
    </row>
    <row r="315" ht="15.75" customHeight="1">
      <c r="E315" s="10"/>
      <c r="F315" s="10"/>
    </row>
    <row r="316" ht="15.75" customHeight="1">
      <c r="E316" s="10"/>
      <c r="F316" s="10"/>
    </row>
    <row r="317" ht="15.75" customHeight="1">
      <c r="E317" s="10"/>
      <c r="F317" s="10"/>
    </row>
    <row r="318" ht="15.75" customHeight="1">
      <c r="E318" s="10"/>
      <c r="F318" s="10"/>
    </row>
    <row r="319" ht="15.75" customHeight="1">
      <c r="E319" s="10"/>
      <c r="F319" s="10"/>
    </row>
    <row r="320" ht="15.75" customHeight="1">
      <c r="E320" s="10"/>
      <c r="F320" s="10"/>
    </row>
    <row r="321" ht="15.75" customHeight="1">
      <c r="E321" s="10"/>
      <c r="F321" s="10"/>
    </row>
    <row r="322" ht="15.75" customHeight="1">
      <c r="E322" s="10"/>
      <c r="F322" s="10"/>
    </row>
    <row r="323" ht="15.75" customHeight="1">
      <c r="E323" s="10"/>
      <c r="F323" s="10"/>
    </row>
    <row r="324" ht="15.75" customHeight="1">
      <c r="E324" s="10"/>
      <c r="F324" s="10"/>
    </row>
    <row r="325" ht="15.75" customHeight="1">
      <c r="E325" s="10"/>
      <c r="F325" s="10"/>
    </row>
    <row r="326" ht="15.75" customHeight="1">
      <c r="E326" s="10"/>
      <c r="F326" s="10"/>
    </row>
    <row r="327" ht="15.75" customHeight="1">
      <c r="E327" s="10"/>
      <c r="F327" s="10"/>
    </row>
    <row r="328" ht="15.75" customHeight="1">
      <c r="E328" s="10"/>
      <c r="F328" s="10"/>
    </row>
    <row r="329" ht="15.75" customHeight="1">
      <c r="E329" s="10"/>
      <c r="F329" s="10"/>
    </row>
    <row r="330" ht="15.75" customHeight="1">
      <c r="E330" s="10"/>
      <c r="F330" s="10"/>
    </row>
    <row r="331" ht="15.75" customHeight="1">
      <c r="E331" s="10"/>
      <c r="F331" s="10"/>
    </row>
    <row r="332" ht="15.75" customHeight="1">
      <c r="E332" s="10"/>
      <c r="F332" s="10"/>
    </row>
    <row r="333" ht="15.75" customHeight="1">
      <c r="E333" s="10"/>
      <c r="F333" s="10"/>
    </row>
    <row r="334" ht="15.75" customHeight="1">
      <c r="E334" s="10"/>
      <c r="F334" s="10"/>
    </row>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8.0"/>
    <col customWidth="1" min="3" max="3" width="8.13"/>
    <col customWidth="1" min="4" max="4" width="5.5"/>
    <col customWidth="1" min="5" max="5" width="26.75"/>
    <col customWidth="1" min="6" max="6" width="53.75"/>
    <col customWidth="1" min="7" max="7" width="5.25"/>
    <col customWidth="1" min="8" max="8" width="5.75"/>
    <col customWidth="1" min="9" max="9" width="6.13"/>
    <col customWidth="1" min="10" max="10" width="5.5"/>
    <col customWidth="1" min="11" max="11" width="6.25"/>
    <col customWidth="1" min="12" max="12" width="6.5"/>
    <col customWidth="1" min="13" max="13" width="5.63"/>
    <col customWidth="1" min="14" max="14" width="5.25"/>
    <col customWidth="1" min="15" max="15" width="9.88"/>
  </cols>
  <sheetData>
    <row r="1" ht="15.75" customHeight="1">
      <c r="A1" s="20" t="s">
        <v>1462</v>
      </c>
      <c r="B1" s="206" t="s">
        <v>34</v>
      </c>
      <c r="C1" s="20" t="s">
        <v>35</v>
      </c>
      <c r="D1" s="20" t="s">
        <v>36</v>
      </c>
      <c r="E1" s="20" t="s">
        <v>37</v>
      </c>
      <c r="F1" s="20" t="s">
        <v>38</v>
      </c>
      <c r="G1" s="20" t="s">
        <v>39</v>
      </c>
      <c r="H1" s="20" t="s">
        <v>40</v>
      </c>
      <c r="I1" s="20" t="s">
        <v>41</v>
      </c>
      <c r="J1" s="20" t="s">
        <v>42</v>
      </c>
      <c r="K1" s="20" t="s">
        <v>43</v>
      </c>
      <c r="L1" s="20" t="s">
        <v>44</v>
      </c>
      <c r="M1" s="20" t="s">
        <v>45</v>
      </c>
      <c r="N1" s="20" t="s">
        <v>46</v>
      </c>
      <c r="O1" s="22" t="s">
        <v>47</v>
      </c>
      <c r="P1" s="23" t="s">
        <v>48</v>
      </c>
    </row>
    <row r="2" ht="57.0" customHeight="1">
      <c r="A2" s="139">
        <v>45595.0</v>
      </c>
      <c r="B2" s="10"/>
      <c r="C2" s="25">
        <v>0.07916666666666666</v>
      </c>
      <c r="D2" s="25">
        <v>0.08888888888888889</v>
      </c>
      <c r="E2" s="20" t="s">
        <v>57</v>
      </c>
      <c r="F2" s="10" t="s">
        <v>5565</v>
      </c>
      <c r="G2" s="10"/>
      <c r="H2" s="10"/>
      <c r="I2" s="10"/>
      <c r="J2" s="10"/>
      <c r="K2" s="10"/>
      <c r="L2" s="10"/>
      <c r="M2" s="10"/>
      <c r="N2" s="10"/>
      <c r="O2" s="10"/>
      <c r="P2" s="10"/>
    </row>
    <row r="3" ht="57.0" customHeight="1">
      <c r="C3" s="28">
        <v>0.09027777777777778</v>
      </c>
      <c r="D3" s="28">
        <v>0.10694444444444444</v>
      </c>
      <c r="E3" s="34" t="s">
        <v>5566</v>
      </c>
      <c r="F3" s="10" t="s">
        <v>5567</v>
      </c>
      <c r="G3" s="13">
        <v>4.0</v>
      </c>
      <c r="H3" s="13">
        <v>2.0</v>
      </c>
      <c r="I3" s="13">
        <v>1.0</v>
      </c>
      <c r="J3" s="13">
        <v>1.0</v>
      </c>
      <c r="K3" s="13">
        <v>1.0</v>
      </c>
      <c r="L3" s="13">
        <v>0.0</v>
      </c>
      <c r="M3" s="13">
        <v>1.0</v>
      </c>
      <c r="N3" s="13">
        <v>1.0</v>
      </c>
    </row>
    <row r="4" ht="15.75" customHeight="1">
      <c r="C4" s="28">
        <v>0.10833333333333334</v>
      </c>
      <c r="E4" s="13" t="s">
        <v>60</v>
      </c>
      <c r="F4" s="10"/>
    </row>
    <row r="5" ht="15.75" customHeight="1">
      <c r="F5" s="10"/>
    </row>
    <row r="6" ht="15.75" customHeight="1">
      <c r="A6" s="29">
        <v>45596.0</v>
      </c>
      <c r="C6" s="28">
        <v>0.3958333333333333</v>
      </c>
      <c r="D6" s="28">
        <v>0.40694444444444444</v>
      </c>
      <c r="E6" s="13" t="s">
        <v>57</v>
      </c>
      <c r="F6" s="10" t="s">
        <v>5568</v>
      </c>
    </row>
    <row r="7" ht="15.75" customHeight="1">
      <c r="C7" s="28">
        <v>0.4111111111111111</v>
      </c>
      <c r="D7" s="28">
        <v>0.43819444444444444</v>
      </c>
      <c r="E7" s="34" t="s">
        <v>5569</v>
      </c>
      <c r="F7" s="207" t="s">
        <v>5570</v>
      </c>
      <c r="G7" s="13">
        <v>16.0</v>
      </c>
      <c r="H7" s="13">
        <v>7.0</v>
      </c>
      <c r="I7" s="13">
        <v>7.0</v>
      </c>
      <c r="J7" s="13">
        <v>1.0</v>
      </c>
      <c r="K7" s="13">
        <v>7.0</v>
      </c>
      <c r="L7" s="13">
        <v>0.0</v>
      </c>
      <c r="M7" s="13">
        <v>1.0</v>
      </c>
      <c r="N7" s="13">
        <v>9.0</v>
      </c>
    </row>
    <row r="8" ht="15.75" customHeight="1">
      <c r="F8" s="10"/>
    </row>
    <row r="9" ht="15.75" customHeight="1">
      <c r="A9" s="208">
        <v>45597.0</v>
      </c>
      <c r="C9" s="28">
        <v>0.40347222222222223</v>
      </c>
      <c r="D9" s="28">
        <v>0.4152777777777778</v>
      </c>
      <c r="E9" s="13" t="s">
        <v>57</v>
      </c>
      <c r="F9" s="10" t="s">
        <v>5571</v>
      </c>
    </row>
    <row r="10" ht="15.75" customHeight="1">
      <c r="C10" s="28">
        <v>0.4173611111111111</v>
      </c>
      <c r="D10" s="28">
        <v>0.44930555555555557</v>
      </c>
      <c r="E10" s="34" t="s">
        <v>5572</v>
      </c>
      <c r="F10" s="207" t="s">
        <v>5573</v>
      </c>
      <c r="G10" s="13">
        <v>44.0</v>
      </c>
      <c r="H10" s="13">
        <v>17.0</v>
      </c>
      <c r="I10" s="13">
        <v>20.0</v>
      </c>
      <c r="J10" s="13">
        <v>6.0</v>
      </c>
      <c r="K10" s="13">
        <v>5.0</v>
      </c>
      <c r="L10" s="13">
        <v>0.0</v>
      </c>
      <c r="M10" s="13">
        <v>15.0</v>
      </c>
      <c r="N10" s="13">
        <v>17.0</v>
      </c>
    </row>
    <row r="11" ht="15.75" customHeight="1">
      <c r="F11" s="10"/>
    </row>
    <row r="12" ht="15.75" customHeight="1">
      <c r="A12" s="208">
        <v>45600.0</v>
      </c>
      <c r="B12" s="13">
        <v>1.0</v>
      </c>
      <c r="C12" s="28">
        <v>0.4013888888888889</v>
      </c>
      <c r="D12" s="28">
        <v>0.4305555555555556</v>
      </c>
      <c r="E12" s="13" t="s">
        <v>57</v>
      </c>
      <c r="F12" s="10" t="s">
        <v>5574</v>
      </c>
    </row>
    <row r="13" ht="15.75" customHeight="1">
      <c r="C13" s="28">
        <v>0.4395833333333333</v>
      </c>
      <c r="D13" s="28">
        <v>0.47638888888888886</v>
      </c>
      <c r="E13" s="34" t="s">
        <v>5575</v>
      </c>
      <c r="F13" s="10" t="s">
        <v>5576</v>
      </c>
      <c r="G13" s="13">
        <v>66.0</v>
      </c>
      <c r="H13" s="13">
        <v>24.0</v>
      </c>
      <c r="I13" s="13">
        <v>39.0</v>
      </c>
      <c r="J13" s="13">
        <v>3.0</v>
      </c>
      <c r="K13" s="13">
        <v>5.0</v>
      </c>
      <c r="L13" s="13">
        <v>1.0</v>
      </c>
      <c r="M13" s="13">
        <v>20.0</v>
      </c>
      <c r="N13" s="13">
        <v>39.0</v>
      </c>
    </row>
    <row r="14" ht="15.75" customHeight="1">
      <c r="C14" s="28">
        <v>0.4777777777777778</v>
      </c>
      <c r="D14" s="28">
        <v>0.49930555555555556</v>
      </c>
      <c r="E14" s="13" t="s">
        <v>60</v>
      </c>
      <c r="F14" s="10"/>
    </row>
    <row r="15" ht="15.75" customHeight="1">
      <c r="F15" s="10"/>
    </row>
    <row r="16" ht="15.75" customHeight="1">
      <c r="A16" s="208">
        <v>45601.0</v>
      </c>
      <c r="B16" s="13">
        <v>2.0</v>
      </c>
      <c r="C16" s="28">
        <v>0.4361111111111111</v>
      </c>
      <c r="D16" s="28">
        <v>0.4583333333333333</v>
      </c>
      <c r="E16" s="13" t="s">
        <v>57</v>
      </c>
      <c r="F16" s="10"/>
    </row>
    <row r="17" ht="15.75" customHeight="1">
      <c r="C17" s="28">
        <v>0.46875</v>
      </c>
      <c r="D17" s="28">
        <v>0.5340277777777778</v>
      </c>
      <c r="E17" s="34" t="s">
        <v>5577</v>
      </c>
      <c r="F17" s="10" t="s">
        <v>5578</v>
      </c>
      <c r="G17" s="13">
        <v>159.0</v>
      </c>
      <c r="H17" s="13">
        <v>84.0</v>
      </c>
      <c r="I17" s="13">
        <v>60.0</v>
      </c>
      <c r="J17" s="13">
        <v>7.0</v>
      </c>
      <c r="K17" s="13">
        <v>5.0</v>
      </c>
      <c r="L17" s="13">
        <v>8.0</v>
      </c>
      <c r="M17" s="13">
        <v>52.0</v>
      </c>
      <c r="N17" s="13">
        <v>87.0</v>
      </c>
    </row>
    <row r="18" ht="15.75" customHeight="1">
      <c r="C18" s="28">
        <v>0.5361111111111111</v>
      </c>
      <c r="D18" s="28">
        <v>0.058333333333333334</v>
      </c>
      <c r="E18" s="13" t="s">
        <v>60</v>
      </c>
      <c r="F18" s="10"/>
    </row>
    <row r="19" ht="15.75" customHeight="1">
      <c r="C19" s="28">
        <v>0.07777777777777778</v>
      </c>
      <c r="D19" s="28">
        <v>0.13819444444444445</v>
      </c>
      <c r="E19" s="34" t="s">
        <v>5579</v>
      </c>
      <c r="F19" s="10" t="s">
        <v>5580</v>
      </c>
      <c r="G19" s="13">
        <v>105.0</v>
      </c>
      <c r="H19" s="13">
        <v>39.0</v>
      </c>
      <c r="I19" s="13">
        <v>46.0</v>
      </c>
      <c r="J19" s="13">
        <v>2.0</v>
      </c>
      <c r="K19" s="13">
        <v>23.0</v>
      </c>
      <c r="L19" s="13">
        <v>18.0</v>
      </c>
      <c r="M19" s="13">
        <v>15.0</v>
      </c>
      <c r="N19" s="13">
        <v>47.0</v>
      </c>
    </row>
    <row r="20" ht="15.75" customHeight="1">
      <c r="C20" s="28">
        <v>0.14027777777777778</v>
      </c>
      <c r="D20" s="28">
        <v>0.1625</v>
      </c>
      <c r="E20" s="13" t="s">
        <v>63</v>
      </c>
      <c r="F20" s="10"/>
    </row>
    <row r="21" ht="15.75" customHeight="1">
      <c r="F21" s="10"/>
    </row>
    <row r="22" ht="15.75" customHeight="1">
      <c r="A22" s="208">
        <v>45602.0</v>
      </c>
      <c r="B22" s="13">
        <v>3.0</v>
      </c>
      <c r="C22" s="28">
        <v>0.4354166666666667</v>
      </c>
      <c r="D22" s="28">
        <v>0.4625</v>
      </c>
      <c r="E22" s="13" t="s">
        <v>57</v>
      </c>
      <c r="F22" s="10"/>
    </row>
    <row r="23" ht="15.75" customHeight="1">
      <c r="C23" s="28">
        <v>0.46597222222222223</v>
      </c>
      <c r="D23" s="28">
        <v>0.5305555555555556</v>
      </c>
      <c r="E23" s="34" t="s">
        <v>5581</v>
      </c>
      <c r="F23" s="10" t="s">
        <v>5582</v>
      </c>
      <c r="G23" s="13">
        <v>123.0</v>
      </c>
      <c r="H23" s="13">
        <v>52.0</v>
      </c>
      <c r="I23" s="13">
        <v>49.0</v>
      </c>
      <c r="J23" s="13">
        <v>0.0</v>
      </c>
      <c r="K23" s="13">
        <v>15.0</v>
      </c>
      <c r="L23" s="13">
        <v>18.0</v>
      </c>
      <c r="M23" s="13">
        <v>30.0</v>
      </c>
      <c r="N23" s="13">
        <v>59.0</v>
      </c>
    </row>
    <row r="24" ht="15.75" customHeight="1">
      <c r="C24" s="28">
        <v>0.5326388888888889</v>
      </c>
      <c r="D24" s="28">
        <v>0.05694444444444444</v>
      </c>
      <c r="E24" s="13" t="s">
        <v>60</v>
      </c>
      <c r="F24" s="10"/>
    </row>
    <row r="25" ht="15.75" customHeight="1">
      <c r="C25" s="28">
        <v>0.059722222222222225</v>
      </c>
      <c r="D25" s="28">
        <v>0.1111111111111111</v>
      </c>
      <c r="E25" s="34" t="s">
        <v>5583</v>
      </c>
      <c r="F25" s="10" t="s">
        <v>5584</v>
      </c>
      <c r="G25" s="13">
        <v>87.0</v>
      </c>
      <c r="H25" s="13">
        <v>34.0</v>
      </c>
      <c r="I25" s="13">
        <v>16.0</v>
      </c>
      <c r="J25" s="13">
        <v>7.0</v>
      </c>
      <c r="K25" s="13">
        <v>2.0</v>
      </c>
      <c r="L25" s="13">
        <v>29.0</v>
      </c>
      <c r="M25" s="13">
        <v>15.0</v>
      </c>
      <c r="N25" s="13">
        <v>33.0</v>
      </c>
    </row>
    <row r="26" ht="15.75" customHeight="1">
      <c r="C26" s="28">
        <v>0.11458333333333333</v>
      </c>
      <c r="D26" s="28">
        <v>0.15208333333333332</v>
      </c>
      <c r="E26" s="13" t="s">
        <v>63</v>
      </c>
      <c r="F26" s="10"/>
    </row>
    <row r="27" ht="15.75" customHeight="1">
      <c r="F27" s="10"/>
    </row>
    <row r="28" ht="15.75" customHeight="1">
      <c r="A28" s="208">
        <v>45603.0</v>
      </c>
      <c r="B28" s="13">
        <v>4.0</v>
      </c>
      <c r="C28" s="28">
        <v>0.42986111111111114</v>
      </c>
      <c r="D28" s="28">
        <v>0.4527777777777778</v>
      </c>
      <c r="E28" s="13" t="s">
        <v>57</v>
      </c>
      <c r="F28" s="10"/>
    </row>
    <row r="29" ht="15.75" customHeight="1">
      <c r="C29" s="28">
        <v>0.4583333333333333</v>
      </c>
      <c r="D29" s="28">
        <v>0.5215277777777778</v>
      </c>
      <c r="E29" s="34" t="s">
        <v>5585</v>
      </c>
      <c r="F29" s="10" t="s">
        <v>5586</v>
      </c>
      <c r="G29" s="13">
        <v>125.0</v>
      </c>
      <c r="H29" s="13">
        <v>60.0</v>
      </c>
      <c r="I29" s="13">
        <v>44.0</v>
      </c>
      <c r="J29" s="13">
        <v>1.0</v>
      </c>
      <c r="K29" s="13">
        <v>14.0</v>
      </c>
      <c r="L29" s="13">
        <v>19.0</v>
      </c>
      <c r="M29" s="13">
        <v>46.0</v>
      </c>
      <c r="N29" s="13">
        <v>45.0</v>
      </c>
    </row>
    <row r="30" ht="15.75" customHeight="1">
      <c r="C30" s="28">
        <v>0.5236111111111111</v>
      </c>
      <c r="D30" s="28">
        <v>0.05555555555555555</v>
      </c>
      <c r="E30" s="13" t="s">
        <v>60</v>
      </c>
      <c r="F30" s="10" t="s">
        <v>5587</v>
      </c>
    </row>
    <row r="31" ht="15.75" customHeight="1">
      <c r="C31" s="28">
        <v>0.059027777777777776</v>
      </c>
      <c r="D31" s="28">
        <v>0.10694444444444444</v>
      </c>
      <c r="E31" s="34" t="s">
        <v>5588</v>
      </c>
      <c r="F31" s="10" t="s">
        <v>5589</v>
      </c>
      <c r="G31" s="13">
        <v>83.0</v>
      </c>
      <c r="H31" s="13">
        <v>38.0</v>
      </c>
      <c r="I31" s="13">
        <v>39.0</v>
      </c>
      <c r="J31" s="13">
        <v>0.0</v>
      </c>
      <c r="K31" s="13">
        <v>22.0</v>
      </c>
      <c r="L31" s="13">
        <v>5.0</v>
      </c>
      <c r="M31" s="13">
        <v>16.0</v>
      </c>
      <c r="N31" s="13">
        <v>40.0</v>
      </c>
    </row>
    <row r="32" ht="15.75" customHeight="1">
      <c r="C32" s="28">
        <v>0.10833333333333334</v>
      </c>
      <c r="D32" s="28">
        <v>0.12708333333333333</v>
      </c>
      <c r="E32" s="13" t="s">
        <v>63</v>
      </c>
      <c r="F32" s="10"/>
    </row>
    <row r="33" ht="15.75" customHeight="1">
      <c r="F33" s="10"/>
    </row>
    <row r="34" ht="15.75" customHeight="1">
      <c r="A34" s="29">
        <v>45604.0</v>
      </c>
      <c r="B34" s="13">
        <v>5.0</v>
      </c>
      <c r="C34" s="28">
        <v>0.4131944444444444</v>
      </c>
      <c r="D34" s="28">
        <v>0.4423611111111111</v>
      </c>
      <c r="E34" s="13" t="s">
        <v>57</v>
      </c>
      <c r="F34" s="10"/>
    </row>
    <row r="35" ht="15.75" customHeight="1">
      <c r="C35" s="28">
        <v>0.48541666666666666</v>
      </c>
      <c r="D35" s="28">
        <v>0.05138888888888889</v>
      </c>
      <c r="E35" s="34" t="s">
        <v>5590</v>
      </c>
      <c r="F35" s="10" t="s">
        <v>5591</v>
      </c>
      <c r="G35" s="13">
        <v>150.0</v>
      </c>
      <c r="H35" s="13">
        <v>77.0</v>
      </c>
      <c r="I35" s="13">
        <v>66.0</v>
      </c>
      <c r="J35" s="13">
        <v>0.0</v>
      </c>
      <c r="K35" s="13">
        <v>5.0</v>
      </c>
      <c r="L35" s="13">
        <v>7.0</v>
      </c>
      <c r="M35" s="13">
        <v>43.0</v>
      </c>
      <c r="N35" s="13">
        <v>95.0</v>
      </c>
    </row>
    <row r="36" ht="15.75" customHeight="1">
      <c r="C36" s="28">
        <v>0.05416666666666667</v>
      </c>
      <c r="D36" s="28">
        <v>0.0798611111111111</v>
      </c>
      <c r="E36" s="13" t="s">
        <v>60</v>
      </c>
      <c r="F36" s="10"/>
    </row>
    <row r="37" ht="15.75" customHeight="1">
      <c r="C37" s="28">
        <v>0.08333333333333333</v>
      </c>
      <c r="D37" s="28">
        <v>0.1486111111111111</v>
      </c>
      <c r="E37" s="34" t="s">
        <v>5592</v>
      </c>
      <c r="F37" s="10" t="s">
        <v>5593</v>
      </c>
      <c r="G37" s="13">
        <v>110.0</v>
      </c>
      <c r="H37" s="13">
        <v>40.0</v>
      </c>
      <c r="I37" s="13">
        <v>60.0</v>
      </c>
      <c r="J37" s="13">
        <v>0.0</v>
      </c>
      <c r="K37" s="13">
        <v>4.0</v>
      </c>
      <c r="L37" s="13">
        <v>9.0</v>
      </c>
      <c r="M37" s="13">
        <v>21.0</v>
      </c>
      <c r="N37" s="13">
        <v>75.0</v>
      </c>
    </row>
    <row r="38" ht="15.75" customHeight="1">
      <c r="C38" s="28">
        <v>0.15069444444444444</v>
      </c>
      <c r="E38" s="13" t="s">
        <v>63</v>
      </c>
      <c r="F38" s="10"/>
    </row>
    <row r="39" ht="15.75" customHeight="1">
      <c r="F39" s="10"/>
    </row>
    <row r="40" ht="15.75" customHeight="1">
      <c r="A40" s="30">
        <v>45607.0</v>
      </c>
      <c r="B40" s="13">
        <v>6.0</v>
      </c>
      <c r="C40" s="28">
        <v>0.4423611111111111</v>
      </c>
      <c r="D40" s="28">
        <v>0.4666666666666667</v>
      </c>
      <c r="E40" s="13" t="s">
        <v>57</v>
      </c>
      <c r="F40" s="10"/>
    </row>
    <row r="41" ht="15.75" customHeight="1">
      <c r="C41" s="28">
        <v>0.48819444444444443</v>
      </c>
      <c r="D41" s="28">
        <v>0.05138888888888889</v>
      </c>
      <c r="E41" s="34" t="s">
        <v>5594</v>
      </c>
      <c r="F41" s="10" t="s">
        <v>5595</v>
      </c>
      <c r="G41" s="13">
        <v>131.0</v>
      </c>
      <c r="H41" s="13">
        <v>55.0</v>
      </c>
      <c r="I41" s="13">
        <v>66.0</v>
      </c>
      <c r="J41" s="13">
        <v>0.0</v>
      </c>
      <c r="K41" s="13">
        <v>10.0</v>
      </c>
      <c r="L41" s="13">
        <v>9.0</v>
      </c>
      <c r="M41" s="13">
        <v>31.0</v>
      </c>
      <c r="N41" s="13">
        <v>81.0</v>
      </c>
    </row>
    <row r="42" ht="15.75" customHeight="1">
      <c r="C42" s="28">
        <v>0.052083333333333336</v>
      </c>
      <c r="D42" s="28">
        <v>0.08055555555555556</v>
      </c>
      <c r="E42" s="13" t="s">
        <v>60</v>
      </c>
      <c r="F42" s="10"/>
    </row>
    <row r="43" ht="15.75" customHeight="1">
      <c r="C43" s="28">
        <v>0.08402777777777778</v>
      </c>
      <c r="D43" s="28">
        <v>0.15138888888888888</v>
      </c>
      <c r="E43" s="34" t="s">
        <v>5596</v>
      </c>
      <c r="F43" s="10" t="s">
        <v>5597</v>
      </c>
      <c r="G43" s="13">
        <v>126.0</v>
      </c>
      <c r="H43" s="13">
        <v>62.0</v>
      </c>
      <c r="I43" s="13">
        <v>63.0</v>
      </c>
      <c r="J43" s="13">
        <v>0.0</v>
      </c>
      <c r="K43" s="13">
        <v>14.0</v>
      </c>
      <c r="L43" s="13">
        <v>1.0</v>
      </c>
      <c r="M43" s="13">
        <v>43.0</v>
      </c>
      <c r="N43" s="13">
        <v>69.0</v>
      </c>
    </row>
    <row r="44" ht="15.75" customHeight="1">
      <c r="C44" s="28">
        <v>0.15347222222222223</v>
      </c>
      <c r="D44" s="28">
        <v>0.175</v>
      </c>
      <c r="E44" s="13" t="s">
        <v>63</v>
      </c>
      <c r="F44" s="10"/>
    </row>
    <row r="45" ht="15.75" customHeight="1">
      <c r="F45" s="10" t="s">
        <v>5598</v>
      </c>
    </row>
    <row r="46" ht="15.75" customHeight="1">
      <c r="A46" s="30">
        <v>45608.0</v>
      </c>
      <c r="B46" s="13">
        <v>7.0</v>
      </c>
      <c r="C46" s="28">
        <v>0.4076388888888889</v>
      </c>
      <c r="D46" s="28">
        <v>0.42986111111111114</v>
      </c>
      <c r="E46" s="13" t="s">
        <v>57</v>
      </c>
      <c r="F46" s="10"/>
    </row>
    <row r="47" ht="15.75" customHeight="1">
      <c r="C47" s="28">
        <v>0.45</v>
      </c>
      <c r="D47" s="28">
        <v>0.50625</v>
      </c>
      <c r="E47" s="34" t="s">
        <v>5599</v>
      </c>
      <c r="F47" s="10" t="s">
        <v>5600</v>
      </c>
      <c r="G47" s="13">
        <v>107.0</v>
      </c>
      <c r="H47" s="13">
        <v>53.0</v>
      </c>
      <c r="I47" s="13">
        <v>36.0</v>
      </c>
      <c r="J47" s="13">
        <v>1.0</v>
      </c>
      <c r="K47" s="13">
        <v>2.0</v>
      </c>
      <c r="L47" s="13">
        <v>16.0</v>
      </c>
      <c r="M47" s="13">
        <v>35.0</v>
      </c>
      <c r="N47" s="13">
        <v>52.0</v>
      </c>
    </row>
    <row r="48" ht="15.75" customHeight="1">
      <c r="C48" s="28">
        <v>0.5090277777777777</v>
      </c>
      <c r="D48" s="28">
        <v>0.5326388888888889</v>
      </c>
      <c r="E48" s="13" t="s">
        <v>60</v>
      </c>
      <c r="F48" s="10"/>
    </row>
    <row r="49" ht="15.75" customHeight="1">
      <c r="C49" s="28">
        <v>0.049305555555555554</v>
      </c>
      <c r="D49" s="28">
        <v>0.11736111111111111</v>
      </c>
      <c r="E49" s="34" t="s">
        <v>5601</v>
      </c>
      <c r="F49" s="10" t="s">
        <v>5602</v>
      </c>
      <c r="G49" s="13">
        <v>134.0</v>
      </c>
      <c r="H49" s="13">
        <v>67.0</v>
      </c>
      <c r="I49" s="13">
        <v>58.0</v>
      </c>
      <c r="J49" s="13">
        <v>2.0</v>
      </c>
      <c r="K49" s="13">
        <v>4.0</v>
      </c>
      <c r="L49" s="13">
        <v>6.0</v>
      </c>
      <c r="M49" s="13">
        <v>26.0</v>
      </c>
      <c r="N49" s="13">
        <v>97.0</v>
      </c>
    </row>
    <row r="50" ht="15.75" customHeight="1">
      <c r="C50" s="28">
        <v>0.11805555555555555</v>
      </c>
      <c r="D50" s="28">
        <v>0.1375</v>
      </c>
      <c r="E50" s="13" t="s">
        <v>63</v>
      </c>
      <c r="F50" s="10"/>
    </row>
    <row r="51" ht="15.75" customHeight="1">
      <c r="F51" s="10"/>
    </row>
    <row r="52" ht="15.75" customHeight="1">
      <c r="A52" s="30">
        <v>45609.0</v>
      </c>
      <c r="B52" s="13">
        <v>8.0</v>
      </c>
      <c r="C52" s="28">
        <v>0.3861111111111111</v>
      </c>
      <c r="D52" s="28">
        <v>0.4076388888888889</v>
      </c>
      <c r="E52" s="13" t="s">
        <v>57</v>
      </c>
      <c r="F52" s="10"/>
    </row>
    <row r="53" ht="15.75" customHeight="1">
      <c r="C53" s="28">
        <v>0.43680555555555556</v>
      </c>
      <c r="D53" s="28">
        <v>0.49930555555555556</v>
      </c>
      <c r="E53" s="209" t="s">
        <v>5603</v>
      </c>
      <c r="F53" s="10" t="s">
        <v>5604</v>
      </c>
      <c r="G53" s="13">
        <v>117.0</v>
      </c>
      <c r="H53" s="13">
        <v>47.0</v>
      </c>
      <c r="I53" s="13">
        <v>56.0</v>
      </c>
      <c r="J53" s="13">
        <v>0.0</v>
      </c>
      <c r="K53" s="13">
        <v>4.0</v>
      </c>
      <c r="L53" s="13">
        <v>13.0</v>
      </c>
      <c r="M53" s="13">
        <v>31.0</v>
      </c>
      <c r="N53" s="13">
        <v>69.0</v>
      </c>
    </row>
    <row r="54" ht="15.75" customHeight="1">
      <c r="C54" s="28">
        <v>0.5013888888888889</v>
      </c>
      <c r="D54" s="28">
        <v>0.041666666666666664</v>
      </c>
      <c r="E54" s="13" t="s">
        <v>60</v>
      </c>
      <c r="F54" s="10"/>
    </row>
    <row r="55" ht="15.75" customHeight="1">
      <c r="C55" s="28">
        <v>0.05138888888888889</v>
      </c>
      <c r="D55" s="28">
        <v>0.11388888888888889</v>
      </c>
      <c r="E55" s="209" t="s">
        <v>5605</v>
      </c>
      <c r="F55" s="10" t="s">
        <v>5606</v>
      </c>
      <c r="G55" s="13">
        <v>119.0</v>
      </c>
      <c r="H55" s="13">
        <v>61.0</v>
      </c>
      <c r="I55" s="13">
        <v>49.0</v>
      </c>
      <c r="J55" s="13">
        <v>0.0</v>
      </c>
      <c r="K55" s="13">
        <v>5.0</v>
      </c>
      <c r="L55" s="13">
        <v>8.0</v>
      </c>
      <c r="M55" s="13">
        <v>31.0</v>
      </c>
      <c r="N55" s="13">
        <v>75.0</v>
      </c>
    </row>
    <row r="56" ht="15.75" customHeight="1">
      <c r="C56" s="28">
        <v>0.11597222222222223</v>
      </c>
      <c r="D56" s="28">
        <v>0.14652777777777778</v>
      </c>
      <c r="E56" s="13" t="s">
        <v>63</v>
      </c>
      <c r="F56" s="10"/>
    </row>
    <row r="57" ht="15.75" customHeight="1">
      <c r="F57" s="10"/>
    </row>
    <row r="58" ht="15.75" customHeight="1">
      <c r="A58" s="30">
        <v>45610.0</v>
      </c>
      <c r="B58" s="13">
        <v>9.0</v>
      </c>
      <c r="C58" s="28">
        <v>0.38472222222222224</v>
      </c>
      <c r="D58" s="28">
        <v>0.4076388888888889</v>
      </c>
      <c r="E58" s="13" t="s">
        <v>1462</v>
      </c>
      <c r="F58" s="10" t="s">
        <v>5607</v>
      </c>
    </row>
    <row r="59" ht="15.75" customHeight="1">
      <c r="C59" s="28">
        <v>0.44722222222222224</v>
      </c>
      <c r="D59" s="28">
        <v>0.5076388888888889</v>
      </c>
      <c r="E59" s="209" t="s">
        <v>5608</v>
      </c>
      <c r="F59" s="10" t="s">
        <v>5609</v>
      </c>
      <c r="G59" s="13">
        <v>122.0</v>
      </c>
      <c r="H59" s="13">
        <v>63.0</v>
      </c>
      <c r="I59" s="13">
        <v>49.0</v>
      </c>
      <c r="J59" s="13">
        <v>1.0</v>
      </c>
      <c r="K59" s="13">
        <v>1.0</v>
      </c>
      <c r="L59" s="13">
        <v>9.0</v>
      </c>
      <c r="M59" s="13">
        <v>50.0</v>
      </c>
      <c r="N59" s="13">
        <v>61.0</v>
      </c>
    </row>
    <row r="60" ht="15.75" customHeight="1">
      <c r="C60" s="28">
        <v>0.5090277777777777</v>
      </c>
      <c r="D60" s="28">
        <v>0.5381944444444444</v>
      </c>
      <c r="E60" s="13" t="s">
        <v>60</v>
      </c>
      <c r="F60" s="10"/>
    </row>
    <row r="61" ht="15.75" customHeight="1">
      <c r="C61" s="28">
        <v>0.07847222222222222</v>
      </c>
      <c r="D61" s="28">
        <v>0.14097222222222222</v>
      </c>
      <c r="E61" s="209" t="s">
        <v>5610</v>
      </c>
      <c r="F61" s="10" t="s">
        <v>5611</v>
      </c>
      <c r="G61" s="13">
        <v>116.0</v>
      </c>
      <c r="H61" s="13">
        <v>53.0</v>
      </c>
      <c r="I61" s="13">
        <v>52.0</v>
      </c>
      <c r="J61" s="13">
        <v>0.0</v>
      </c>
      <c r="K61" s="13">
        <v>6.0</v>
      </c>
      <c r="L61" s="13">
        <v>12.0</v>
      </c>
      <c r="M61" s="13">
        <v>30.0</v>
      </c>
      <c r="N61" s="13">
        <v>68.0</v>
      </c>
    </row>
    <row r="62" ht="15.75" customHeight="1">
      <c r="C62" s="28">
        <v>0.14652777777777778</v>
      </c>
      <c r="D62" s="28">
        <v>0.16597222222222222</v>
      </c>
      <c r="E62" s="13" t="s">
        <v>63</v>
      </c>
      <c r="F62" s="10" t="s">
        <v>5612</v>
      </c>
    </row>
    <row r="63" ht="15.75" customHeight="1">
      <c r="F63" s="10"/>
    </row>
    <row r="64" ht="15.75" customHeight="1">
      <c r="A64" s="30">
        <v>45611.0</v>
      </c>
      <c r="B64" s="13">
        <v>10.0</v>
      </c>
      <c r="C64" s="28">
        <v>0.36875</v>
      </c>
      <c r="D64" s="28">
        <v>0.3902777777777778</v>
      </c>
      <c r="E64" s="13" t="s">
        <v>57</v>
      </c>
      <c r="F64" s="10"/>
    </row>
    <row r="65" ht="15.75" customHeight="1">
      <c r="C65" s="28">
        <v>0.4409722222222222</v>
      </c>
      <c r="D65" s="28">
        <v>0.5048611111111111</v>
      </c>
      <c r="E65" s="209" t="s">
        <v>5613</v>
      </c>
      <c r="F65" s="10" t="s">
        <v>5614</v>
      </c>
      <c r="G65" s="13">
        <v>123.0</v>
      </c>
      <c r="H65" s="13">
        <v>52.0</v>
      </c>
      <c r="I65" s="13">
        <v>54.0</v>
      </c>
      <c r="J65" s="13">
        <v>1.0</v>
      </c>
      <c r="K65" s="13">
        <v>2.0</v>
      </c>
      <c r="L65" s="13">
        <v>16.0</v>
      </c>
      <c r="M65" s="13">
        <v>39.0</v>
      </c>
      <c r="N65" s="13">
        <v>66.0</v>
      </c>
    </row>
    <row r="66" ht="15.75" customHeight="1">
      <c r="C66" s="28">
        <v>0.5319444444444444</v>
      </c>
      <c r="D66" s="28">
        <v>0.05416666666666667</v>
      </c>
      <c r="E66" s="13" t="s">
        <v>60</v>
      </c>
      <c r="F66" s="10"/>
    </row>
    <row r="67" ht="15.75" customHeight="1">
      <c r="C67" s="28">
        <v>0.08263888888888889</v>
      </c>
      <c r="D67" s="28">
        <v>0.14791666666666667</v>
      </c>
      <c r="E67" s="209" t="s">
        <v>5615</v>
      </c>
      <c r="F67" s="10" t="s">
        <v>5616</v>
      </c>
      <c r="G67" s="13">
        <v>133.0</v>
      </c>
      <c r="H67" s="13">
        <v>57.0</v>
      </c>
      <c r="I67" s="13">
        <v>60.0</v>
      </c>
      <c r="J67" s="13">
        <v>0.0</v>
      </c>
      <c r="K67" s="13">
        <v>3.0</v>
      </c>
      <c r="L67" s="13">
        <v>16.0</v>
      </c>
      <c r="M67" s="13">
        <v>50.0</v>
      </c>
      <c r="N67" s="13">
        <v>64.0</v>
      </c>
    </row>
    <row r="68" ht="15.75" customHeight="1">
      <c r="C68" s="28">
        <v>0.14930555555555555</v>
      </c>
      <c r="D68" s="28">
        <v>0.17291666666666666</v>
      </c>
      <c r="E68" s="13" t="s">
        <v>63</v>
      </c>
      <c r="F68" s="10"/>
    </row>
    <row r="69" ht="15.75" customHeight="1">
      <c r="F69" s="10"/>
    </row>
    <row r="70" ht="15.75" customHeight="1">
      <c r="A70" s="30">
        <v>45614.0</v>
      </c>
      <c r="B70" s="13">
        <v>11.0</v>
      </c>
      <c r="C70" s="28">
        <v>0.40625</v>
      </c>
      <c r="D70" s="28">
        <v>0.43333333333333335</v>
      </c>
      <c r="E70" s="13" t="s">
        <v>57</v>
      </c>
      <c r="F70" s="10" t="s">
        <v>5607</v>
      </c>
    </row>
    <row r="71" ht="15.75" customHeight="1">
      <c r="C71" s="28">
        <v>0.4444444444444444</v>
      </c>
      <c r="D71" s="28">
        <v>0.5083333333333333</v>
      </c>
      <c r="E71" s="209" t="s">
        <v>5617</v>
      </c>
      <c r="F71" s="10" t="s">
        <v>5618</v>
      </c>
      <c r="G71" s="13">
        <v>121.0</v>
      </c>
      <c r="H71" s="13">
        <v>58.0</v>
      </c>
      <c r="I71" s="13">
        <v>53.0</v>
      </c>
      <c r="J71" s="13">
        <v>0.0</v>
      </c>
      <c r="K71" s="13">
        <v>4.0</v>
      </c>
      <c r="L71" s="13">
        <v>9.0</v>
      </c>
      <c r="M71" s="13">
        <v>41.0</v>
      </c>
      <c r="N71" s="13">
        <v>66.0</v>
      </c>
    </row>
    <row r="72" ht="15.75" customHeight="1">
      <c r="C72" s="28">
        <v>0.5111111111111111</v>
      </c>
      <c r="D72" s="28">
        <v>0.5326388888888889</v>
      </c>
      <c r="E72" s="13" t="s">
        <v>60</v>
      </c>
      <c r="F72" s="10"/>
    </row>
    <row r="73" ht="15.75" customHeight="1">
      <c r="C73" s="28">
        <v>0.08055555555555556</v>
      </c>
      <c r="D73" s="28">
        <v>0.14097222222222222</v>
      </c>
      <c r="E73" s="209" t="s">
        <v>5619</v>
      </c>
      <c r="F73" s="10" t="s">
        <v>5620</v>
      </c>
      <c r="G73" s="13">
        <v>99.0</v>
      </c>
      <c r="H73" s="13">
        <v>45.0</v>
      </c>
      <c r="I73" s="13">
        <v>48.0</v>
      </c>
      <c r="J73" s="13">
        <v>1.0</v>
      </c>
      <c r="K73" s="13">
        <v>5.0</v>
      </c>
      <c r="L73" s="13">
        <v>4.0</v>
      </c>
      <c r="M73" s="13">
        <v>40.0</v>
      </c>
      <c r="N73" s="13">
        <v>48.0</v>
      </c>
    </row>
    <row r="74" ht="15.75" customHeight="1">
      <c r="C74" s="28">
        <v>0.1423611111111111</v>
      </c>
      <c r="D74" s="28">
        <v>0.16944444444444445</v>
      </c>
      <c r="E74" s="13" t="s">
        <v>63</v>
      </c>
      <c r="F74" s="10"/>
    </row>
    <row r="75" ht="15.75" customHeight="1">
      <c r="F75" s="10"/>
    </row>
    <row r="76" ht="15.75" customHeight="1">
      <c r="A76" s="30">
        <v>45615.0</v>
      </c>
      <c r="B76" s="13">
        <v>12.0</v>
      </c>
      <c r="C76" s="28">
        <v>0.41597222222222224</v>
      </c>
      <c r="D76" s="28">
        <v>0.44027777777777777</v>
      </c>
      <c r="E76" s="13" t="s">
        <v>57</v>
      </c>
      <c r="F76" s="10"/>
    </row>
    <row r="77" ht="15.75" customHeight="1">
      <c r="C77" s="28">
        <v>0.44930555555555557</v>
      </c>
      <c r="D77" s="28">
        <v>0.5118055555555555</v>
      </c>
      <c r="E77" s="8" t="s">
        <v>5621</v>
      </c>
      <c r="F77" s="10" t="s">
        <v>5622</v>
      </c>
      <c r="G77" s="13">
        <v>129.0</v>
      </c>
      <c r="H77" s="13">
        <v>68.0</v>
      </c>
      <c r="I77" s="13">
        <v>54.0</v>
      </c>
      <c r="J77" s="13">
        <v>0.0</v>
      </c>
      <c r="K77" s="13">
        <v>7.0</v>
      </c>
      <c r="L77" s="13">
        <v>7.0</v>
      </c>
      <c r="M77" s="13">
        <v>36.0</v>
      </c>
      <c r="N77" s="13">
        <v>78.0</v>
      </c>
    </row>
    <row r="78" ht="15.75" customHeight="1">
      <c r="C78" s="28">
        <v>0.5131944444444444</v>
      </c>
      <c r="D78" s="28">
        <v>0.5361111111111111</v>
      </c>
      <c r="E78" s="13" t="s">
        <v>60</v>
      </c>
      <c r="F78" s="10"/>
    </row>
    <row r="79" ht="15.75" customHeight="1">
      <c r="C79" s="28">
        <v>0.06388888888888888</v>
      </c>
      <c r="D79" s="28">
        <v>0.12638888888888888</v>
      </c>
      <c r="E79" s="8" t="s">
        <v>5623</v>
      </c>
      <c r="F79" s="10" t="s">
        <v>5624</v>
      </c>
      <c r="G79" s="13">
        <v>114.0</v>
      </c>
      <c r="H79" s="13">
        <v>50.0</v>
      </c>
      <c r="I79" s="13">
        <v>46.0</v>
      </c>
      <c r="J79" s="13">
        <v>4.0</v>
      </c>
      <c r="K79" s="13">
        <v>8.0</v>
      </c>
      <c r="L79" s="13">
        <v>14.0</v>
      </c>
      <c r="M79" s="13">
        <v>31.0</v>
      </c>
      <c r="N79" s="13">
        <v>57.0</v>
      </c>
    </row>
    <row r="80" ht="15.75" customHeight="1">
      <c r="C80" s="28">
        <v>0.12777777777777777</v>
      </c>
      <c r="D80" s="28">
        <v>0.15416666666666667</v>
      </c>
      <c r="E80" s="13" t="s">
        <v>63</v>
      </c>
      <c r="F80" s="10"/>
    </row>
    <row r="81" ht="15.75" customHeight="1">
      <c r="F81" s="10" t="s">
        <v>5625</v>
      </c>
    </row>
    <row r="82" ht="15.75" customHeight="1">
      <c r="A82" s="30">
        <v>45616.0</v>
      </c>
      <c r="B82" s="13">
        <v>13.0</v>
      </c>
      <c r="C82" s="28">
        <v>0.425</v>
      </c>
      <c r="D82" s="28">
        <v>0.4548611111111111</v>
      </c>
      <c r="E82" s="13" t="s">
        <v>57</v>
      </c>
      <c r="F82" s="10"/>
    </row>
    <row r="83" ht="15.75" customHeight="1">
      <c r="C83" s="28">
        <v>0.45694444444444443</v>
      </c>
      <c r="D83" s="28">
        <v>0.5208333333333334</v>
      </c>
      <c r="E83" s="8" t="s">
        <v>5626</v>
      </c>
      <c r="F83" s="10" t="s">
        <v>5627</v>
      </c>
      <c r="G83" s="13">
        <v>123.0</v>
      </c>
      <c r="H83" s="13">
        <v>60.0</v>
      </c>
      <c r="I83" s="13">
        <v>49.0</v>
      </c>
      <c r="J83" s="13">
        <v>0.0</v>
      </c>
      <c r="K83" s="13">
        <v>8.0</v>
      </c>
      <c r="L83" s="13">
        <v>13.0</v>
      </c>
      <c r="M83" s="13">
        <v>44.0</v>
      </c>
      <c r="N83" s="13">
        <v>57.0</v>
      </c>
    </row>
    <row r="84" ht="15.75" customHeight="1">
      <c r="C84" s="28">
        <v>0.5236111111111111</v>
      </c>
      <c r="D84" s="28">
        <v>0.049305555555555554</v>
      </c>
      <c r="E84" s="13" t="s">
        <v>60</v>
      </c>
      <c r="F84" s="10"/>
    </row>
    <row r="85" ht="15.75" customHeight="1">
      <c r="C85" s="28">
        <v>0.05416666666666667</v>
      </c>
      <c r="D85" s="28">
        <v>0.11805555555555555</v>
      </c>
      <c r="E85" s="8" t="s">
        <v>5628</v>
      </c>
      <c r="F85" s="10" t="s">
        <v>5629</v>
      </c>
      <c r="G85" s="13">
        <v>105.0</v>
      </c>
      <c r="H85" s="13">
        <v>47.0</v>
      </c>
      <c r="I85" s="13">
        <v>51.0</v>
      </c>
      <c r="J85" s="13">
        <v>0.0</v>
      </c>
      <c r="K85" s="13">
        <v>9.0</v>
      </c>
      <c r="L85" s="13">
        <v>7.0</v>
      </c>
      <c r="M85" s="13">
        <v>34.0</v>
      </c>
      <c r="N85" s="13">
        <v>54.0</v>
      </c>
    </row>
    <row r="86" ht="15.75" customHeight="1">
      <c r="C86" s="28">
        <v>0.11944444444444445</v>
      </c>
      <c r="D86" s="28">
        <v>0.14097222222222222</v>
      </c>
      <c r="E86" s="13" t="s">
        <v>63</v>
      </c>
      <c r="F86" s="10"/>
    </row>
    <row r="87" ht="15.75" customHeight="1">
      <c r="F87" s="10"/>
    </row>
    <row r="88" ht="15.75" customHeight="1">
      <c r="A88" s="30">
        <v>45617.0</v>
      </c>
      <c r="B88" s="13">
        <v>14.0</v>
      </c>
      <c r="C88" s="28">
        <v>0.3923611111111111</v>
      </c>
      <c r="D88" s="28">
        <v>0.41875</v>
      </c>
      <c r="E88" s="13" t="s">
        <v>57</v>
      </c>
      <c r="F88" s="10"/>
    </row>
    <row r="89" ht="15.75" customHeight="1">
      <c r="C89" s="28">
        <v>0.43194444444444446</v>
      </c>
      <c r="D89" s="28">
        <v>0.49444444444444446</v>
      </c>
      <c r="E89" s="8" t="s">
        <v>5630</v>
      </c>
      <c r="F89" s="10" t="s">
        <v>5631</v>
      </c>
      <c r="G89" s="13">
        <v>119.0</v>
      </c>
      <c r="H89" s="13">
        <v>52.0</v>
      </c>
      <c r="I89" s="13">
        <v>61.0</v>
      </c>
      <c r="J89" s="13">
        <v>0.0</v>
      </c>
      <c r="K89" s="13">
        <v>17.0</v>
      </c>
      <c r="L89" s="13">
        <v>5.0</v>
      </c>
      <c r="M89" s="13">
        <v>20.0</v>
      </c>
      <c r="N89" s="13">
        <v>76.0</v>
      </c>
    </row>
    <row r="90" ht="15.75" customHeight="1">
      <c r="C90" s="28">
        <v>0.4965277777777778</v>
      </c>
      <c r="D90" s="28">
        <v>0.5180555555555556</v>
      </c>
      <c r="E90" s="13" t="s">
        <v>60</v>
      </c>
      <c r="F90" s="10"/>
    </row>
    <row r="91" ht="15.75" customHeight="1">
      <c r="C91" s="28">
        <v>0.07777777777777778</v>
      </c>
      <c r="D91" s="28">
        <v>0.14027777777777778</v>
      </c>
      <c r="E91" s="8" t="s">
        <v>5632</v>
      </c>
      <c r="F91" s="10" t="s">
        <v>5633</v>
      </c>
      <c r="G91" s="13">
        <v>130.0</v>
      </c>
      <c r="H91" s="13">
        <v>61.0</v>
      </c>
      <c r="I91" s="13">
        <v>57.0</v>
      </c>
      <c r="J91" s="13">
        <v>0.0</v>
      </c>
      <c r="K91" s="13">
        <v>3.0</v>
      </c>
      <c r="L91" s="13">
        <v>11.0</v>
      </c>
      <c r="M91" s="13">
        <v>39.0</v>
      </c>
      <c r="N91" s="13">
        <v>76.0</v>
      </c>
    </row>
    <row r="92" ht="15.75" customHeight="1">
      <c r="C92" s="28">
        <v>0.1423611111111111</v>
      </c>
      <c r="D92" s="28">
        <v>0.16527777777777777</v>
      </c>
      <c r="E92" s="13" t="s">
        <v>63</v>
      </c>
      <c r="F92" s="10"/>
    </row>
    <row r="93" ht="15.75" customHeight="1">
      <c r="F93" s="10"/>
    </row>
    <row r="94" ht="15.75" customHeight="1">
      <c r="A94" s="30">
        <v>45618.0</v>
      </c>
      <c r="B94" s="13">
        <v>15.0</v>
      </c>
      <c r="C94" s="28">
        <v>0.41180555555555554</v>
      </c>
      <c r="D94" s="28">
        <v>0.4395833333333333</v>
      </c>
      <c r="E94" s="13" t="s">
        <v>57</v>
      </c>
      <c r="F94" s="10"/>
    </row>
    <row r="95" ht="15.75" customHeight="1">
      <c r="C95" s="28">
        <v>0.45069444444444445</v>
      </c>
      <c r="D95" s="28">
        <v>0.5138888888888888</v>
      </c>
      <c r="E95" s="8" t="s">
        <v>5634</v>
      </c>
      <c r="F95" s="10" t="s">
        <v>5635</v>
      </c>
      <c r="G95" s="13">
        <v>127.0</v>
      </c>
      <c r="H95" s="13">
        <v>59.0</v>
      </c>
      <c r="I95" s="13">
        <v>54.0</v>
      </c>
      <c r="J95" s="13">
        <v>0.0</v>
      </c>
      <c r="K95" s="13">
        <v>6.0</v>
      </c>
      <c r="L95" s="13">
        <v>13.0</v>
      </c>
      <c r="M95" s="13">
        <v>27.0</v>
      </c>
      <c r="N95" s="13">
        <v>80.0</v>
      </c>
    </row>
    <row r="96" ht="15.75" customHeight="1">
      <c r="C96" s="28">
        <v>0.5159722222222223</v>
      </c>
      <c r="D96" s="28">
        <v>0.5388888888888889</v>
      </c>
      <c r="E96" s="13" t="s">
        <v>60</v>
      </c>
      <c r="F96" s="10"/>
    </row>
    <row r="97" ht="15.75" customHeight="1">
      <c r="C97" s="28">
        <v>0.05347222222222222</v>
      </c>
      <c r="D97" s="28">
        <v>0.11597222222222223</v>
      </c>
      <c r="E97" s="8" t="s">
        <v>5636</v>
      </c>
      <c r="F97" s="10" t="s">
        <v>5637</v>
      </c>
      <c r="G97" s="13">
        <v>117.0</v>
      </c>
      <c r="H97" s="13">
        <v>59.0</v>
      </c>
      <c r="I97" s="13">
        <v>41.0</v>
      </c>
      <c r="J97" s="13">
        <v>1.0</v>
      </c>
      <c r="K97" s="13">
        <v>2.0</v>
      </c>
      <c r="L97" s="13">
        <v>15.0</v>
      </c>
      <c r="M97" s="13">
        <v>29.0</v>
      </c>
      <c r="N97" s="13">
        <v>69.0</v>
      </c>
    </row>
    <row r="98" ht="15.75" customHeight="1">
      <c r="C98" s="28">
        <v>0.11736111111111111</v>
      </c>
      <c r="D98" s="28">
        <v>0.13958333333333334</v>
      </c>
      <c r="E98" s="13" t="s">
        <v>63</v>
      </c>
      <c r="F98" s="10"/>
    </row>
    <row r="99" ht="15.75" customHeight="1">
      <c r="F99" s="10"/>
    </row>
    <row r="100" ht="15.75" customHeight="1">
      <c r="A100" s="30">
        <v>45622.0</v>
      </c>
      <c r="C100" s="28">
        <v>0.42986111111111114</v>
      </c>
      <c r="D100" s="28">
        <v>0.12291666666666666</v>
      </c>
      <c r="E100" s="10" t="s">
        <v>5563</v>
      </c>
      <c r="F100" s="10"/>
    </row>
    <row r="101" ht="15.75" customHeight="1">
      <c r="F101" s="10"/>
    </row>
    <row r="102" ht="15.75" customHeight="1">
      <c r="A102" s="30">
        <v>45623.0</v>
      </c>
      <c r="C102" s="28">
        <v>0.42291666666666666</v>
      </c>
      <c r="D102" s="28">
        <v>0.10277777777777777</v>
      </c>
      <c r="E102" s="10" t="s">
        <v>5563</v>
      </c>
      <c r="F102" s="10"/>
    </row>
    <row r="103" ht="15.75" customHeight="1">
      <c r="F103" s="10"/>
    </row>
    <row r="104" ht="15.75" customHeight="1">
      <c r="E104" s="13" t="s">
        <v>5638</v>
      </c>
      <c r="F104" s="10"/>
    </row>
    <row r="105" ht="15.75" customHeight="1">
      <c r="F105" s="10"/>
    </row>
    <row r="106" ht="15.75" customHeight="1">
      <c r="F106" s="10"/>
    </row>
    <row r="107" ht="15.75" customHeight="1">
      <c r="F107" s="10"/>
    </row>
    <row r="108" ht="15.75" customHeight="1">
      <c r="F108" s="10"/>
    </row>
    <row r="109" ht="15.75" customHeight="1">
      <c r="F109" s="10"/>
    </row>
    <row r="110" ht="15.75" customHeight="1">
      <c r="F110" s="10"/>
    </row>
    <row r="111" ht="15.75" customHeight="1">
      <c r="F111" s="10"/>
    </row>
    <row r="112" ht="15.75" customHeight="1">
      <c r="F112" s="10"/>
    </row>
    <row r="113" ht="15.75" customHeight="1">
      <c r="F113" s="10"/>
    </row>
    <row r="114" ht="15.75" customHeight="1">
      <c r="F114" s="10"/>
    </row>
    <row r="115" ht="15.75" customHeight="1">
      <c r="F115" s="10"/>
    </row>
    <row r="116" ht="15.75" customHeight="1">
      <c r="F116" s="10"/>
    </row>
    <row r="117" ht="15.75" customHeight="1">
      <c r="F117" s="10"/>
    </row>
    <row r="118" ht="15.75" customHeight="1">
      <c r="F118" s="10"/>
    </row>
    <row r="119" ht="15.75" customHeight="1">
      <c r="F119" s="10"/>
    </row>
    <row r="120" ht="15.75" customHeight="1">
      <c r="F120" s="10"/>
    </row>
    <row r="121" ht="15.75" customHeight="1">
      <c r="F121" s="10"/>
    </row>
    <row r="122" ht="15.75" customHeight="1">
      <c r="F122" s="10"/>
    </row>
    <row r="123" ht="15.75" customHeight="1">
      <c r="F123" s="10"/>
    </row>
    <row r="124" ht="15.75" customHeight="1">
      <c r="F124" s="10"/>
    </row>
    <row r="125" ht="15.75" customHeight="1">
      <c r="F125" s="10"/>
    </row>
    <row r="126" ht="15.75" customHeight="1">
      <c r="F126" s="10"/>
    </row>
    <row r="127" ht="15.75" customHeight="1">
      <c r="F127" s="10"/>
    </row>
    <row r="128" ht="15.75" customHeight="1">
      <c r="F128" s="10"/>
    </row>
    <row r="129" ht="15.75" customHeight="1">
      <c r="F129" s="10"/>
    </row>
    <row r="130" ht="15.75" customHeight="1">
      <c r="F130" s="10"/>
    </row>
    <row r="131" ht="15.75" customHeight="1">
      <c r="F131" s="10"/>
    </row>
    <row r="132" ht="15.75" customHeight="1">
      <c r="F132" s="10"/>
    </row>
    <row r="133" ht="15.75" customHeight="1">
      <c r="F133" s="10"/>
    </row>
    <row r="134" ht="15.75" customHeight="1">
      <c r="F134" s="10"/>
    </row>
    <row r="135" ht="15.75" customHeight="1">
      <c r="F135" s="10"/>
    </row>
    <row r="136" ht="15.75" customHeight="1">
      <c r="F136" s="10"/>
    </row>
    <row r="137" ht="15.75" customHeight="1">
      <c r="F137" s="10"/>
    </row>
    <row r="138" ht="15.75" customHeight="1">
      <c r="F138" s="10"/>
    </row>
    <row r="139" ht="15.75" customHeight="1">
      <c r="F139" s="10"/>
    </row>
    <row r="140" ht="15.75" customHeight="1">
      <c r="F140" s="10"/>
    </row>
    <row r="141" ht="15.75" customHeight="1">
      <c r="F141" s="10"/>
    </row>
    <row r="142" ht="15.75" customHeight="1">
      <c r="F142" s="10"/>
    </row>
    <row r="143" ht="15.75" customHeight="1">
      <c r="F143" s="10"/>
    </row>
    <row r="144" ht="15.75" customHeight="1">
      <c r="F144" s="10"/>
    </row>
    <row r="145" ht="15.75" customHeight="1">
      <c r="F145" s="10"/>
    </row>
    <row r="146" ht="15.75" customHeight="1">
      <c r="F146" s="10"/>
    </row>
    <row r="147" ht="15.75" customHeight="1">
      <c r="F147" s="10"/>
    </row>
    <row r="148" ht="15.75" customHeight="1">
      <c r="F148" s="10"/>
    </row>
    <row r="149" ht="15.75" customHeight="1">
      <c r="F149" s="10"/>
    </row>
    <row r="150" ht="15.75" customHeight="1">
      <c r="F150" s="10"/>
    </row>
    <row r="151" ht="15.75" customHeight="1">
      <c r="F151" s="10"/>
    </row>
    <row r="152" ht="15.75" customHeight="1">
      <c r="F152" s="10"/>
    </row>
    <row r="153" ht="15.75" customHeight="1">
      <c r="F153" s="10"/>
    </row>
    <row r="154" ht="15.75" customHeight="1">
      <c r="F154" s="10"/>
    </row>
    <row r="155" ht="15.75" customHeight="1">
      <c r="F155" s="10"/>
    </row>
    <row r="156" ht="15.75" customHeight="1">
      <c r="F156" s="10"/>
    </row>
    <row r="157" ht="15.75" customHeight="1">
      <c r="F157" s="10"/>
    </row>
    <row r="158" ht="15.75" customHeight="1">
      <c r="F158" s="10"/>
    </row>
    <row r="159" ht="15.75" customHeight="1">
      <c r="F159" s="10"/>
    </row>
    <row r="160" ht="15.75" customHeight="1">
      <c r="F160" s="10"/>
    </row>
    <row r="161" ht="15.75" customHeight="1">
      <c r="F161" s="10"/>
    </row>
    <row r="162" ht="15.75" customHeight="1">
      <c r="F162" s="10"/>
    </row>
    <row r="163" ht="15.75" customHeight="1">
      <c r="F163" s="10"/>
    </row>
    <row r="164" ht="15.75" customHeight="1">
      <c r="F164" s="10"/>
    </row>
    <row r="165" ht="15.75" customHeight="1">
      <c r="F165" s="10"/>
    </row>
    <row r="166" ht="15.75" customHeight="1">
      <c r="F166" s="10"/>
    </row>
    <row r="167" ht="15.75" customHeight="1">
      <c r="F167" s="10"/>
    </row>
    <row r="168" ht="15.75" customHeight="1">
      <c r="F168" s="10"/>
    </row>
    <row r="169" ht="15.75" customHeight="1">
      <c r="F169" s="10"/>
    </row>
    <row r="170" ht="15.75" customHeight="1">
      <c r="F170" s="10"/>
    </row>
    <row r="171" ht="15.75" customHeight="1">
      <c r="F171" s="10"/>
    </row>
    <row r="172" ht="15.75" customHeight="1">
      <c r="F172" s="10"/>
    </row>
    <row r="173" ht="15.75" customHeight="1">
      <c r="F173" s="10"/>
    </row>
    <row r="174" ht="15.75" customHeight="1">
      <c r="F174" s="10"/>
    </row>
    <row r="175" ht="15.75" customHeight="1">
      <c r="F175" s="10"/>
    </row>
    <row r="176" ht="15.75" customHeight="1">
      <c r="F176" s="10"/>
    </row>
    <row r="177" ht="15.75" customHeight="1">
      <c r="F177" s="10"/>
    </row>
    <row r="178" ht="15.75" customHeight="1">
      <c r="F178" s="10"/>
    </row>
    <row r="179" ht="15.75" customHeight="1">
      <c r="F179" s="10"/>
    </row>
    <row r="180" ht="15.75" customHeight="1">
      <c r="F180" s="10"/>
    </row>
    <row r="181" ht="15.75" customHeight="1">
      <c r="F181" s="10"/>
    </row>
    <row r="182" ht="15.75" customHeight="1">
      <c r="F182" s="10"/>
    </row>
    <row r="183" ht="15.75" customHeight="1">
      <c r="F183" s="10"/>
    </row>
    <row r="184" ht="15.75" customHeight="1">
      <c r="F184" s="10"/>
    </row>
    <row r="185" ht="15.75" customHeight="1">
      <c r="F185" s="10"/>
    </row>
    <row r="186" ht="15.75" customHeight="1">
      <c r="F186" s="10"/>
    </row>
    <row r="187" ht="15.75" customHeight="1">
      <c r="F187" s="10"/>
    </row>
    <row r="188" ht="15.75" customHeight="1">
      <c r="F188" s="10"/>
    </row>
    <row r="189" ht="15.75" customHeight="1">
      <c r="F189" s="10"/>
    </row>
    <row r="190" ht="15.75" customHeight="1">
      <c r="F190" s="10"/>
    </row>
    <row r="191" ht="15.75" customHeight="1">
      <c r="F191" s="10"/>
    </row>
    <row r="192" ht="15.75" customHeight="1">
      <c r="F192" s="10"/>
    </row>
    <row r="193" ht="15.75" customHeight="1">
      <c r="F193" s="10"/>
    </row>
    <row r="194" ht="15.75" customHeight="1">
      <c r="F194" s="10"/>
    </row>
    <row r="195" ht="15.75" customHeight="1">
      <c r="F195" s="10"/>
    </row>
    <row r="196" ht="15.75" customHeight="1">
      <c r="F196" s="10"/>
    </row>
    <row r="197" ht="15.75" customHeight="1">
      <c r="F197" s="10"/>
    </row>
    <row r="198" ht="15.75" customHeight="1">
      <c r="F198" s="10"/>
    </row>
    <row r="199" ht="15.75" customHeight="1">
      <c r="F199" s="10"/>
    </row>
    <row r="200" ht="15.75" customHeight="1">
      <c r="F200" s="10"/>
    </row>
    <row r="201" ht="15.75" customHeight="1">
      <c r="F201" s="10"/>
    </row>
    <row r="202" ht="15.75" customHeight="1">
      <c r="F202" s="10"/>
    </row>
    <row r="203" ht="15.75" customHeight="1">
      <c r="F203" s="10"/>
    </row>
    <row r="204" ht="15.75" customHeight="1">
      <c r="F204" s="10"/>
    </row>
    <row r="205" ht="15.75" customHeight="1">
      <c r="F205" s="10"/>
    </row>
    <row r="206" ht="15.75" customHeight="1">
      <c r="F206" s="10"/>
    </row>
    <row r="207" ht="15.75" customHeight="1">
      <c r="F207" s="10"/>
    </row>
    <row r="208" ht="15.75" customHeight="1">
      <c r="F208" s="10"/>
    </row>
    <row r="209" ht="15.75" customHeight="1">
      <c r="F209" s="10"/>
    </row>
    <row r="210" ht="15.75" customHeight="1">
      <c r="F210" s="10"/>
    </row>
    <row r="211" ht="15.75" customHeight="1">
      <c r="F211" s="10"/>
    </row>
    <row r="212" ht="15.75" customHeight="1">
      <c r="F212" s="10"/>
    </row>
    <row r="213" ht="15.75" customHeight="1">
      <c r="F213" s="10"/>
    </row>
    <row r="214" ht="15.75" customHeight="1">
      <c r="F214" s="10"/>
    </row>
    <row r="215" ht="15.75" customHeight="1">
      <c r="F215" s="10"/>
    </row>
    <row r="216" ht="15.75" customHeight="1">
      <c r="F216" s="10"/>
    </row>
    <row r="217" ht="15.75" customHeight="1">
      <c r="F217" s="10"/>
    </row>
    <row r="218" ht="15.75" customHeight="1">
      <c r="F218" s="10"/>
    </row>
    <row r="219" ht="15.75" customHeight="1">
      <c r="F219" s="10"/>
    </row>
    <row r="220" ht="15.75" customHeight="1">
      <c r="F220" s="10"/>
    </row>
    <row r="221" ht="15.75" customHeight="1">
      <c r="F221" s="10"/>
    </row>
    <row r="222" ht="15.75" customHeight="1">
      <c r="F222" s="10"/>
    </row>
    <row r="223" ht="15.75" customHeight="1">
      <c r="F223" s="10"/>
    </row>
    <row r="224" ht="15.75" customHeight="1">
      <c r="F224" s="10"/>
    </row>
    <row r="225" ht="15.75" customHeight="1">
      <c r="F225" s="10"/>
    </row>
    <row r="226" ht="15.75" customHeight="1">
      <c r="F226" s="10"/>
    </row>
    <row r="227" ht="15.75" customHeight="1">
      <c r="F227" s="10"/>
    </row>
    <row r="228" ht="15.75" customHeight="1">
      <c r="F228" s="10"/>
    </row>
    <row r="229" ht="15.75" customHeight="1">
      <c r="F229" s="10"/>
    </row>
    <row r="230" ht="15.75" customHeight="1">
      <c r="F230" s="10"/>
    </row>
    <row r="231" ht="15.75" customHeight="1">
      <c r="F231" s="10"/>
    </row>
    <row r="232" ht="15.75" customHeight="1">
      <c r="F232" s="10"/>
    </row>
    <row r="233" ht="15.75" customHeight="1">
      <c r="F233" s="10"/>
    </row>
    <row r="234" ht="15.75" customHeight="1">
      <c r="F234" s="10"/>
    </row>
    <row r="235" ht="15.75" customHeight="1">
      <c r="F235" s="10"/>
    </row>
    <row r="236" ht="15.75" customHeight="1">
      <c r="F236" s="10"/>
    </row>
    <row r="237" ht="15.75" customHeight="1">
      <c r="F237" s="10"/>
    </row>
    <row r="238" ht="15.75" customHeight="1">
      <c r="F238" s="10"/>
    </row>
    <row r="239" ht="15.75" customHeight="1">
      <c r="F239" s="10"/>
    </row>
    <row r="240" ht="15.75" customHeight="1">
      <c r="F240" s="10"/>
    </row>
    <row r="241" ht="15.75" customHeight="1">
      <c r="F241" s="10"/>
    </row>
    <row r="242" ht="15.75" customHeight="1">
      <c r="F242" s="10"/>
    </row>
    <row r="243" ht="15.75" customHeight="1">
      <c r="F243" s="10"/>
    </row>
    <row r="244" ht="15.75" customHeight="1">
      <c r="F244" s="10"/>
    </row>
    <row r="245" ht="15.75" customHeight="1">
      <c r="F245" s="10"/>
    </row>
    <row r="246" ht="15.75" customHeight="1">
      <c r="F246" s="10"/>
    </row>
    <row r="247" ht="15.75" customHeight="1">
      <c r="F247" s="10"/>
    </row>
    <row r="248" ht="15.75" customHeight="1">
      <c r="F248" s="10"/>
    </row>
    <row r="249" ht="15.75" customHeight="1">
      <c r="F249" s="10"/>
    </row>
    <row r="250" ht="15.75" customHeight="1">
      <c r="F250" s="10"/>
    </row>
    <row r="251" ht="15.75" customHeight="1">
      <c r="F251" s="10"/>
    </row>
    <row r="252" ht="15.75" customHeight="1">
      <c r="F252" s="10"/>
    </row>
    <row r="253" ht="15.75" customHeight="1">
      <c r="F253" s="10"/>
    </row>
    <row r="254" ht="15.75" customHeight="1">
      <c r="F254" s="10"/>
    </row>
    <row r="255" ht="15.75" customHeight="1">
      <c r="F255" s="10"/>
    </row>
    <row r="256" ht="15.75" customHeight="1">
      <c r="F256" s="10"/>
    </row>
    <row r="257" ht="15.75" customHeight="1">
      <c r="F257" s="10"/>
    </row>
    <row r="258" ht="15.75" customHeight="1">
      <c r="F258" s="10"/>
    </row>
    <row r="259" ht="15.75" customHeight="1">
      <c r="F259" s="10"/>
    </row>
    <row r="260" ht="15.75" customHeight="1">
      <c r="F260" s="10"/>
    </row>
    <row r="261" ht="15.75" customHeight="1">
      <c r="F261" s="10"/>
    </row>
    <row r="262" ht="15.75" customHeight="1">
      <c r="F262" s="10"/>
    </row>
    <row r="263" ht="15.75" customHeight="1">
      <c r="F263" s="10"/>
    </row>
    <row r="264" ht="15.75" customHeight="1">
      <c r="F264" s="10"/>
    </row>
    <row r="265" ht="15.75" customHeight="1">
      <c r="F265" s="10"/>
    </row>
    <row r="266" ht="15.75" customHeight="1">
      <c r="F266" s="10"/>
    </row>
    <row r="267" ht="15.75" customHeight="1">
      <c r="F267" s="10"/>
    </row>
    <row r="268" ht="15.75" customHeight="1">
      <c r="F268" s="10"/>
    </row>
    <row r="269" ht="15.75" customHeight="1">
      <c r="F269" s="10"/>
    </row>
    <row r="270" ht="15.75" customHeight="1">
      <c r="F270" s="10"/>
    </row>
    <row r="271" ht="15.75" customHeight="1">
      <c r="F271" s="10"/>
    </row>
    <row r="272" ht="15.75" customHeight="1">
      <c r="F272" s="10"/>
    </row>
    <row r="273" ht="15.75" customHeight="1">
      <c r="F273" s="10"/>
    </row>
    <row r="274" ht="15.75" customHeight="1">
      <c r="F274" s="10"/>
    </row>
    <row r="275" ht="15.75" customHeight="1">
      <c r="F275" s="10"/>
    </row>
    <row r="276" ht="15.75" customHeight="1">
      <c r="F276" s="10"/>
    </row>
    <row r="277" ht="15.75" customHeight="1">
      <c r="F277" s="10"/>
    </row>
    <row r="278" ht="15.75" customHeight="1">
      <c r="F278" s="10"/>
    </row>
    <row r="279" ht="15.75" customHeight="1">
      <c r="F279" s="10"/>
    </row>
    <row r="280" ht="15.75" customHeight="1">
      <c r="F280" s="10"/>
    </row>
    <row r="281" ht="15.75" customHeight="1">
      <c r="F281" s="10"/>
    </row>
    <row r="282" ht="15.75" customHeight="1">
      <c r="F282" s="10"/>
    </row>
    <row r="283" ht="15.75" customHeight="1">
      <c r="F283" s="10"/>
    </row>
    <row r="284" ht="15.75" customHeight="1">
      <c r="F284" s="10"/>
    </row>
    <row r="285" ht="15.75" customHeight="1">
      <c r="F285" s="10"/>
    </row>
    <row r="286" ht="15.75" customHeight="1">
      <c r="F286" s="10"/>
    </row>
    <row r="287" ht="15.75" customHeight="1">
      <c r="F287" s="10"/>
    </row>
    <row r="288" ht="15.75" customHeight="1">
      <c r="F288" s="10"/>
    </row>
    <row r="289" ht="15.75" customHeight="1">
      <c r="F289" s="10"/>
    </row>
    <row r="290" ht="15.75" customHeight="1">
      <c r="F290" s="10"/>
    </row>
    <row r="291" ht="15.75" customHeight="1">
      <c r="F291" s="10"/>
    </row>
    <row r="292" ht="15.75" customHeight="1">
      <c r="F292" s="10"/>
    </row>
    <row r="293" ht="15.75" customHeight="1">
      <c r="F293" s="10"/>
    </row>
    <row r="294" ht="15.75" customHeight="1">
      <c r="F294" s="10"/>
    </row>
    <row r="295" ht="15.75" customHeight="1">
      <c r="F295" s="10"/>
    </row>
    <row r="296" ht="15.75" customHeight="1">
      <c r="F296" s="10"/>
    </row>
    <row r="297" ht="15.75" customHeight="1">
      <c r="F297" s="10"/>
    </row>
    <row r="298" ht="15.75" customHeight="1">
      <c r="F298" s="10"/>
    </row>
    <row r="299" ht="15.75" customHeight="1">
      <c r="F299" s="10"/>
    </row>
    <row r="300" ht="15.75" customHeight="1">
      <c r="F300" s="10"/>
    </row>
    <row r="301" ht="15.75" customHeight="1">
      <c r="F301" s="10"/>
    </row>
    <row r="302" ht="15.75" customHeight="1">
      <c r="F302" s="10"/>
    </row>
    <row r="303" ht="15.75" customHeight="1">
      <c r="F303" s="10"/>
    </row>
    <row r="304" ht="15.75" customHeight="1">
      <c r="F304" s="10"/>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12.63"/>
    <col customWidth="1" min="2" max="2" width="20.0"/>
    <col customWidth="1" min="3" max="6" width="12.63"/>
  </cols>
  <sheetData>
    <row r="1" ht="15.75" customHeight="1">
      <c r="A1" s="99"/>
      <c r="B1" s="100"/>
      <c r="C1" s="20"/>
      <c r="D1" s="20"/>
      <c r="E1" s="20"/>
      <c r="F1" s="20"/>
      <c r="G1" s="20"/>
      <c r="H1" s="37" t="s">
        <v>1051</v>
      </c>
      <c r="I1" s="101" t="s">
        <v>1052</v>
      </c>
      <c r="J1" s="39" t="s">
        <v>1053</v>
      </c>
      <c r="K1" s="20"/>
      <c r="L1" s="41"/>
      <c r="M1" s="20"/>
      <c r="N1" s="20"/>
      <c r="O1" s="20"/>
      <c r="P1" s="20"/>
      <c r="Q1" s="20"/>
      <c r="R1" s="42"/>
      <c r="S1" s="20"/>
      <c r="T1" s="20"/>
      <c r="U1" s="20"/>
      <c r="V1" s="20"/>
      <c r="W1" s="20"/>
      <c r="X1" s="20"/>
      <c r="Y1" s="20"/>
      <c r="Z1" s="20"/>
      <c r="AA1" s="20"/>
      <c r="AB1" s="20"/>
      <c r="AC1" s="20"/>
      <c r="AD1" s="20"/>
      <c r="AE1" s="20"/>
      <c r="AF1" s="20"/>
      <c r="AG1" s="20"/>
      <c r="AH1" s="42"/>
      <c r="AI1" s="20"/>
      <c r="AJ1" s="20"/>
      <c r="AK1" s="20"/>
      <c r="AL1" s="20"/>
      <c r="AM1" s="20"/>
      <c r="AN1" s="20"/>
      <c r="AO1" s="20"/>
      <c r="AP1" s="20"/>
      <c r="AQ1" s="20"/>
      <c r="AR1" s="20"/>
      <c r="AS1" s="41"/>
      <c r="AT1" s="20"/>
      <c r="AU1" s="20"/>
      <c r="AV1" s="20"/>
      <c r="AW1" s="20"/>
      <c r="AX1" s="42"/>
      <c r="AY1" s="20"/>
      <c r="AZ1" s="20"/>
      <c r="BA1" s="20"/>
      <c r="BB1" s="20"/>
      <c r="BC1" s="20"/>
      <c r="BD1" s="20"/>
      <c r="BE1" s="20"/>
      <c r="BF1" s="20"/>
      <c r="BG1" s="20"/>
      <c r="BH1" s="20"/>
      <c r="BI1" s="20"/>
      <c r="BJ1" s="20"/>
      <c r="BK1" s="20"/>
      <c r="BL1" s="20"/>
      <c r="BM1" s="20"/>
      <c r="BN1" s="42"/>
    </row>
    <row r="2" ht="15.75" customHeight="1">
      <c r="A2" s="99"/>
      <c r="B2" s="102"/>
      <c r="C2" s="20"/>
      <c r="D2" s="20"/>
      <c r="E2" s="20"/>
      <c r="F2" s="20"/>
      <c r="G2" s="20"/>
      <c r="H2" s="46"/>
      <c r="I2" s="46"/>
      <c r="J2" s="46"/>
      <c r="K2" s="46"/>
      <c r="L2" s="20"/>
      <c r="M2" s="20"/>
      <c r="N2" s="20" t="s">
        <v>5639</v>
      </c>
      <c r="O2" s="20"/>
      <c r="P2" s="20"/>
      <c r="Q2" s="20"/>
      <c r="R2" s="42"/>
      <c r="S2" s="48"/>
      <c r="T2" s="48"/>
      <c r="U2" s="20"/>
      <c r="V2" s="20"/>
      <c r="W2" s="20" t="s">
        <v>113</v>
      </c>
      <c r="X2" s="20" t="s">
        <v>113</v>
      </c>
      <c r="Y2" s="20"/>
      <c r="Z2" s="20"/>
      <c r="AA2" s="20"/>
      <c r="AB2" s="20"/>
      <c r="AC2" s="20"/>
      <c r="AD2" s="46"/>
      <c r="AE2" s="20" t="s">
        <v>113</v>
      </c>
      <c r="AF2" s="20"/>
      <c r="AG2" s="46"/>
      <c r="AH2" s="104"/>
      <c r="AI2" s="20"/>
      <c r="AJ2" s="46"/>
      <c r="AK2" s="46" t="s">
        <v>5640</v>
      </c>
      <c r="AL2" s="46"/>
      <c r="AM2" s="20"/>
      <c r="AN2" s="20"/>
      <c r="AO2" s="46"/>
      <c r="AP2" s="46"/>
      <c r="AQ2" s="20"/>
      <c r="AR2" s="46"/>
      <c r="AS2" s="10"/>
      <c r="AT2" s="10"/>
      <c r="AU2" s="46"/>
      <c r="AV2" s="48"/>
      <c r="AW2" s="48"/>
      <c r="AX2" s="50"/>
      <c r="AY2" s="46"/>
      <c r="AZ2" s="46"/>
      <c r="BA2" s="20"/>
      <c r="BB2" s="20"/>
      <c r="BC2" s="46"/>
      <c r="BD2" s="46"/>
      <c r="BE2" s="20"/>
      <c r="BF2" s="46"/>
      <c r="BG2" s="46"/>
      <c r="BH2" s="46"/>
      <c r="BI2" s="20"/>
      <c r="BJ2" s="20"/>
      <c r="BK2" s="46"/>
      <c r="BL2" s="46"/>
      <c r="BM2" s="49"/>
      <c r="BN2" s="104"/>
    </row>
    <row r="3" ht="15.75" customHeight="1">
      <c r="A3" s="99" t="s">
        <v>117</v>
      </c>
      <c r="B3" s="102" t="s">
        <v>118</v>
      </c>
      <c r="C3" s="58">
        <v>1.0</v>
      </c>
      <c r="D3" s="54">
        <v>2.0</v>
      </c>
      <c r="E3" s="54">
        <v>3.0</v>
      </c>
      <c r="F3" s="55">
        <v>4.0</v>
      </c>
      <c r="G3" s="54">
        <v>5.0</v>
      </c>
      <c r="H3" s="54">
        <v>6.0</v>
      </c>
      <c r="I3" s="56">
        <v>7.0</v>
      </c>
      <c r="J3" s="54">
        <v>8.0</v>
      </c>
      <c r="K3" s="54">
        <v>9.0</v>
      </c>
      <c r="L3" s="58">
        <v>10.0</v>
      </c>
      <c r="M3" s="54">
        <v>11.0</v>
      </c>
      <c r="N3" s="54">
        <v>12.0</v>
      </c>
      <c r="O3" s="55">
        <v>13.0</v>
      </c>
      <c r="P3" s="54">
        <v>14.0</v>
      </c>
      <c r="Q3" s="54">
        <v>15.0</v>
      </c>
      <c r="R3" s="59" t="s">
        <v>120</v>
      </c>
      <c r="S3" s="60" t="s">
        <v>121</v>
      </c>
      <c r="T3" s="61" t="s">
        <v>122</v>
      </c>
      <c r="U3" s="54">
        <v>19.0</v>
      </c>
      <c r="V3" s="55">
        <v>20.0</v>
      </c>
      <c r="W3" s="54">
        <v>21.0</v>
      </c>
      <c r="X3" s="54">
        <v>22.0</v>
      </c>
      <c r="Y3" s="56">
        <v>23.0</v>
      </c>
      <c r="Z3" s="54">
        <v>24.0</v>
      </c>
      <c r="AA3" s="54">
        <v>25.0</v>
      </c>
      <c r="AB3" s="58">
        <v>26.0</v>
      </c>
      <c r="AC3" s="54">
        <v>27.0</v>
      </c>
      <c r="AD3" s="54">
        <v>28.0</v>
      </c>
      <c r="AE3" s="55">
        <v>29.0</v>
      </c>
      <c r="AF3" s="54">
        <v>30.0</v>
      </c>
      <c r="AG3" s="54">
        <v>31.0</v>
      </c>
      <c r="AH3" s="62">
        <v>32.0</v>
      </c>
      <c r="AI3" s="53">
        <v>33.0</v>
      </c>
      <c r="AJ3" s="54">
        <v>34.0</v>
      </c>
      <c r="AK3" s="54">
        <v>35.0</v>
      </c>
      <c r="AL3" s="55">
        <v>36.0</v>
      </c>
      <c r="AM3" s="54">
        <v>37.0</v>
      </c>
      <c r="AN3" s="54">
        <v>38.0</v>
      </c>
      <c r="AO3" s="56">
        <v>39.0</v>
      </c>
      <c r="AP3" s="54">
        <v>40.0</v>
      </c>
      <c r="AQ3" s="54">
        <v>41.0</v>
      </c>
      <c r="AR3" s="58">
        <v>42.0</v>
      </c>
      <c r="AS3" s="54">
        <v>43.0</v>
      </c>
      <c r="AT3" s="54">
        <v>44.0</v>
      </c>
      <c r="AU3" s="55">
        <v>45.0</v>
      </c>
      <c r="AV3" s="61" t="s">
        <v>123</v>
      </c>
      <c r="AW3" s="61" t="s">
        <v>124</v>
      </c>
      <c r="AX3" s="59" t="s">
        <v>125</v>
      </c>
      <c r="AY3" s="53">
        <v>49.0</v>
      </c>
      <c r="AZ3" s="54">
        <v>50.0</v>
      </c>
      <c r="BA3" s="54">
        <v>51.0</v>
      </c>
      <c r="BB3" s="55">
        <v>52.0</v>
      </c>
      <c r="BC3" s="54">
        <v>53.0</v>
      </c>
      <c r="BD3" s="54">
        <v>54.0</v>
      </c>
      <c r="BE3" s="56">
        <v>55.0</v>
      </c>
      <c r="BF3" s="54">
        <v>56.0</v>
      </c>
      <c r="BG3" s="54">
        <v>57.0</v>
      </c>
      <c r="BH3" s="58">
        <v>58.0</v>
      </c>
      <c r="BI3" s="54">
        <v>59.0</v>
      </c>
      <c r="BJ3" s="54">
        <v>60.0</v>
      </c>
      <c r="BK3" s="55">
        <v>61.0</v>
      </c>
      <c r="BL3" s="54">
        <v>62.0</v>
      </c>
      <c r="BM3" s="54">
        <v>63.0</v>
      </c>
      <c r="BN3" s="62">
        <v>64.0</v>
      </c>
    </row>
    <row r="4" ht="15.75" customHeight="1">
      <c r="A4" s="30">
        <v>45587.0</v>
      </c>
      <c r="B4" s="10"/>
      <c r="C4" s="10" t="s">
        <v>5641</v>
      </c>
      <c r="D4" s="10" t="s">
        <v>5642</v>
      </c>
      <c r="E4" s="10" t="s">
        <v>5643</v>
      </c>
      <c r="F4" s="10" t="s">
        <v>5644</v>
      </c>
      <c r="G4" s="10" t="s">
        <v>5645</v>
      </c>
      <c r="H4" s="10" t="s">
        <v>5646</v>
      </c>
      <c r="I4" s="10" t="s">
        <v>5647</v>
      </c>
      <c r="J4" s="10" t="s">
        <v>5648</v>
      </c>
      <c r="K4" s="10" t="s">
        <v>5649</v>
      </c>
      <c r="L4" s="10" t="s">
        <v>5650</v>
      </c>
      <c r="M4" s="10" t="s">
        <v>5651</v>
      </c>
      <c r="N4" s="10" t="s">
        <v>5652</v>
      </c>
      <c r="O4" s="10" t="s">
        <v>5653</v>
      </c>
      <c r="P4" s="10" t="s">
        <v>5654</v>
      </c>
      <c r="Q4" s="10" t="s">
        <v>5655</v>
      </c>
      <c r="R4" s="10" t="s">
        <v>5656</v>
      </c>
      <c r="S4" s="10" t="s">
        <v>5657</v>
      </c>
      <c r="T4" s="10" t="s">
        <v>5658</v>
      </c>
      <c r="U4" s="10" t="s">
        <v>5659</v>
      </c>
      <c r="V4" s="10" t="s">
        <v>5660</v>
      </c>
      <c r="W4" s="10" t="s">
        <v>5661</v>
      </c>
      <c r="X4" s="10" t="s">
        <v>5662</v>
      </c>
      <c r="Y4" s="10" t="s">
        <v>5663</v>
      </c>
      <c r="Z4" s="10" t="s">
        <v>5664</v>
      </c>
      <c r="AA4" s="10" t="s">
        <v>5665</v>
      </c>
      <c r="AB4" s="10" t="s">
        <v>5666</v>
      </c>
      <c r="AC4" s="10" t="s">
        <v>5667</v>
      </c>
      <c r="AD4" s="10" t="s">
        <v>5668</v>
      </c>
      <c r="AE4" s="10" t="s">
        <v>5669</v>
      </c>
      <c r="AF4" s="10" t="s">
        <v>5670</v>
      </c>
      <c r="AG4" s="10" t="s">
        <v>5671</v>
      </c>
      <c r="AH4" s="10" t="s">
        <v>5672</v>
      </c>
      <c r="AI4" s="10" t="s">
        <v>5673</v>
      </c>
      <c r="AJ4" s="10" t="s">
        <v>5674</v>
      </c>
      <c r="AK4" s="10" t="s">
        <v>5675</v>
      </c>
      <c r="AL4" s="10" t="s">
        <v>5676</v>
      </c>
      <c r="AM4" s="10" t="s">
        <v>5655</v>
      </c>
      <c r="AN4" s="10" t="s">
        <v>5677</v>
      </c>
      <c r="AO4" s="10" t="s">
        <v>5678</v>
      </c>
      <c r="AP4" s="10" t="s">
        <v>5679</v>
      </c>
      <c r="AQ4" s="10" t="s">
        <v>5680</v>
      </c>
      <c r="AR4" s="10" t="s">
        <v>5681</v>
      </c>
      <c r="AS4" s="10" t="s">
        <v>5675</v>
      </c>
      <c r="AT4" s="10" t="s">
        <v>5671</v>
      </c>
      <c r="AU4" s="10" t="s">
        <v>5682</v>
      </c>
      <c r="AV4" s="10" t="s">
        <v>5667</v>
      </c>
      <c r="AW4" s="10" t="s">
        <v>5676</v>
      </c>
      <c r="AX4" s="10" t="s">
        <v>5683</v>
      </c>
      <c r="AY4" s="10" t="s">
        <v>5655</v>
      </c>
      <c r="AZ4" s="10" t="s">
        <v>5683</v>
      </c>
      <c r="BA4" s="10" t="s">
        <v>5684</v>
      </c>
      <c r="BB4" s="10" t="s">
        <v>5685</v>
      </c>
      <c r="BC4" s="10" t="s">
        <v>5686</v>
      </c>
      <c r="BD4" s="10" t="s">
        <v>5682</v>
      </c>
      <c r="BE4" s="10" t="s">
        <v>5687</v>
      </c>
      <c r="BF4" s="10" t="s">
        <v>5675</v>
      </c>
      <c r="BG4" s="10" t="s">
        <v>5682</v>
      </c>
      <c r="BH4" s="10" t="s">
        <v>5688</v>
      </c>
      <c r="BI4" s="10" t="s">
        <v>5689</v>
      </c>
      <c r="BJ4" s="10" t="s">
        <v>5688</v>
      </c>
      <c r="BK4" s="10" t="s">
        <v>5690</v>
      </c>
      <c r="BL4" s="10" t="s">
        <v>5691</v>
      </c>
      <c r="BM4" s="10" t="s">
        <v>5661</v>
      </c>
      <c r="BN4" s="10" t="s">
        <v>5692</v>
      </c>
    </row>
    <row r="5" ht="15.75" customHeight="1">
      <c r="A5" s="13"/>
      <c r="B5" s="10"/>
      <c r="C5" s="10">
        <v>5.5</v>
      </c>
      <c r="D5" s="10">
        <v>6.0</v>
      </c>
      <c r="E5" s="10">
        <v>6.0</v>
      </c>
      <c r="F5" s="10">
        <v>10.0</v>
      </c>
      <c r="G5" s="10">
        <v>7.0</v>
      </c>
      <c r="H5" s="10">
        <v>5.5</v>
      </c>
      <c r="I5" s="10">
        <v>9.0</v>
      </c>
      <c r="J5" s="10">
        <v>7.5</v>
      </c>
      <c r="K5" s="10">
        <v>6.5</v>
      </c>
      <c r="L5" s="10">
        <v>7.5</v>
      </c>
      <c r="M5" s="10">
        <v>7.5</v>
      </c>
      <c r="N5" s="10">
        <v>8.0</v>
      </c>
      <c r="O5" s="10">
        <v>8.0</v>
      </c>
      <c r="P5" s="10">
        <v>8.0</v>
      </c>
      <c r="Q5" s="10">
        <v>7.0</v>
      </c>
      <c r="R5" s="10">
        <v>7.5</v>
      </c>
      <c r="S5" s="10">
        <v>7.0</v>
      </c>
      <c r="T5" s="10">
        <v>7.5</v>
      </c>
      <c r="U5" s="10">
        <v>8.0</v>
      </c>
      <c r="V5" s="10">
        <v>8.5</v>
      </c>
      <c r="W5" s="10">
        <v>8.0</v>
      </c>
      <c r="X5" s="10">
        <v>8.0</v>
      </c>
      <c r="Y5" s="10">
        <v>8.0</v>
      </c>
      <c r="Z5" s="10">
        <v>7.5</v>
      </c>
      <c r="AA5" s="10">
        <v>6.5</v>
      </c>
      <c r="AB5" s="10">
        <v>7.5</v>
      </c>
      <c r="AC5" s="10">
        <v>7.0</v>
      </c>
      <c r="AD5" s="10">
        <v>9.0</v>
      </c>
      <c r="AE5" s="10">
        <v>7.5</v>
      </c>
      <c r="AF5" s="10">
        <v>7.5</v>
      </c>
      <c r="AG5" s="10">
        <v>6.0</v>
      </c>
      <c r="AH5" s="10">
        <v>6.0</v>
      </c>
      <c r="AI5" s="10">
        <v>5.5</v>
      </c>
      <c r="AJ5" s="10">
        <v>5.0</v>
      </c>
      <c r="AK5" s="10">
        <v>6.5</v>
      </c>
      <c r="AL5" s="10">
        <v>5.0</v>
      </c>
      <c r="AM5" s="10">
        <v>7.0</v>
      </c>
      <c r="AN5" s="10">
        <v>6.0</v>
      </c>
      <c r="AO5" s="10">
        <v>6.0</v>
      </c>
      <c r="AP5" s="10">
        <v>6.0</v>
      </c>
      <c r="AQ5" s="10">
        <v>7.0</v>
      </c>
      <c r="AR5" s="10">
        <v>6.0</v>
      </c>
      <c r="AS5" s="10">
        <v>6.5</v>
      </c>
      <c r="AT5" s="10">
        <v>6.0</v>
      </c>
      <c r="AU5" s="10">
        <v>6.5</v>
      </c>
      <c r="AV5" s="10">
        <v>7.0</v>
      </c>
      <c r="AW5" s="10">
        <v>5.0</v>
      </c>
      <c r="AX5" s="10">
        <v>6.0</v>
      </c>
      <c r="AY5" s="10">
        <v>7.0</v>
      </c>
      <c r="AZ5" s="10">
        <v>6.0</v>
      </c>
      <c r="BA5" s="10">
        <v>6.5</v>
      </c>
      <c r="BB5" s="10">
        <v>6.0</v>
      </c>
      <c r="BC5" s="10">
        <v>6.5</v>
      </c>
      <c r="BD5" s="10">
        <v>6.5</v>
      </c>
      <c r="BE5" s="10">
        <v>7.0</v>
      </c>
      <c r="BF5" s="10">
        <v>6.5</v>
      </c>
      <c r="BG5" s="10">
        <v>6.5</v>
      </c>
      <c r="BH5" s="10">
        <v>7.0</v>
      </c>
      <c r="BI5" s="10">
        <v>8.0</v>
      </c>
      <c r="BJ5" s="10">
        <v>7.0</v>
      </c>
      <c r="BK5" s="10">
        <v>7.0</v>
      </c>
      <c r="BL5" s="10">
        <v>8.0</v>
      </c>
      <c r="BM5" s="10">
        <v>8.0</v>
      </c>
      <c r="BN5" s="10">
        <v>7.5</v>
      </c>
    </row>
    <row r="6" ht="15.75" customHeight="1">
      <c r="A6" s="30">
        <v>45588.0</v>
      </c>
      <c r="B6" s="10" t="s">
        <v>5693</v>
      </c>
      <c r="C6" s="10" t="s">
        <v>5694</v>
      </c>
      <c r="D6" s="10" t="s">
        <v>3834</v>
      </c>
      <c r="E6" s="10" t="s">
        <v>5695</v>
      </c>
      <c r="F6" s="10" t="s">
        <v>5696</v>
      </c>
      <c r="G6" s="10" t="s">
        <v>5697</v>
      </c>
      <c r="H6" s="10" t="s">
        <v>5698</v>
      </c>
      <c r="I6" s="10" t="s">
        <v>5699</v>
      </c>
      <c r="J6" s="10" t="s">
        <v>5700</v>
      </c>
      <c r="K6" s="10" t="s">
        <v>5698</v>
      </c>
      <c r="L6" s="10" t="s">
        <v>5701</v>
      </c>
      <c r="M6" s="10" t="s">
        <v>5701</v>
      </c>
      <c r="N6" s="10" t="s">
        <v>5702</v>
      </c>
      <c r="O6" s="10" t="s">
        <v>5703</v>
      </c>
      <c r="P6" s="10" t="s">
        <v>5704</v>
      </c>
      <c r="Q6" s="10" t="s">
        <v>5705</v>
      </c>
      <c r="R6" s="10" t="s">
        <v>5706</v>
      </c>
      <c r="S6" s="10" t="s">
        <v>5707</v>
      </c>
      <c r="T6" s="10" t="s">
        <v>5708</v>
      </c>
      <c r="U6" s="10" t="s">
        <v>5709</v>
      </c>
      <c r="V6" s="10" t="s">
        <v>1371</v>
      </c>
      <c r="W6" s="10" t="s">
        <v>5710</v>
      </c>
      <c r="X6" s="10" t="s">
        <v>5710</v>
      </c>
      <c r="Y6" s="10" t="s">
        <v>5703</v>
      </c>
      <c r="Z6" s="10" t="s">
        <v>1302</v>
      </c>
      <c r="AA6" s="10" t="s">
        <v>5711</v>
      </c>
      <c r="AB6" s="10" t="s">
        <v>5112</v>
      </c>
      <c r="AC6" s="10" t="s">
        <v>5712</v>
      </c>
      <c r="AD6" s="10" t="s">
        <v>5703</v>
      </c>
      <c r="AE6" s="10" t="s">
        <v>5014</v>
      </c>
      <c r="AF6" s="10" t="s">
        <v>5713</v>
      </c>
      <c r="AG6" s="10" t="s">
        <v>5714</v>
      </c>
      <c r="AH6" s="10" t="s">
        <v>5715</v>
      </c>
      <c r="AI6" s="10" t="s">
        <v>5014</v>
      </c>
      <c r="AJ6" s="10" t="s">
        <v>260</v>
      </c>
      <c r="AK6" s="10" t="s">
        <v>5716</v>
      </c>
      <c r="AL6" s="10" t="s">
        <v>5014</v>
      </c>
      <c r="AM6" s="10" t="s">
        <v>5014</v>
      </c>
      <c r="AN6" s="10" t="s">
        <v>260</v>
      </c>
      <c r="AO6" s="10" t="s">
        <v>5717</v>
      </c>
      <c r="AP6" s="10" t="s">
        <v>5014</v>
      </c>
      <c r="AQ6" s="10" t="s">
        <v>260</v>
      </c>
      <c r="AR6" s="10" t="s">
        <v>5014</v>
      </c>
      <c r="AS6" s="10" t="s">
        <v>260</v>
      </c>
      <c r="AT6" s="10" t="s">
        <v>5014</v>
      </c>
      <c r="AU6" s="10" t="s">
        <v>5014</v>
      </c>
      <c r="AV6" s="10" t="s">
        <v>5014</v>
      </c>
      <c r="AW6" s="10" t="s">
        <v>260</v>
      </c>
      <c r="AX6" s="10" t="s">
        <v>5718</v>
      </c>
      <c r="AY6" s="10" t="s">
        <v>260</v>
      </c>
      <c r="AZ6" s="10" t="s">
        <v>5014</v>
      </c>
      <c r="BA6" s="10" t="s">
        <v>260</v>
      </c>
      <c r="BB6" s="10" t="s">
        <v>260</v>
      </c>
      <c r="BC6" s="10" t="s">
        <v>5718</v>
      </c>
      <c r="BD6" s="10" t="s">
        <v>260</v>
      </c>
      <c r="BE6" s="10" t="s">
        <v>5719</v>
      </c>
      <c r="BF6" s="10" t="s">
        <v>5720</v>
      </c>
      <c r="BG6" s="10" t="s">
        <v>5721</v>
      </c>
      <c r="BH6" s="10" t="s">
        <v>1406</v>
      </c>
      <c r="BI6" s="10" t="s">
        <v>5722</v>
      </c>
      <c r="BJ6" s="10" t="s">
        <v>5701</v>
      </c>
      <c r="BK6" s="10" t="s">
        <v>5719</v>
      </c>
      <c r="BL6" s="10" t="s">
        <v>5723</v>
      </c>
      <c r="BM6" s="10" t="s">
        <v>5724</v>
      </c>
      <c r="BN6" s="10" t="s">
        <v>5719</v>
      </c>
    </row>
    <row r="7" ht="15.75" customHeight="1">
      <c r="A7" s="13"/>
      <c r="B7" s="10"/>
      <c r="C7" s="10">
        <v>6.0</v>
      </c>
      <c r="D7" s="10">
        <v>7.0</v>
      </c>
      <c r="E7" s="10">
        <v>7.0</v>
      </c>
      <c r="F7" s="10">
        <v>10.25</v>
      </c>
      <c r="G7" s="10">
        <v>8.0</v>
      </c>
      <c r="H7" s="10">
        <v>6.5</v>
      </c>
      <c r="I7" s="10">
        <v>9.5</v>
      </c>
      <c r="J7" s="10">
        <v>8.5</v>
      </c>
      <c r="K7" s="10">
        <v>7.5</v>
      </c>
      <c r="L7" s="10">
        <v>8.5</v>
      </c>
      <c r="M7" s="10">
        <v>8.5</v>
      </c>
      <c r="N7" s="10">
        <v>9.0</v>
      </c>
      <c r="O7" s="10">
        <v>8.5</v>
      </c>
      <c r="P7" s="10">
        <v>9.0</v>
      </c>
      <c r="Q7" s="10">
        <v>7.5</v>
      </c>
      <c r="R7" s="10">
        <v>8.0</v>
      </c>
      <c r="S7" s="10">
        <v>8.0</v>
      </c>
      <c r="T7" s="10">
        <v>8.5</v>
      </c>
      <c r="U7" s="10">
        <v>8.5</v>
      </c>
      <c r="V7" s="10">
        <v>9.5</v>
      </c>
      <c r="W7" s="10">
        <v>9.0</v>
      </c>
      <c r="X7" s="10">
        <v>9.0</v>
      </c>
      <c r="Y7" s="10">
        <v>8.5</v>
      </c>
      <c r="Z7" s="10">
        <v>8.5</v>
      </c>
      <c r="AA7" s="10">
        <v>7.0</v>
      </c>
      <c r="AB7" s="10">
        <v>8.5</v>
      </c>
      <c r="AC7" s="10">
        <v>8.0</v>
      </c>
      <c r="AD7" s="10">
        <v>9.5</v>
      </c>
      <c r="AE7" s="10">
        <v>8.5</v>
      </c>
      <c r="AF7" s="10">
        <v>8.5</v>
      </c>
      <c r="AG7" s="10">
        <v>7.0</v>
      </c>
      <c r="AH7" s="10">
        <v>7.0</v>
      </c>
      <c r="AI7" s="10">
        <v>6.5</v>
      </c>
      <c r="AJ7" s="10">
        <v>6.0</v>
      </c>
      <c r="AK7" s="10">
        <v>7.5</v>
      </c>
      <c r="AL7" s="10">
        <v>6.0</v>
      </c>
      <c r="AM7" s="10">
        <v>8.0</v>
      </c>
      <c r="AN7" s="10">
        <v>7.0</v>
      </c>
      <c r="AO7" s="10">
        <v>7.0</v>
      </c>
      <c r="AP7" s="10">
        <v>7.0</v>
      </c>
      <c r="AQ7" s="10">
        <v>8.0</v>
      </c>
      <c r="AR7" s="10">
        <v>7.0</v>
      </c>
      <c r="AS7" s="10">
        <v>7.5</v>
      </c>
      <c r="AT7" s="10">
        <v>7.0</v>
      </c>
      <c r="AU7" s="10">
        <v>7.5</v>
      </c>
      <c r="AV7" s="10">
        <v>8.0</v>
      </c>
      <c r="AW7" s="10">
        <v>6.0</v>
      </c>
      <c r="AX7" s="10">
        <v>7.0</v>
      </c>
      <c r="AY7" s="10">
        <v>8.0</v>
      </c>
      <c r="AZ7" s="10">
        <v>7.0</v>
      </c>
      <c r="BA7" s="10">
        <v>7.0</v>
      </c>
      <c r="BB7" s="10">
        <v>7.0</v>
      </c>
      <c r="BC7" s="10">
        <v>7.5</v>
      </c>
      <c r="BD7" s="10">
        <v>7.5</v>
      </c>
      <c r="BE7" s="10">
        <v>8.0</v>
      </c>
      <c r="BF7" s="10">
        <v>7.5</v>
      </c>
      <c r="BG7" s="10">
        <v>7.5</v>
      </c>
      <c r="BH7" s="10">
        <v>8.0</v>
      </c>
      <c r="BI7" s="10">
        <v>9.0</v>
      </c>
      <c r="BJ7" s="10">
        <v>8.0</v>
      </c>
      <c r="BK7" s="10">
        <v>8.0</v>
      </c>
      <c r="BL7" s="10">
        <v>9.0</v>
      </c>
      <c r="BM7" s="10">
        <v>9.0</v>
      </c>
      <c r="BN7" s="10">
        <v>8.5</v>
      </c>
    </row>
    <row r="8" ht="93.0" customHeight="1">
      <c r="A8" s="30">
        <v>45589.0</v>
      </c>
      <c r="B8" s="10" t="s">
        <v>5725</v>
      </c>
      <c r="C8" s="10" t="s">
        <v>260</v>
      </c>
      <c r="D8" s="10" t="s">
        <v>5726</v>
      </c>
      <c r="E8" s="10" t="s">
        <v>5727</v>
      </c>
      <c r="F8" s="10" t="s">
        <v>5728</v>
      </c>
      <c r="G8" s="10" t="s">
        <v>272</v>
      </c>
      <c r="H8" s="10" t="s">
        <v>5729</v>
      </c>
      <c r="I8" s="10" t="s">
        <v>5730</v>
      </c>
      <c r="J8" s="10" t="s">
        <v>5731</v>
      </c>
      <c r="K8" s="10" t="s">
        <v>5727</v>
      </c>
      <c r="L8" s="10" t="s">
        <v>5732</v>
      </c>
      <c r="M8" s="10" t="s">
        <v>5733</v>
      </c>
      <c r="N8" s="10" t="s">
        <v>5734</v>
      </c>
      <c r="O8" s="10" t="s">
        <v>5735</v>
      </c>
      <c r="P8" s="10" t="s">
        <v>5733</v>
      </c>
      <c r="Q8" s="10" t="s">
        <v>5736</v>
      </c>
      <c r="R8" s="10" t="s">
        <v>5737</v>
      </c>
      <c r="S8" s="10" t="s">
        <v>5738</v>
      </c>
      <c r="T8" s="10" t="s">
        <v>5739</v>
      </c>
      <c r="U8" s="10" t="s">
        <v>5740</v>
      </c>
      <c r="V8" s="10" t="s">
        <v>272</v>
      </c>
      <c r="W8" s="10" t="s">
        <v>5741</v>
      </c>
      <c r="X8" s="10" t="s">
        <v>5735</v>
      </c>
      <c r="Y8" s="10" t="s">
        <v>5112</v>
      </c>
      <c r="Z8" s="10" t="s">
        <v>5742</v>
      </c>
      <c r="AA8" s="10" t="s">
        <v>3862</v>
      </c>
      <c r="AB8" s="10" t="s">
        <v>5743</v>
      </c>
      <c r="AC8" s="10" t="s">
        <v>5744</v>
      </c>
      <c r="AD8" s="10" t="s">
        <v>5745</v>
      </c>
      <c r="AE8" s="10" t="s">
        <v>5746</v>
      </c>
      <c r="AF8" s="10" t="s">
        <v>5747</v>
      </c>
      <c r="AG8" s="10" t="s">
        <v>5748</v>
      </c>
      <c r="AH8" s="10" t="s">
        <v>5144</v>
      </c>
      <c r="AI8" s="10" t="s">
        <v>5749</v>
      </c>
      <c r="AJ8" s="10" t="s">
        <v>5750</v>
      </c>
      <c r="AK8" s="10" t="s">
        <v>5751</v>
      </c>
      <c r="AL8" s="10" t="s">
        <v>5206</v>
      </c>
      <c r="AM8" s="10" t="s">
        <v>5108</v>
      </c>
      <c r="AN8" s="10" t="s">
        <v>5752</v>
      </c>
      <c r="AO8" s="10" t="s">
        <v>5753</v>
      </c>
      <c r="AP8" s="10" t="s">
        <v>5014</v>
      </c>
      <c r="AQ8" s="10" t="s">
        <v>5754</v>
      </c>
      <c r="AR8" s="10" t="s">
        <v>5146</v>
      </c>
      <c r="AS8" s="10" t="s">
        <v>1211</v>
      </c>
      <c r="AT8" s="10" t="s">
        <v>5755</v>
      </c>
      <c r="AU8" s="10" t="s">
        <v>5108</v>
      </c>
      <c r="AV8" s="10" t="s">
        <v>5756</v>
      </c>
      <c r="AW8" s="10" t="s">
        <v>5757</v>
      </c>
      <c r="AX8" s="10" t="s">
        <v>5758</v>
      </c>
      <c r="AY8" s="10" t="s">
        <v>260</v>
      </c>
      <c r="AZ8" s="10" t="s">
        <v>5759</v>
      </c>
      <c r="BA8" s="10" t="s">
        <v>5760</v>
      </c>
      <c r="BB8" s="10" t="s">
        <v>1211</v>
      </c>
      <c r="BC8" s="10" t="s">
        <v>1211</v>
      </c>
      <c r="BD8" s="10" t="s">
        <v>5206</v>
      </c>
      <c r="BE8" s="10" t="s">
        <v>1211</v>
      </c>
      <c r="BF8" s="10" t="s">
        <v>5761</v>
      </c>
      <c r="BG8" s="10" t="s">
        <v>5762</v>
      </c>
      <c r="BH8" s="10" t="s">
        <v>272</v>
      </c>
      <c r="BI8" s="10" t="s">
        <v>5763</v>
      </c>
      <c r="BJ8" s="10" t="s">
        <v>5764</v>
      </c>
      <c r="BK8" s="10" t="s">
        <v>267</v>
      </c>
      <c r="BL8" s="10" t="s">
        <v>5206</v>
      </c>
      <c r="BM8" s="10" t="s">
        <v>5765</v>
      </c>
      <c r="BN8" s="10" t="s">
        <v>5766</v>
      </c>
    </row>
    <row r="9" ht="15.75" customHeight="1">
      <c r="A9" s="13"/>
      <c r="B9" s="10"/>
      <c r="C9" s="10">
        <v>7.0</v>
      </c>
      <c r="D9" s="10">
        <v>9.0</v>
      </c>
      <c r="E9" s="10">
        <v>8.0</v>
      </c>
      <c r="F9" s="10">
        <v>11.5</v>
      </c>
      <c r="G9" s="10">
        <v>9.0</v>
      </c>
      <c r="H9" s="10">
        <v>11.0</v>
      </c>
      <c r="I9" s="10">
        <v>11.0</v>
      </c>
      <c r="J9" s="10">
        <v>9.5</v>
      </c>
      <c r="K9" s="10">
        <v>8.5</v>
      </c>
      <c r="L9" s="10">
        <v>10.5</v>
      </c>
      <c r="M9" s="10">
        <v>9.5</v>
      </c>
      <c r="N9" s="10">
        <v>14.0</v>
      </c>
      <c r="O9" s="10">
        <v>9.5</v>
      </c>
      <c r="P9" s="10">
        <v>10.0</v>
      </c>
      <c r="Q9" s="10">
        <v>8.0</v>
      </c>
      <c r="R9" s="10">
        <v>9.0</v>
      </c>
      <c r="S9" s="10">
        <v>9.5</v>
      </c>
      <c r="T9" s="10">
        <v>9.5</v>
      </c>
      <c r="U9" s="10">
        <v>9.0</v>
      </c>
      <c r="V9" s="10">
        <v>10.5</v>
      </c>
      <c r="W9" s="10">
        <v>10.0</v>
      </c>
      <c r="X9" s="10">
        <v>10.0</v>
      </c>
      <c r="Y9" s="10">
        <v>9.5</v>
      </c>
      <c r="Z9" s="10">
        <v>9.5</v>
      </c>
      <c r="AA9" s="10">
        <v>8.0</v>
      </c>
      <c r="AB9" s="10">
        <v>9.5</v>
      </c>
      <c r="AC9" s="10">
        <v>10.0</v>
      </c>
      <c r="AD9" s="10">
        <v>10.5</v>
      </c>
      <c r="AE9" s="10">
        <v>12.5</v>
      </c>
      <c r="AF9" s="10">
        <v>11.5</v>
      </c>
      <c r="AG9" s="10">
        <v>10.0</v>
      </c>
      <c r="AH9" s="10">
        <v>9.0</v>
      </c>
      <c r="AI9" s="10">
        <v>10.5</v>
      </c>
      <c r="AJ9" s="10">
        <v>9.0</v>
      </c>
      <c r="AK9" s="10">
        <v>13.5</v>
      </c>
      <c r="AL9" s="10">
        <v>8.0</v>
      </c>
      <c r="AM9" s="10">
        <v>10.0</v>
      </c>
      <c r="AN9" s="10">
        <v>12.0</v>
      </c>
      <c r="AO9" s="10">
        <v>11.0</v>
      </c>
      <c r="AP9" s="10">
        <v>8.0</v>
      </c>
      <c r="AQ9" s="10">
        <v>10.0</v>
      </c>
      <c r="AR9" s="10">
        <v>10.0</v>
      </c>
      <c r="AS9" s="10">
        <v>9.5</v>
      </c>
      <c r="AT9" s="10">
        <v>10.0</v>
      </c>
      <c r="AU9" s="10">
        <v>9.5</v>
      </c>
      <c r="AV9" s="10">
        <v>14.0</v>
      </c>
      <c r="AW9" s="10">
        <v>11.0</v>
      </c>
      <c r="AX9" s="10">
        <v>9.0</v>
      </c>
      <c r="AY9" s="10">
        <v>9.0</v>
      </c>
      <c r="AZ9" s="10">
        <v>12.0</v>
      </c>
      <c r="BA9" s="10">
        <v>13.0</v>
      </c>
      <c r="BB9" s="10">
        <v>9.0</v>
      </c>
      <c r="BC9" s="10">
        <v>9.5</v>
      </c>
      <c r="BD9" s="10">
        <v>9.5</v>
      </c>
      <c r="BE9" s="10">
        <v>10.0</v>
      </c>
      <c r="BF9" s="10">
        <v>9.5</v>
      </c>
      <c r="BG9" s="10">
        <v>9.0</v>
      </c>
      <c r="BH9" s="10">
        <v>9.0</v>
      </c>
      <c r="BI9" s="10">
        <v>10.5</v>
      </c>
      <c r="BJ9" s="10">
        <v>9.5</v>
      </c>
      <c r="BK9" s="10">
        <v>9.0</v>
      </c>
      <c r="BL9" s="10">
        <v>11.0</v>
      </c>
      <c r="BM9" s="10">
        <v>10.0</v>
      </c>
      <c r="BN9" s="10">
        <v>10.5</v>
      </c>
    </row>
    <row r="10" ht="15.75" customHeight="1">
      <c r="A10" s="30">
        <v>45590.0</v>
      </c>
      <c r="B10" s="10" t="s">
        <v>5767</v>
      </c>
      <c r="C10" s="10" t="s">
        <v>5768</v>
      </c>
      <c r="D10" s="10" t="s">
        <v>5769</v>
      </c>
      <c r="E10" s="10" t="s">
        <v>5770</v>
      </c>
      <c r="F10" s="10" t="s">
        <v>5771</v>
      </c>
      <c r="G10" s="10" t="s">
        <v>5772</v>
      </c>
      <c r="H10" s="10" t="s">
        <v>5773</v>
      </c>
      <c r="I10" s="10" t="s">
        <v>5774</v>
      </c>
      <c r="J10" s="10" t="s">
        <v>5775</v>
      </c>
      <c r="K10" s="10" t="s">
        <v>5776</v>
      </c>
      <c r="L10" s="10" t="s">
        <v>5777</v>
      </c>
      <c r="M10" s="10" t="s">
        <v>5778</v>
      </c>
      <c r="N10" s="10" t="s">
        <v>5779</v>
      </c>
      <c r="O10" s="10" t="s">
        <v>5780</v>
      </c>
      <c r="P10" s="10" t="s">
        <v>5768</v>
      </c>
      <c r="Q10" s="10" t="s">
        <v>5781</v>
      </c>
      <c r="R10" s="10" t="s">
        <v>5782</v>
      </c>
      <c r="S10" s="10" t="s">
        <v>5783</v>
      </c>
      <c r="T10" s="10" t="s">
        <v>5784</v>
      </c>
      <c r="U10" s="10" t="s">
        <v>5785</v>
      </c>
      <c r="V10" s="10" t="s">
        <v>5786</v>
      </c>
      <c r="W10" s="10" t="s">
        <v>5787</v>
      </c>
      <c r="X10" s="10" t="s">
        <v>5781</v>
      </c>
      <c r="Y10" s="10" t="s">
        <v>5788</v>
      </c>
      <c r="Z10" s="10" t="s">
        <v>5789</v>
      </c>
      <c r="AA10" s="10" t="s">
        <v>5790</v>
      </c>
      <c r="AB10" s="10" t="s">
        <v>5791</v>
      </c>
      <c r="AC10" s="10" t="s">
        <v>5792</v>
      </c>
      <c r="AD10" s="10" t="s">
        <v>5793</v>
      </c>
      <c r="AE10" s="10" t="s">
        <v>5794</v>
      </c>
      <c r="AF10" s="10" t="s">
        <v>5795</v>
      </c>
      <c r="AG10" s="10" t="s">
        <v>5796</v>
      </c>
      <c r="AH10" s="10" t="s">
        <v>5797</v>
      </c>
      <c r="AI10" s="10" t="s">
        <v>5798</v>
      </c>
      <c r="AJ10" s="10" t="s">
        <v>5799</v>
      </c>
      <c r="AK10" s="10" t="s">
        <v>5800</v>
      </c>
      <c r="AL10" s="10" t="s">
        <v>5801</v>
      </c>
      <c r="AM10" s="10" t="s">
        <v>5802</v>
      </c>
      <c r="AN10" s="10" t="s">
        <v>5801</v>
      </c>
      <c r="AO10" s="10" t="s">
        <v>5803</v>
      </c>
      <c r="AP10" s="10" t="s">
        <v>5804</v>
      </c>
      <c r="AQ10" s="10" t="s">
        <v>5805</v>
      </c>
      <c r="AR10" s="10" t="s">
        <v>5806</v>
      </c>
      <c r="AS10" s="10" t="s">
        <v>5807</v>
      </c>
      <c r="AT10" s="10" t="s">
        <v>5801</v>
      </c>
      <c r="AU10" s="10" t="s">
        <v>5808</v>
      </c>
      <c r="AV10" s="10" t="s">
        <v>5801</v>
      </c>
      <c r="AW10" s="10" t="s">
        <v>5809</v>
      </c>
      <c r="AX10" s="10" t="s">
        <v>5807</v>
      </c>
      <c r="AY10" s="10" t="s">
        <v>5801</v>
      </c>
      <c r="AZ10" s="10" t="s">
        <v>5810</v>
      </c>
      <c r="BA10" s="10" t="s">
        <v>5811</v>
      </c>
      <c r="BB10" s="10" t="s">
        <v>5801</v>
      </c>
      <c r="BC10" s="10" t="s">
        <v>5812</v>
      </c>
      <c r="BD10" s="10" t="s">
        <v>5801</v>
      </c>
      <c r="BE10" s="10" t="s">
        <v>5803</v>
      </c>
      <c r="BF10" s="10" t="s">
        <v>5801</v>
      </c>
      <c r="BG10" s="10" t="s">
        <v>5803</v>
      </c>
      <c r="BH10" s="10" t="s">
        <v>5801</v>
      </c>
      <c r="BI10" s="10" t="s">
        <v>5813</v>
      </c>
      <c r="BJ10" s="10" t="s">
        <v>5814</v>
      </c>
      <c r="BK10" s="10" t="s">
        <v>5815</v>
      </c>
      <c r="BL10" s="10" t="s">
        <v>5816</v>
      </c>
      <c r="BM10" s="10" t="s">
        <v>5817</v>
      </c>
      <c r="BN10" s="10" t="s">
        <v>5818</v>
      </c>
    </row>
    <row r="11" ht="15.75" customHeight="1">
      <c r="A11" s="13"/>
      <c r="B11" s="10"/>
      <c r="C11" s="10">
        <v>12.0</v>
      </c>
      <c r="D11" s="10">
        <v>14.0</v>
      </c>
      <c r="E11" s="10">
        <v>12.0</v>
      </c>
      <c r="F11" s="10">
        <v>12.5</v>
      </c>
      <c r="G11" s="10">
        <v>12.0</v>
      </c>
      <c r="H11" s="10">
        <v>13.0</v>
      </c>
      <c r="I11" s="10">
        <v>20.0</v>
      </c>
      <c r="J11" s="10">
        <v>11.5</v>
      </c>
      <c r="K11" s="10">
        <v>14.5</v>
      </c>
      <c r="L11" s="10">
        <v>17.5</v>
      </c>
      <c r="M11" s="10">
        <v>14.5</v>
      </c>
      <c r="N11" s="10">
        <v>16.0</v>
      </c>
      <c r="O11" s="10">
        <v>11.5</v>
      </c>
      <c r="P11" s="10">
        <v>15.0</v>
      </c>
      <c r="Q11" s="10">
        <v>13.0</v>
      </c>
      <c r="R11" s="10">
        <v>11.0</v>
      </c>
      <c r="S11" s="10">
        <v>14.5</v>
      </c>
      <c r="T11" s="10">
        <v>14.5</v>
      </c>
      <c r="U11" s="10">
        <v>11.0</v>
      </c>
      <c r="V11" s="10">
        <v>15.5</v>
      </c>
      <c r="W11" s="10">
        <v>15.0</v>
      </c>
      <c r="X11" s="10">
        <v>15.0</v>
      </c>
      <c r="Y11" s="10">
        <v>14.5</v>
      </c>
      <c r="Z11" s="10">
        <v>14.5</v>
      </c>
      <c r="AA11" s="10">
        <v>10.0</v>
      </c>
      <c r="AB11" s="10">
        <v>14.5</v>
      </c>
      <c r="AC11" s="10">
        <v>16.0</v>
      </c>
      <c r="AD11" s="10">
        <v>17.5</v>
      </c>
      <c r="AE11" s="10">
        <v>17.5</v>
      </c>
      <c r="AF11" s="10">
        <v>14.5</v>
      </c>
      <c r="AG11" s="10">
        <v>15.0</v>
      </c>
      <c r="AH11" s="10">
        <v>16.0</v>
      </c>
      <c r="AI11" s="10">
        <v>18.5</v>
      </c>
      <c r="AJ11" s="10">
        <v>16.0</v>
      </c>
      <c r="AK11" s="10">
        <v>23.5</v>
      </c>
      <c r="AL11" s="10">
        <v>13.0</v>
      </c>
      <c r="AM11" s="10">
        <v>15.0</v>
      </c>
      <c r="AN11" s="10">
        <v>17.0</v>
      </c>
      <c r="AO11" s="10">
        <v>16.0</v>
      </c>
      <c r="AP11" s="10">
        <v>13.0</v>
      </c>
      <c r="AQ11" s="10">
        <v>13.0</v>
      </c>
      <c r="AR11" s="10">
        <v>16.0</v>
      </c>
      <c r="AS11" s="10">
        <v>16.5</v>
      </c>
      <c r="AT11" s="10">
        <v>15.0</v>
      </c>
      <c r="AU11" s="10">
        <v>16.5</v>
      </c>
      <c r="AV11" s="10">
        <v>19.0</v>
      </c>
      <c r="AW11" s="10">
        <v>16.0</v>
      </c>
      <c r="AX11" s="10">
        <v>16.0</v>
      </c>
      <c r="AY11" s="10">
        <v>14.0</v>
      </c>
      <c r="AZ11" s="10">
        <v>14.0</v>
      </c>
      <c r="BA11" s="10">
        <v>16.0</v>
      </c>
      <c r="BB11" s="10">
        <v>14.0</v>
      </c>
      <c r="BC11" s="10">
        <v>12.5</v>
      </c>
      <c r="BD11" s="10">
        <v>14.5</v>
      </c>
      <c r="BE11" s="10">
        <v>15.0</v>
      </c>
      <c r="BF11" s="10">
        <v>14.5</v>
      </c>
      <c r="BG11" s="10">
        <v>14.0</v>
      </c>
      <c r="BH11" s="10">
        <v>14.0</v>
      </c>
      <c r="BI11" s="10">
        <v>15.5</v>
      </c>
      <c r="BJ11" s="10">
        <v>14.5</v>
      </c>
      <c r="BK11" s="10">
        <v>16.0</v>
      </c>
      <c r="BL11" s="10">
        <v>17.0</v>
      </c>
      <c r="BM11" s="10">
        <v>15.0</v>
      </c>
      <c r="BN11" s="10">
        <v>17.5</v>
      </c>
    </row>
    <row r="12" ht="15.75" customHeight="1">
      <c r="A12" s="30">
        <v>45591.0</v>
      </c>
      <c r="B12" s="10" t="s">
        <v>5819</v>
      </c>
      <c r="C12" s="10" t="s">
        <v>5820</v>
      </c>
      <c r="D12" s="10" t="s">
        <v>5821</v>
      </c>
      <c r="E12" s="10" t="s">
        <v>5822</v>
      </c>
      <c r="F12" s="10" t="s">
        <v>5801</v>
      </c>
      <c r="G12" s="10" t="s">
        <v>5823</v>
      </c>
      <c r="H12" s="10" t="s">
        <v>5824</v>
      </c>
      <c r="I12" s="10" t="s">
        <v>267</v>
      </c>
      <c r="J12" s="10" t="s">
        <v>5825</v>
      </c>
      <c r="K12" s="110" t="s">
        <v>5826</v>
      </c>
      <c r="L12" s="184" t="s">
        <v>5827</v>
      </c>
      <c r="M12" s="10" t="s">
        <v>5828</v>
      </c>
      <c r="N12" s="10" t="s">
        <v>5829</v>
      </c>
      <c r="O12" s="10" t="s">
        <v>5830</v>
      </c>
      <c r="P12" s="10" t="s">
        <v>5831</v>
      </c>
      <c r="Q12" s="10" t="s">
        <v>5832</v>
      </c>
      <c r="R12" s="10" t="s">
        <v>5024</v>
      </c>
      <c r="S12" s="110" t="s">
        <v>5833</v>
      </c>
      <c r="T12" s="10" t="s">
        <v>5834</v>
      </c>
      <c r="U12" s="10" t="s">
        <v>5835</v>
      </c>
      <c r="V12" s="10" t="s">
        <v>5836</v>
      </c>
      <c r="W12" s="10" t="s">
        <v>1391</v>
      </c>
      <c r="X12" s="10" t="s">
        <v>5837</v>
      </c>
      <c r="Y12" s="10" t="s">
        <v>5838</v>
      </c>
      <c r="Z12" s="10" t="s">
        <v>1369</v>
      </c>
      <c r="AA12" s="10" t="s">
        <v>5839</v>
      </c>
      <c r="AB12" s="10" t="s">
        <v>5840</v>
      </c>
      <c r="AC12" s="110" t="s">
        <v>5841</v>
      </c>
      <c r="AD12" s="84" t="s">
        <v>5842</v>
      </c>
      <c r="AE12" s="10" t="s">
        <v>1391</v>
      </c>
      <c r="AF12" s="110" t="s">
        <v>5843</v>
      </c>
      <c r="AG12" s="84" t="s">
        <v>5844</v>
      </c>
      <c r="AH12" s="84" t="s">
        <v>5845</v>
      </c>
      <c r="AI12" s="10" t="s">
        <v>5846</v>
      </c>
      <c r="AJ12" s="10" t="s">
        <v>5846</v>
      </c>
      <c r="AK12" s="109" t="s">
        <v>5847</v>
      </c>
      <c r="AL12" s="10" t="s">
        <v>5846</v>
      </c>
      <c r="AM12" s="10" t="s">
        <v>5846</v>
      </c>
      <c r="AN12" s="10" t="s">
        <v>5846</v>
      </c>
      <c r="AO12" s="10" t="s">
        <v>5848</v>
      </c>
      <c r="AP12" s="10" t="s">
        <v>5849</v>
      </c>
      <c r="AQ12" s="10" t="s">
        <v>5846</v>
      </c>
      <c r="AR12" s="184" t="s">
        <v>5850</v>
      </c>
      <c r="AS12" s="10" t="s">
        <v>5846</v>
      </c>
      <c r="AT12" s="10" t="s">
        <v>5846</v>
      </c>
      <c r="AU12" s="10" t="s">
        <v>5851</v>
      </c>
      <c r="AV12" s="10" t="s">
        <v>5852</v>
      </c>
      <c r="AW12" s="10" t="s">
        <v>5851</v>
      </c>
      <c r="AX12" s="10" t="s">
        <v>5851</v>
      </c>
      <c r="AY12" s="10" t="s">
        <v>5846</v>
      </c>
      <c r="AZ12" s="110" t="s">
        <v>5853</v>
      </c>
      <c r="BA12" s="110" t="s">
        <v>5854</v>
      </c>
      <c r="BB12" s="110" t="s">
        <v>5855</v>
      </c>
      <c r="BC12" s="110" t="s">
        <v>5856</v>
      </c>
      <c r="BD12" s="110" t="s">
        <v>5857</v>
      </c>
      <c r="BE12" s="10" t="s">
        <v>5858</v>
      </c>
      <c r="BF12" s="110" t="s">
        <v>5857</v>
      </c>
      <c r="BG12" s="110" t="s">
        <v>5857</v>
      </c>
      <c r="BH12" s="110" t="s">
        <v>5859</v>
      </c>
      <c r="BI12" s="110" t="s">
        <v>5860</v>
      </c>
      <c r="BJ12" s="110" t="s">
        <v>5857</v>
      </c>
      <c r="BK12" s="110" t="s">
        <v>5861</v>
      </c>
      <c r="BL12" s="10" t="s">
        <v>5851</v>
      </c>
      <c r="BM12" s="10" t="s">
        <v>5862</v>
      </c>
      <c r="BN12" s="10" t="s">
        <v>5862</v>
      </c>
    </row>
    <row r="13" ht="15.75" customHeight="1">
      <c r="A13" s="30"/>
      <c r="B13" s="10"/>
      <c r="C13" s="10">
        <v>13.0</v>
      </c>
      <c r="D13" s="10">
        <v>19.0</v>
      </c>
      <c r="E13" s="10">
        <v>12.5</v>
      </c>
      <c r="F13" s="10">
        <v>17.5</v>
      </c>
      <c r="G13" s="10">
        <v>12.5</v>
      </c>
      <c r="H13" s="10">
        <v>14.0</v>
      </c>
      <c r="I13" s="10">
        <v>21.0</v>
      </c>
      <c r="J13" s="10">
        <v>12.0</v>
      </c>
      <c r="K13" s="10">
        <v>10.5</v>
      </c>
      <c r="L13" s="10">
        <v>13.5</v>
      </c>
      <c r="M13" s="10">
        <v>14.75</v>
      </c>
      <c r="N13" s="10">
        <v>18.0</v>
      </c>
      <c r="O13" s="10">
        <v>12.0</v>
      </c>
      <c r="P13" s="10">
        <v>15.5</v>
      </c>
      <c r="Q13" s="10">
        <v>13.5</v>
      </c>
      <c r="R13" s="10">
        <v>11.5</v>
      </c>
      <c r="S13" s="110">
        <v>14.5</v>
      </c>
      <c r="T13" s="10">
        <v>15.0</v>
      </c>
      <c r="U13" s="10">
        <v>11.5</v>
      </c>
      <c r="V13" s="10">
        <v>17.5</v>
      </c>
      <c r="W13" s="10">
        <v>15.5</v>
      </c>
      <c r="X13" s="10">
        <v>15.5</v>
      </c>
      <c r="Y13" s="10">
        <v>15.0</v>
      </c>
      <c r="Z13" s="10">
        <v>15.0</v>
      </c>
      <c r="AA13" s="10">
        <v>10.5</v>
      </c>
      <c r="AB13" s="10">
        <v>15.0</v>
      </c>
      <c r="AC13" s="10">
        <v>12.0</v>
      </c>
      <c r="AD13" s="10">
        <v>13.5</v>
      </c>
      <c r="AE13" s="10">
        <v>18.0</v>
      </c>
      <c r="AF13" s="10">
        <v>12.5</v>
      </c>
      <c r="AG13" s="10">
        <v>13.0</v>
      </c>
      <c r="AH13" s="10">
        <v>13.0</v>
      </c>
      <c r="AI13" s="10">
        <v>19.0</v>
      </c>
      <c r="AJ13" s="10">
        <v>16.5</v>
      </c>
      <c r="AK13" s="109">
        <v>18.5</v>
      </c>
      <c r="AL13" s="10">
        <v>13.5</v>
      </c>
      <c r="AM13" s="10">
        <v>15.5</v>
      </c>
      <c r="AN13" s="10">
        <v>17.5</v>
      </c>
      <c r="AO13" s="10">
        <v>16.5</v>
      </c>
      <c r="AP13" s="10">
        <v>13.5</v>
      </c>
      <c r="AQ13" s="10">
        <v>13.5</v>
      </c>
      <c r="AR13" s="10">
        <v>12.0</v>
      </c>
      <c r="AS13" s="10">
        <v>17.0</v>
      </c>
      <c r="AT13" s="10">
        <v>15.5</v>
      </c>
      <c r="AU13" s="10">
        <v>17.0</v>
      </c>
      <c r="AV13" s="10">
        <v>19.5</v>
      </c>
      <c r="AW13" s="10">
        <v>16.5</v>
      </c>
      <c r="AX13" s="10">
        <v>16.5</v>
      </c>
      <c r="AY13" s="10">
        <v>14.5</v>
      </c>
      <c r="AZ13" s="10">
        <v>10.0</v>
      </c>
      <c r="BA13" s="10">
        <v>12.0</v>
      </c>
      <c r="BB13" s="10">
        <v>12.0</v>
      </c>
      <c r="BC13" s="10">
        <v>10.5</v>
      </c>
      <c r="BD13" s="10">
        <v>12.5</v>
      </c>
      <c r="BE13" s="10">
        <v>15.5</v>
      </c>
      <c r="BF13" s="10">
        <v>12.5</v>
      </c>
      <c r="BG13" s="10">
        <v>12.0</v>
      </c>
      <c r="BH13" s="10">
        <v>12.0</v>
      </c>
      <c r="BI13" s="10">
        <v>13.5</v>
      </c>
      <c r="BJ13" s="10">
        <v>12.5</v>
      </c>
      <c r="BK13" s="10">
        <v>12.0</v>
      </c>
      <c r="BL13" s="10">
        <v>17.5</v>
      </c>
      <c r="BM13" s="10">
        <v>15.5</v>
      </c>
      <c r="BN13" s="10">
        <v>18.0</v>
      </c>
    </row>
    <row r="14" ht="123.0" customHeight="1">
      <c r="A14" s="30">
        <v>45593.0</v>
      </c>
      <c r="B14" s="10" t="s">
        <v>5863</v>
      </c>
      <c r="C14" s="10" t="s">
        <v>5864</v>
      </c>
      <c r="D14" s="10" t="s">
        <v>5865</v>
      </c>
      <c r="E14" s="10" t="s">
        <v>5866</v>
      </c>
      <c r="F14" s="10" t="s">
        <v>5867</v>
      </c>
      <c r="G14" s="10" t="s">
        <v>5868</v>
      </c>
      <c r="H14" s="184" t="s">
        <v>5869</v>
      </c>
      <c r="I14" s="107" t="s">
        <v>5870</v>
      </c>
      <c r="J14" s="10" t="s">
        <v>5871</v>
      </c>
      <c r="K14" s="10" t="s">
        <v>5846</v>
      </c>
      <c r="L14" s="10" t="s">
        <v>5872</v>
      </c>
      <c r="M14" s="10" t="s">
        <v>5873</v>
      </c>
      <c r="N14" s="10" t="s">
        <v>1369</v>
      </c>
      <c r="O14" s="10" t="s">
        <v>5874</v>
      </c>
      <c r="P14" s="10" t="s">
        <v>5875</v>
      </c>
      <c r="Q14" s="10" t="s">
        <v>5876</v>
      </c>
      <c r="R14" s="10" t="s">
        <v>5877</v>
      </c>
      <c r="S14" s="184" t="s">
        <v>5878</v>
      </c>
      <c r="T14" s="10" t="s">
        <v>5879</v>
      </c>
      <c r="U14" s="10" t="s">
        <v>5880</v>
      </c>
      <c r="V14" s="10" t="s">
        <v>5881</v>
      </c>
      <c r="W14" s="184" t="s">
        <v>5882</v>
      </c>
      <c r="X14" s="10" t="s">
        <v>5883</v>
      </c>
      <c r="Y14" s="84" t="s">
        <v>5884</v>
      </c>
      <c r="Z14" s="10" t="s">
        <v>5885</v>
      </c>
      <c r="AA14" s="10" t="s">
        <v>5886</v>
      </c>
      <c r="AB14" s="84" t="s">
        <v>5887</v>
      </c>
      <c r="AC14" s="10" t="s">
        <v>5137</v>
      </c>
      <c r="AD14" s="10" t="s">
        <v>5888</v>
      </c>
      <c r="AE14" s="10" t="s">
        <v>5137</v>
      </c>
      <c r="AF14" s="10" t="s">
        <v>5889</v>
      </c>
      <c r="AG14" s="10" t="s">
        <v>5890</v>
      </c>
      <c r="AH14" s="10" t="s">
        <v>5137</v>
      </c>
      <c r="AI14" s="109" t="s">
        <v>5891</v>
      </c>
      <c r="AJ14" s="10" t="s">
        <v>5892</v>
      </c>
      <c r="AK14" s="109"/>
      <c r="AL14" s="10" t="s">
        <v>5893</v>
      </c>
      <c r="AM14" s="10" t="s">
        <v>5894</v>
      </c>
      <c r="AN14" s="10" t="s">
        <v>5891</v>
      </c>
      <c r="AO14" s="10" t="s">
        <v>5891</v>
      </c>
      <c r="AP14" s="110" t="s">
        <v>5895</v>
      </c>
      <c r="AQ14" s="10" t="s">
        <v>5896</v>
      </c>
      <c r="AR14" s="10" t="s">
        <v>5897</v>
      </c>
      <c r="AS14" s="109" t="s">
        <v>5898</v>
      </c>
      <c r="AT14" s="109" t="s">
        <v>5899</v>
      </c>
      <c r="AU14" s="109" t="s">
        <v>5899</v>
      </c>
      <c r="AV14" s="109" t="s">
        <v>5899</v>
      </c>
      <c r="AW14" s="110" t="s">
        <v>5900</v>
      </c>
      <c r="AX14" s="109" t="s">
        <v>5901</v>
      </c>
      <c r="AY14" s="10" t="s">
        <v>5902</v>
      </c>
      <c r="AZ14" s="10" t="s">
        <v>5902</v>
      </c>
      <c r="BA14" s="10" t="s">
        <v>5903</v>
      </c>
      <c r="BB14" s="10" t="s">
        <v>5904</v>
      </c>
      <c r="BC14" s="10" t="s">
        <v>5891</v>
      </c>
      <c r="BD14" s="10" t="s">
        <v>5905</v>
      </c>
      <c r="BE14" s="84" t="s">
        <v>5906</v>
      </c>
      <c r="BF14" s="10" t="s">
        <v>5907</v>
      </c>
      <c r="BG14" s="10" t="s">
        <v>5908</v>
      </c>
      <c r="BH14" s="10" t="s">
        <v>5891</v>
      </c>
      <c r="BI14" s="10" t="s">
        <v>5891</v>
      </c>
      <c r="BJ14" s="10" t="s">
        <v>5909</v>
      </c>
      <c r="BK14" s="10" t="s">
        <v>5846</v>
      </c>
      <c r="BL14" s="109" t="s">
        <v>5907</v>
      </c>
      <c r="BM14" s="109" t="s">
        <v>5907</v>
      </c>
      <c r="BN14" s="109" t="s">
        <v>5907</v>
      </c>
    </row>
    <row r="15" ht="15.75" customHeight="1">
      <c r="A15" s="30"/>
      <c r="B15" s="10"/>
      <c r="C15" s="10">
        <v>13.25</v>
      </c>
      <c r="D15" s="10">
        <v>19.5</v>
      </c>
      <c r="E15" s="10">
        <v>12.75</v>
      </c>
      <c r="F15" s="10">
        <v>18.25</v>
      </c>
      <c r="G15" s="10">
        <v>12.75</v>
      </c>
      <c r="H15" s="10">
        <v>12.0</v>
      </c>
      <c r="I15" s="107">
        <v>21.25</v>
      </c>
      <c r="J15" s="10">
        <v>12.25</v>
      </c>
      <c r="K15" s="10">
        <v>11.0</v>
      </c>
      <c r="L15" s="10">
        <v>13.75</v>
      </c>
      <c r="M15" s="10">
        <v>15.0</v>
      </c>
      <c r="N15" s="10">
        <v>18.5</v>
      </c>
      <c r="O15" s="10">
        <v>12.25</v>
      </c>
      <c r="P15" s="10">
        <v>16.0</v>
      </c>
      <c r="Q15" s="10">
        <v>13.75</v>
      </c>
      <c r="R15" s="10">
        <v>11.75</v>
      </c>
      <c r="S15" s="10">
        <v>12.5</v>
      </c>
      <c r="T15" s="10">
        <v>15.5</v>
      </c>
      <c r="U15" s="10">
        <v>11.75</v>
      </c>
      <c r="V15" s="10">
        <v>17.75</v>
      </c>
      <c r="W15" s="184">
        <v>11.5</v>
      </c>
      <c r="X15" s="10">
        <v>16.5</v>
      </c>
      <c r="Y15" s="10">
        <v>12.0</v>
      </c>
      <c r="Z15" s="10">
        <v>15.25</v>
      </c>
      <c r="AA15" s="10">
        <v>10.75</v>
      </c>
      <c r="AB15" s="10">
        <v>12.0</v>
      </c>
      <c r="AC15" s="10">
        <v>12.25</v>
      </c>
      <c r="AD15" s="10">
        <v>13.75</v>
      </c>
      <c r="AE15" s="10">
        <v>18.25</v>
      </c>
      <c r="AF15" s="10">
        <v>12.75</v>
      </c>
      <c r="AG15" s="10">
        <v>13.75</v>
      </c>
      <c r="AH15" s="10">
        <v>13.75</v>
      </c>
      <c r="AI15" s="109">
        <v>19.25</v>
      </c>
      <c r="AJ15" s="10">
        <v>16.75</v>
      </c>
      <c r="AK15" s="109">
        <v>18.5</v>
      </c>
      <c r="AL15" s="10">
        <v>14.0</v>
      </c>
      <c r="AM15" s="10">
        <v>16.0</v>
      </c>
      <c r="AN15" s="10">
        <v>17.75</v>
      </c>
      <c r="AO15" s="10">
        <v>16.75</v>
      </c>
      <c r="AP15" s="10">
        <v>11.5</v>
      </c>
      <c r="AQ15" s="10">
        <v>14.0</v>
      </c>
      <c r="AR15" s="10">
        <v>12.5</v>
      </c>
      <c r="AS15" s="109">
        <v>17.5</v>
      </c>
      <c r="AT15" s="109">
        <v>16.0</v>
      </c>
      <c r="AU15" s="109">
        <v>17.5</v>
      </c>
      <c r="AV15" s="109">
        <v>20.0</v>
      </c>
      <c r="AW15" s="10">
        <v>12.5</v>
      </c>
      <c r="AX15" s="109">
        <v>17.0</v>
      </c>
      <c r="AY15" s="10">
        <v>15.0</v>
      </c>
      <c r="AZ15" s="10">
        <v>10.5</v>
      </c>
      <c r="BA15" s="10">
        <v>12.5</v>
      </c>
      <c r="BB15" s="10">
        <v>12.5</v>
      </c>
      <c r="BC15" s="10">
        <v>10.75</v>
      </c>
      <c r="BD15" s="10">
        <v>13.0</v>
      </c>
      <c r="BE15" s="84">
        <v>13.5</v>
      </c>
      <c r="BF15" s="10">
        <v>13.0</v>
      </c>
      <c r="BG15" s="10">
        <v>12.5</v>
      </c>
      <c r="BH15" s="10">
        <v>12.25</v>
      </c>
      <c r="BI15" s="10">
        <v>13.75</v>
      </c>
      <c r="BJ15" s="10">
        <v>12.75</v>
      </c>
      <c r="BK15" s="10">
        <v>12.5</v>
      </c>
      <c r="BL15" s="109">
        <v>18.0</v>
      </c>
      <c r="BM15" s="109">
        <v>16.0</v>
      </c>
      <c r="BN15" s="109">
        <v>18.5</v>
      </c>
    </row>
    <row r="16" ht="15.75" customHeight="1">
      <c r="A16" s="30">
        <v>45594.0</v>
      </c>
      <c r="B16" s="10" t="s">
        <v>5910</v>
      </c>
      <c r="C16" s="10" t="s">
        <v>5911</v>
      </c>
      <c r="D16" s="210" t="s">
        <v>5912</v>
      </c>
      <c r="E16" s="10" t="s">
        <v>5881</v>
      </c>
      <c r="F16" s="10" t="s">
        <v>5913</v>
      </c>
      <c r="G16" s="10" t="s">
        <v>5914</v>
      </c>
      <c r="H16" s="10" t="s">
        <v>5888</v>
      </c>
      <c r="I16" s="210" t="s">
        <v>5915</v>
      </c>
      <c r="J16" s="10" t="s">
        <v>5916</v>
      </c>
      <c r="K16" s="10" t="s">
        <v>598</v>
      </c>
      <c r="L16" s="10" t="s">
        <v>5917</v>
      </c>
      <c r="M16" s="10" t="s">
        <v>5918</v>
      </c>
      <c r="N16" s="10" t="s">
        <v>1369</v>
      </c>
      <c r="O16" s="10" t="s">
        <v>5880</v>
      </c>
      <c r="P16" s="10" t="s">
        <v>5919</v>
      </c>
      <c r="Q16" s="10" t="s">
        <v>5920</v>
      </c>
      <c r="R16" s="10" t="s">
        <v>5921</v>
      </c>
      <c r="S16" s="10" t="s">
        <v>5922</v>
      </c>
      <c r="T16" s="10" t="s">
        <v>5923</v>
      </c>
      <c r="U16" s="10" t="s">
        <v>5924</v>
      </c>
      <c r="V16" s="10" t="s">
        <v>5925</v>
      </c>
      <c r="W16" s="184" t="s">
        <v>5926</v>
      </c>
      <c r="X16" s="10" t="s">
        <v>5024</v>
      </c>
      <c r="Y16" s="10" t="s">
        <v>5927</v>
      </c>
      <c r="Z16" s="10" t="s">
        <v>5928</v>
      </c>
      <c r="AA16" s="10" t="s">
        <v>5929</v>
      </c>
      <c r="AB16" s="10" t="s">
        <v>5930</v>
      </c>
      <c r="AC16" s="10" t="s">
        <v>5931</v>
      </c>
      <c r="AD16" s="10" t="s">
        <v>5931</v>
      </c>
      <c r="AE16" s="10" t="s">
        <v>5137</v>
      </c>
      <c r="AF16" s="10" t="s">
        <v>5932</v>
      </c>
      <c r="AG16" s="10" t="s">
        <v>5932</v>
      </c>
      <c r="AH16" s="10" t="s">
        <v>5933</v>
      </c>
      <c r="AI16" s="10" t="s">
        <v>5934</v>
      </c>
      <c r="AJ16" s="10" t="s">
        <v>5916</v>
      </c>
      <c r="AK16" s="10" t="s">
        <v>5935</v>
      </c>
      <c r="AL16" s="10" t="s">
        <v>5888</v>
      </c>
      <c r="AM16" s="10" t="s">
        <v>5888</v>
      </c>
      <c r="AN16" s="10" t="s">
        <v>5137</v>
      </c>
      <c r="AO16" s="10" t="s">
        <v>5933</v>
      </c>
      <c r="AP16" s="10" t="s">
        <v>5137</v>
      </c>
      <c r="AQ16" s="10" t="s">
        <v>5936</v>
      </c>
      <c r="AR16" s="10" t="s">
        <v>5937</v>
      </c>
      <c r="AS16" s="10" t="s">
        <v>5888</v>
      </c>
      <c r="AT16" s="109" t="s">
        <v>5137</v>
      </c>
      <c r="AU16" s="109" t="s">
        <v>5915</v>
      </c>
      <c r="AV16" s="109" t="s">
        <v>1361</v>
      </c>
      <c r="AW16" s="10" t="s">
        <v>5938</v>
      </c>
      <c r="AX16" s="109" t="s">
        <v>5939</v>
      </c>
      <c r="AY16" s="10" t="s">
        <v>5137</v>
      </c>
      <c r="AZ16" s="10" t="s">
        <v>5940</v>
      </c>
      <c r="BA16" s="10" t="s">
        <v>5941</v>
      </c>
      <c r="BB16" s="10" t="s">
        <v>5888</v>
      </c>
      <c r="BC16" s="10" t="s">
        <v>5881</v>
      </c>
      <c r="BD16" s="10" t="s">
        <v>598</v>
      </c>
      <c r="BE16" s="84" t="s">
        <v>5942</v>
      </c>
      <c r="BF16" s="10" t="s">
        <v>5872</v>
      </c>
      <c r="BG16" s="10" t="s">
        <v>5888</v>
      </c>
      <c r="BH16" s="10" t="s">
        <v>5943</v>
      </c>
      <c r="BI16" s="10" t="s">
        <v>5938</v>
      </c>
      <c r="BJ16" s="10" t="s">
        <v>5938</v>
      </c>
      <c r="BK16" s="10" t="s">
        <v>5938</v>
      </c>
      <c r="BL16" s="10" t="s">
        <v>5938</v>
      </c>
      <c r="BM16" s="10" t="s">
        <v>5938</v>
      </c>
      <c r="BN16" s="10" t="s">
        <v>5938</v>
      </c>
    </row>
    <row r="17" ht="15.75" customHeight="1">
      <c r="A17" s="13"/>
      <c r="B17" s="10"/>
      <c r="C17" s="10">
        <v>13.25</v>
      </c>
      <c r="D17" s="10">
        <v>20.5</v>
      </c>
      <c r="E17" s="10">
        <v>13.0</v>
      </c>
      <c r="F17" s="10">
        <v>18.5</v>
      </c>
      <c r="G17" s="10">
        <v>13.0</v>
      </c>
      <c r="H17" s="10">
        <v>12.25</v>
      </c>
      <c r="I17" s="10">
        <v>21.25</v>
      </c>
      <c r="J17" s="10">
        <v>12.5</v>
      </c>
      <c r="K17" s="10">
        <v>11.0</v>
      </c>
      <c r="L17" s="10">
        <v>13.75</v>
      </c>
      <c r="M17" s="10">
        <v>15.0</v>
      </c>
      <c r="N17" s="10">
        <v>19.0</v>
      </c>
      <c r="O17" s="10">
        <v>12.5</v>
      </c>
      <c r="P17" s="10">
        <v>16.25</v>
      </c>
      <c r="Q17" s="10">
        <v>14.0</v>
      </c>
      <c r="R17" s="10">
        <v>12.0</v>
      </c>
      <c r="S17" s="10">
        <v>12.75</v>
      </c>
      <c r="T17" s="10">
        <v>15.75</v>
      </c>
      <c r="U17" s="10">
        <v>12.0</v>
      </c>
      <c r="V17" s="10"/>
      <c r="W17" s="184">
        <v>11.5</v>
      </c>
      <c r="X17" s="10">
        <v>17.0</v>
      </c>
      <c r="Y17" s="10">
        <v>12.25</v>
      </c>
      <c r="Z17" s="10">
        <v>15.5</v>
      </c>
      <c r="AA17" s="10">
        <v>11.0</v>
      </c>
      <c r="AB17" s="10">
        <v>12.25</v>
      </c>
      <c r="AC17" s="10"/>
      <c r="AD17" s="10"/>
      <c r="AE17" s="10">
        <v>18.5</v>
      </c>
      <c r="AF17" s="10"/>
      <c r="AG17" s="10"/>
      <c r="AH17" s="10">
        <v>13.75</v>
      </c>
      <c r="AI17" s="10">
        <v>19.5</v>
      </c>
      <c r="AJ17" s="10">
        <v>17.0</v>
      </c>
      <c r="AK17" s="10">
        <v>18.75</v>
      </c>
      <c r="AL17" s="10">
        <v>14.25</v>
      </c>
      <c r="AM17" s="10">
        <v>16.25</v>
      </c>
      <c r="AN17" s="10">
        <v>18.0</v>
      </c>
      <c r="AO17" s="10">
        <v>16.75</v>
      </c>
      <c r="AP17" s="10">
        <v>11.75</v>
      </c>
      <c r="AQ17" s="10">
        <v>14.0</v>
      </c>
      <c r="AR17" s="10">
        <v>12.5</v>
      </c>
      <c r="AS17" s="10">
        <v>17.75</v>
      </c>
      <c r="AT17" s="109">
        <v>16.25</v>
      </c>
      <c r="AU17" s="109">
        <v>17.5</v>
      </c>
      <c r="AV17" s="109">
        <v>20.5</v>
      </c>
      <c r="AW17" s="10">
        <v>12.5</v>
      </c>
      <c r="AX17" s="109">
        <v>17.5</v>
      </c>
      <c r="AY17" s="10">
        <v>15.25</v>
      </c>
      <c r="AZ17" s="10">
        <v>10.75</v>
      </c>
      <c r="BA17" s="10">
        <v>12.75</v>
      </c>
      <c r="BB17" s="10">
        <v>12.75</v>
      </c>
      <c r="BC17" s="10">
        <v>11.0</v>
      </c>
      <c r="BD17" s="10">
        <v>13.0</v>
      </c>
      <c r="BE17" s="84">
        <v>13.5</v>
      </c>
      <c r="BF17" s="10">
        <v>13.25</v>
      </c>
      <c r="BG17" s="10">
        <v>12.75</v>
      </c>
      <c r="BH17" s="10">
        <v>12.25</v>
      </c>
      <c r="BI17" s="10">
        <v>13.75</v>
      </c>
      <c r="BJ17" s="10">
        <v>12.75</v>
      </c>
      <c r="BK17" s="10">
        <v>12.5</v>
      </c>
      <c r="BL17" s="10">
        <v>18.0</v>
      </c>
      <c r="BM17" s="10">
        <v>16.0</v>
      </c>
      <c r="BN17" s="10">
        <v>18.5</v>
      </c>
    </row>
    <row r="18" ht="15.75" customHeight="1">
      <c r="A18" s="30">
        <v>45595.0</v>
      </c>
      <c r="B18" s="10"/>
      <c r="C18" s="10" t="s">
        <v>5944</v>
      </c>
      <c r="D18" s="10" t="s">
        <v>5945</v>
      </c>
      <c r="E18" s="10" t="s">
        <v>5946</v>
      </c>
      <c r="F18" s="10" t="s">
        <v>5947</v>
      </c>
      <c r="G18" s="10" t="s">
        <v>5948</v>
      </c>
      <c r="H18" s="10" t="s">
        <v>5949</v>
      </c>
      <c r="I18" s="10" t="s">
        <v>5950</v>
      </c>
      <c r="J18" s="10" t="s">
        <v>5198</v>
      </c>
      <c r="K18" s="10" t="s">
        <v>5951</v>
      </c>
      <c r="L18" s="10" t="s">
        <v>5952</v>
      </c>
      <c r="M18" s="10" t="s">
        <v>5198</v>
      </c>
      <c r="N18" s="10" t="s">
        <v>5953</v>
      </c>
      <c r="O18" s="10" t="s">
        <v>5954</v>
      </c>
      <c r="P18" s="10" t="s">
        <v>5955</v>
      </c>
      <c r="Q18" s="109" t="s">
        <v>5956</v>
      </c>
      <c r="R18" s="10" t="s">
        <v>5957</v>
      </c>
      <c r="S18" s="10" t="s">
        <v>5958</v>
      </c>
      <c r="T18" s="10" t="s">
        <v>5959</v>
      </c>
      <c r="U18" s="10" t="s">
        <v>5960</v>
      </c>
      <c r="V18" s="10" t="s">
        <v>5961</v>
      </c>
      <c r="W18" s="184" t="s">
        <v>5962</v>
      </c>
      <c r="X18" s="10" t="s">
        <v>5963</v>
      </c>
      <c r="Y18" s="179" t="s">
        <v>5964</v>
      </c>
      <c r="Z18" s="10" t="s">
        <v>5965</v>
      </c>
      <c r="AA18" s="10" t="s">
        <v>5966</v>
      </c>
      <c r="AB18" s="10" t="s">
        <v>5967</v>
      </c>
      <c r="AC18" s="10" t="s">
        <v>5968</v>
      </c>
      <c r="AD18" s="10" t="s">
        <v>5968</v>
      </c>
      <c r="AE18" s="10" t="s">
        <v>5969</v>
      </c>
      <c r="AF18" s="10" t="s">
        <v>5970</v>
      </c>
      <c r="AG18" s="10" t="s">
        <v>5971</v>
      </c>
      <c r="AH18" s="84" t="s">
        <v>5972</v>
      </c>
      <c r="AI18" s="10" t="s">
        <v>5973</v>
      </c>
      <c r="AJ18" s="10" t="s">
        <v>5974</v>
      </c>
      <c r="AK18" s="10" t="s">
        <v>5975</v>
      </c>
      <c r="AL18" s="10" t="s">
        <v>5976</v>
      </c>
      <c r="AM18" s="10" t="s">
        <v>5977</v>
      </c>
      <c r="AN18" s="10" t="s">
        <v>5978</v>
      </c>
      <c r="AO18" s="10" t="s">
        <v>5979</v>
      </c>
      <c r="AP18" s="170" t="s">
        <v>5980</v>
      </c>
      <c r="AQ18" s="10" t="s">
        <v>5981</v>
      </c>
      <c r="AR18" s="184" t="s">
        <v>5982</v>
      </c>
      <c r="AS18" s="10" t="s">
        <v>5983</v>
      </c>
      <c r="AT18" s="109" t="s">
        <v>5984</v>
      </c>
      <c r="AU18" s="109" t="s">
        <v>5976</v>
      </c>
      <c r="AV18" s="109" t="s">
        <v>5985</v>
      </c>
      <c r="AW18" s="10" t="s">
        <v>5986</v>
      </c>
      <c r="AX18" s="109" t="s">
        <v>5987</v>
      </c>
      <c r="AY18" s="10" t="s">
        <v>5988</v>
      </c>
      <c r="AZ18" s="10" t="s">
        <v>5989</v>
      </c>
      <c r="BA18" s="10" t="s">
        <v>5990</v>
      </c>
      <c r="BB18" s="10" t="s">
        <v>5991</v>
      </c>
      <c r="BC18" s="10" t="s">
        <v>5992</v>
      </c>
      <c r="BD18" s="10" t="s">
        <v>5988</v>
      </c>
      <c r="BE18" s="184" t="s">
        <v>5993</v>
      </c>
      <c r="BF18" s="10" t="s">
        <v>5994</v>
      </c>
      <c r="BG18" s="10" t="s">
        <v>5995</v>
      </c>
      <c r="BH18" s="10" t="s">
        <v>5996</v>
      </c>
      <c r="BI18" s="10" t="s">
        <v>5997</v>
      </c>
      <c r="BJ18" s="10" t="s">
        <v>5998</v>
      </c>
      <c r="BK18" s="10" t="s">
        <v>5999</v>
      </c>
      <c r="BL18" s="10" t="s">
        <v>6000</v>
      </c>
      <c r="BM18" s="10" t="s">
        <v>6001</v>
      </c>
      <c r="BN18" s="10" t="s">
        <v>6002</v>
      </c>
    </row>
    <row r="19" ht="15.75" customHeight="1">
      <c r="A19" s="13"/>
      <c r="B19" s="10"/>
      <c r="C19" s="10"/>
      <c r="D19" s="10"/>
      <c r="E19" s="10"/>
      <c r="F19" s="10"/>
      <c r="G19" s="10"/>
      <c r="H19" s="10"/>
      <c r="I19" s="10"/>
      <c r="J19" s="10"/>
      <c r="K19" s="10"/>
      <c r="L19" s="10"/>
      <c r="M19" s="10"/>
      <c r="N19" s="10"/>
      <c r="O19" s="10"/>
      <c r="P19" s="10"/>
      <c r="Q19" s="109"/>
      <c r="R19" s="10"/>
      <c r="S19" s="10"/>
      <c r="T19" s="10"/>
      <c r="U19" s="10"/>
      <c r="V19" s="10"/>
      <c r="W19" s="10"/>
      <c r="X19" s="10"/>
      <c r="Y19" s="10"/>
      <c r="Z19" s="10"/>
      <c r="AA19" s="10"/>
      <c r="AB19" s="10"/>
      <c r="AC19" s="10"/>
      <c r="AD19" s="10"/>
      <c r="AE19" s="10"/>
      <c r="AF19" s="10"/>
      <c r="AG19" s="10"/>
      <c r="AH19" s="84"/>
      <c r="AI19" s="10"/>
      <c r="AJ19" s="10"/>
      <c r="AK19" s="10"/>
      <c r="AL19" s="10"/>
      <c r="AM19" s="10"/>
      <c r="AN19" s="10"/>
      <c r="AO19" s="10"/>
      <c r="AP19" s="10"/>
      <c r="AQ19" s="10"/>
      <c r="AR19" s="10"/>
      <c r="AS19" s="10"/>
      <c r="AT19" s="109"/>
      <c r="AU19" s="109"/>
      <c r="AV19" s="109"/>
      <c r="AW19" s="10"/>
      <c r="AX19" s="109"/>
      <c r="AY19" s="10"/>
      <c r="AZ19" s="10"/>
      <c r="BA19" s="10"/>
      <c r="BB19" s="10"/>
      <c r="BC19" s="10"/>
      <c r="BD19" s="10"/>
      <c r="BE19" s="10"/>
      <c r="BF19" s="10"/>
      <c r="BG19" s="10"/>
      <c r="BH19" s="10"/>
      <c r="BI19" s="10"/>
      <c r="BJ19" s="10"/>
      <c r="BK19" s="10"/>
      <c r="BL19" s="10"/>
      <c r="BM19" s="10"/>
      <c r="BN19" s="10"/>
    </row>
    <row r="20" ht="15.75" customHeight="1">
      <c r="A20" s="30">
        <v>45596.0</v>
      </c>
      <c r="B20" s="10"/>
      <c r="C20" s="10" t="s">
        <v>6003</v>
      </c>
      <c r="D20" s="109" t="s">
        <v>6004</v>
      </c>
      <c r="E20" s="10" t="s">
        <v>6005</v>
      </c>
      <c r="F20" s="10" t="s">
        <v>6006</v>
      </c>
      <c r="G20" s="10" t="s">
        <v>6007</v>
      </c>
      <c r="H20" s="84" t="s">
        <v>6008</v>
      </c>
      <c r="I20" s="10" t="s">
        <v>6009</v>
      </c>
      <c r="J20" s="10" t="s">
        <v>670</v>
      </c>
      <c r="K20" s="10" t="s">
        <v>6010</v>
      </c>
      <c r="L20" s="10" t="s">
        <v>6011</v>
      </c>
      <c r="M20" s="84" t="s">
        <v>6012</v>
      </c>
      <c r="N20" s="109" t="s">
        <v>6013</v>
      </c>
      <c r="O20" s="10" t="s">
        <v>6014</v>
      </c>
      <c r="P20" s="109" t="s">
        <v>6015</v>
      </c>
      <c r="Q20" s="109" t="s">
        <v>6016</v>
      </c>
      <c r="R20" s="10" t="s">
        <v>6017</v>
      </c>
      <c r="S20" s="84" t="s">
        <v>6018</v>
      </c>
      <c r="T20" s="10" t="s">
        <v>6019</v>
      </c>
      <c r="U20" s="10" t="s">
        <v>6020</v>
      </c>
      <c r="V20" s="10" t="s">
        <v>6021</v>
      </c>
      <c r="W20" s="184" t="s">
        <v>6022</v>
      </c>
      <c r="X20" s="10" t="s">
        <v>6023</v>
      </c>
      <c r="Y20" s="179" t="s">
        <v>6024</v>
      </c>
      <c r="Z20" s="10" t="s">
        <v>6025</v>
      </c>
      <c r="AA20" s="10" t="s">
        <v>6026</v>
      </c>
      <c r="AB20" s="10" t="s">
        <v>779</v>
      </c>
      <c r="AC20" s="10" t="s">
        <v>6027</v>
      </c>
      <c r="AD20" s="10" t="s">
        <v>6028</v>
      </c>
      <c r="AE20" s="179" t="s">
        <v>6029</v>
      </c>
      <c r="AF20" s="10" t="s">
        <v>6030</v>
      </c>
      <c r="AG20" s="10" t="s">
        <v>6031</v>
      </c>
      <c r="AH20" s="84" t="s">
        <v>6011</v>
      </c>
      <c r="AI20" s="109" t="s">
        <v>6032</v>
      </c>
      <c r="AJ20" s="109" t="s">
        <v>6033</v>
      </c>
      <c r="AK20" s="109" t="s">
        <v>6034</v>
      </c>
      <c r="AL20" s="109" t="s">
        <v>6035</v>
      </c>
      <c r="AM20" s="109" t="s">
        <v>6036</v>
      </c>
      <c r="AN20" s="109" t="s">
        <v>6037</v>
      </c>
      <c r="AO20" s="10" t="s">
        <v>6038</v>
      </c>
      <c r="AP20" s="170" t="s">
        <v>6039</v>
      </c>
      <c r="AQ20" s="170" t="s">
        <v>6040</v>
      </c>
      <c r="AR20" s="84" t="s">
        <v>6041</v>
      </c>
      <c r="AS20" s="109" t="s">
        <v>6042</v>
      </c>
      <c r="AT20" s="109" t="s">
        <v>6043</v>
      </c>
      <c r="AU20" s="109" t="s">
        <v>6044</v>
      </c>
      <c r="AV20" s="109" t="s">
        <v>6045</v>
      </c>
      <c r="AW20" s="10" t="s">
        <v>6046</v>
      </c>
      <c r="AX20" s="109" t="s">
        <v>6047</v>
      </c>
      <c r="AY20" s="109" t="s">
        <v>6048</v>
      </c>
      <c r="AZ20" s="10" t="s">
        <v>6049</v>
      </c>
      <c r="BA20" s="10" t="s">
        <v>6050</v>
      </c>
      <c r="BB20" s="109" t="s">
        <v>6051</v>
      </c>
      <c r="BC20" s="10" t="s">
        <v>6052</v>
      </c>
      <c r="BD20" s="10" t="s">
        <v>6053</v>
      </c>
      <c r="BE20" s="84" t="s">
        <v>6054</v>
      </c>
      <c r="BF20" s="10" t="s">
        <v>6055</v>
      </c>
      <c r="BG20" s="10" t="s">
        <v>6056</v>
      </c>
      <c r="BH20" s="10" t="s">
        <v>6057</v>
      </c>
      <c r="BI20" s="84" t="s">
        <v>6058</v>
      </c>
      <c r="BJ20" s="10" t="s">
        <v>6059</v>
      </c>
      <c r="BK20" s="10" t="s">
        <v>6060</v>
      </c>
      <c r="BL20" s="170" t="s">
        <v>6061</v>
      </c>
      <c r="BM20" s="170" t="s">
        <v>6062</v>
      </c>
      <c r="BN20" s="10" t="s">
        <v>6063</v>
      </c>
    </row>
    <row r="21" ht="15.75" customHeight="1">
      <c r="A21" s="13"/>
      <c r="B21" s="10"/>
      <c r="C21" s="10"/>
      <c r="D21" s="109"/>
      <c r="E21" s="10"/>
      <c r="F21" s="10"/>
      <c r="G21" s="10"/>
      <c r="H21" s="10"/>
      <c r="I21" s="10"/>
      <c r="J21" s="10"/>
      <c r="K21" s="10"/>
      <c r="L21" s="10"/>
      <c r="M21" s="84"/>
      <c r="N21" s="109"/>
      <c r="O21" s="10"/>
      <c r="P21" s="109"/>
      <c r="Q21" s="109"/>
      <c r="R21" s="10"/>
      <c r="S21" s="84"/>
      <c r="T21" s="10"/>
      <c r="U21" s="10"/>
      <c r="V21" s="10"/>
      <c r="W21" s="10"/>
      <c r="X21" s="10"/>
      <c r="Y21" s="10"/>
      <c r="Z21" s="10"/>
      <c r="AA21" s="10"/>
      <c r="AB21" s="10"/>
      <c r="AC21" s="10"/>
      <c r="AD21" s="10"/>
      <c r="AE21" s="10"/>
      <c r="AF21" s="10"/>
      <c r="AG21" s="10"/>
      <c r="AH21" s="84"/>
      <c r="AI21" s="109"/>
      <c r="AJ21" s="109"/>
      <c r="AK21" s="109"/>
      <c r="AL21" s="109"/>
      <c r="AM21" s="109"/>
      <c r="AN21" s="109"/>
      <c r="AO21" s="10"/>
      <c r="AP21" s="170"/>
      <c r="AQ21" s="10"/>
      <c r="AR21" s="10"/>
      <c r="AS21" s="109"/>
      <c r="AT21" s="109"/>
      <c r="AU21" s="109"/>
      <c r="AV21" s="109"/>
      <c r="AW21" s="10"/>
      <c r="AX21" s="109"/>
      <c r="AY21" s="109"/>
      <c r="AZ21" s="10"/>
      <c r="BA21" s="10"/>
      <c r="BB21" s="109"/>
      <c r="BC21" s="10"/>
      <c r="BD21" s="10"/>
      <c r="BE21" s="10"/>
      <c r="BF21" s="10"/>
      <c r="BG21" s="10"/>
      <c r="BH21" s="10"/>
      <c r="BI21" s="10"/>
      <c r="BJ21" s="10"/>
      <c r="BK21" s="10"/>
      <c r="BL21" s="10"/>
      <c r="BM21" s="10"/>
      <c r="BN21" s="10"/>
    </row>
    <row r="22" ht="15.75" customHeight="1">
      <c r="A22" s="30">
        <v>45597.0</v>
      </c>
      <c r="B22" s="10"/>
      <c r="C22" s="84" t="s">
        <v>6064</v>
      </c>
      <c r="D22" s="109" t="s">
        <v>6065</v>
      </c>
      <c r="E22" s="184" t="s">
        <v>6066</v>
      </c>
      <c r="F22" s="186" t="s">
        <v>6067</v>
      </c>
      <c r="G22" s="10" t="s">
        <v>6068</v>
      </c>
      <c r="H22" s="10" t="s">
        <v>5198</v>
      </c>
      <c r="I22" s="186" t="s">
        <v>6069</v>
      </c>
      <c r="J22" s="10" t="s">
        <v>6070</v>
      </c>
      <c r="K22" s="10" t="s">
        <v>6071</v>
      </c>
      <c r="L22" s="84" t="s">
        <v>6072</v>
      </c>
      <c r="M22" s="84" t="s">
        <v>6073</v>
      </c>
      <c r="N22" s="109" t="s">
        <v>6074</v>
      </c>
      <c r="O22" s="10" t="s">
        <v>6075</v>
      </c>
      <c r="P22" s="109" t="s">
        <v>6076</v>
      </c>
      <c r="Q22" s="109" t="s">
        <v>6077</v>
      </c>
      <c r="R22" s="109" t="s">
        <v>6078</v>
      </c>
      <c r="S22" s="84" t="s">
        <v>5198</v>
      </c>
      <c r="T22" s="10" t="s">
        <v>6079</v>
      </c>
      <c r="U22" s="84" t="s">
        <v>1607</v>
      </c>
      <c r="V22" s="10" t="s">
        <v>6080</v>
      </c>
      <c r="W22" s="184" t="s">
        <v>6081</v>
      </c>
      <c r="X22" s="10" t="s">
        <v>6082</v>
      </c>
      <c r="Y22" s="10" t="s">
        <v>6083</v>
      </c>
      <c r="Z22" s="10" t="s">
        <v>6084</v>
      </c>
      <c r="AA22" s="10" t="s">
        <v>6085</v>
      </c>
      <c r="AB22" s="10" t="s">
        <v>6086</v>
      </c>
      <c r="AC22" s="84" t="s">
        <v>6087</v>
      </c>
      <c r="AD22" s="10" t="s">
        <v>6088</v>
      </c>
      <c r="AE22" s="10" t="s">
        <v>6089</v>
      </c>
      <c r="AF22" s="10" t="s">
        <v>6090</v>
      </c>
      <c r="AG22" s="10" t="s">
        <v>6090</v>
      </c>
      <c r="AH22" s="184" t="s">
        <v>6091</v>
      </c>
      <c r="AI22" s="109" t="s">
        <v>6092</v>
      </c>
      <c r="AJ22" s="109" t="s">
        <v>6093</v>
      </c>
      <c r="AK22" s="109" t="s">
        <v>6092</v>
      </c>
      <c r="AL22" s="109" t="s">
        <v>6092</v>
      </c>
      <c r="AM22" s="109" t="s">
        <v>6094</v>
      </c>
      <c r="AN22" s="109" t="s">
        <v>6095</v>
      </c>
      <c r="AO22" s="10" t="s">
        <v>6096</v>
      </c>
      <c r="AP22" s="170" t="s">
        <v>6097</v>
      </c>
      <c r="AQ22" s="109" t="s">
        <v>6098</v>
      </c>
      <c r="AR22" s="184" t="s">
        <v>6099</v>
      </c>
      <c r="AS22" s="109" t="s">
        <v>6100</v>
      </c>
      <c r="AT22" s="109" t="s">
        <v>6101</v>
      </c>
      <c r="AU22" s="109" t="s">
        <v>6102</v>
      </c>
      <c r="AV22" s="109" t="s">
        <v>6103</v>
      </c>
      <c r="AW22" s="10" t="s">
        <v>6104</v>
      </c>
      <c r="AX22" s="109" t="s">
        <v>6105</v>
      </c>
      <c r="AY22" s="109" t="s">
        <v>6106</v>
      </c>
      <c r="AZ22" s="10" t="s">
        <v>6107</v>
      </c>
      <c r="BA22" s="10" t="s">
        <v>6108</v>
      </c>
      <c r="BB22" s="109" t="s">
        <v>6109</v>
      </c>
      <c r="BC22" s="10" t="s">
        <v>6110</v>
      </c>
      <c r="BD22" s="109" t="s">
        <v>6111</v>
      </c>
      <c r="BE22" s="184" t="s">
        <v>6112</v>
      </c>
      <c r="BF22" s="170" t="s">
        <v>6113</v>
      </c>
      <c r="BG22" s="109" t="s">
        <v>6114</v>
      </c>
      <c r="BH22" s="10" t="s">
        <v>6115</v>
      </c>
      <c r="BI22" s="184" t="s">
        <v>6116</v>
      </c>
      <c r="BJ22" s="184" t="s">
        <v>6117</v>
      </c>
      <c r="BK22" s="10" t="s">
        <v>6118</v>
      </c>
      <c r="BL22" s="109" t="s">
        <v>6119</v>
      </c>
      <c r="BM22" s="109" t="s">
        <v>6120</v>
      </c>
      <c r="BN22" s="109" t="s">
        <v>6121</v>
      </c>
    </row>
    <row r="23" ht="15.75" customHeight="1">
      <c r="A23" s="30">
        <v>45598.0</v>
      </c>
      <c r="B23" s="10" t="s">
        <v>6122</v>
      </c>
      <c r="C23" s="84" t="s">
        <v>6123</v>
      </c>
      <c r="D23" s="109" t="s">
        <v>6124</v>
      </c>
      <c r="E23" s="184" t="s">
        <v>6125</v>
      </c>
      <c r="F23" s="155" t="s">
        <v>6126</v>
      </c>
      <c r="G23" s="10" t="s">
        <v>6127</v>
      </c>
      <c r="H23" s="10" t="s">
        <v>6128</v>
      </c>
      <c r="I23" s="10" t="s">
        <v>6129</v>
      </c>
      <c r="J23" s="84" t="s">
        <v>6130</v>
      </c>
      <c r="K23" s="10" t="s">
        <v>6131</v>
      </c>
      <c r="L23" s="184" t="s">
        <v>6132</v>
      </c>
      <c r="M23" s="184" t="s">
        <v>6133</v>
      </c>
      <c r="N23" s="109" t="s">
        <v>6134</v>
      </c>
      <c r="O23" s="10" t="s">
        <v>6135</v>
      </c>
      <c r="P23" s="109" t="s">
        <v>6136</v>
      </c>
      <c r="Q23" s="109" t="s">
        <v>6137</v>
      </c>
      <c r="R23" s="109" t="s">
        <v>6138</v>
      </c>
      <c r="S23" s="84" t="s">
        <v>6139</v>
      </c>
      <c r="T23" s="109" t="s">
        <v>6140</v>
      </c>
      <c r="U23" s="10" t="s">
        <v>6141</v>
      </c>
      <c r="V23" s="109" t="s">
        <v>6142</v>
      </c>
      <c r="W23" s="84" t="s">
        <v>6143</v>
      </c>
      <c r="X23" s="109" t="s">
        <v>6144</v>
      </c>
      <c r="Y23" s="184" t="s">
        <v>6145</v>
      </c>
      <c r="Z23" s="109" t="s">
        <v>6146</v>
      </c>
      <c r="AA23" s="10" t="s">
        <v>6147</v>
      </c>
      <c r="AB23" s="10" t="s">
        <v>6148</v>
      </c>
      <c r="AC23" s="184" t="s">
        <v>6149</v>
      </c>
      <c r="AD23" s="10" t="s">
        <v>6150</v>
      </c>
      <c r="AE23" s="10" t="s">
        <v>6151</v>
      </c>
      <c r="AF23" s="10" t="s">
        <v>6152</v>
      </c>
      <c r="AG23" s="10" t="s">
        <v>6153</v>
      </c>
      <c r="AH23" s="84" t="s">
        <v>6154</v>
      </c>
      <c r="AI23" s="109" t="s">
        <v>6155</v>
      </c>
      <c r="AJ23" s="109" t="s">
        <v>6156</v>
      </c>
      <c r="AK23" s="109" t="s">
        <v>6157</v>
      </c>
      <c r="AL23" s="109" t="s">
        <v>6158</v>
      </c>
      <c r="AM23" s="109" t="s">
        <v>6159</v>
      </c>
      <c r="AN23" s="109" t="s">
        <v>6160</v>
      </c>
      <c r="AO23" s="10" t="s">
        <v>6161</v>
      </c>
      <c r="AP23" s="10" t="s">
        <v>6162</v>
      </c>
      <c r="AQ23" s="109" t="s">
        <v>6163</v>
      </c>
      <c r="AR23" s="184" t="s">
        <v>6164</v>
      </c>
      <c r="AS23" s="109" t="s">
        <v>6165</v>
      </c>
      <c r="AT23" s="109" t="s">
        <v>6166</v>
      </c>
      <c r="AU23" s="109" t="s">
        <v>6167</v>
      </c>
      <c r="AV23" s="109" t="s">
        <v>6160</v>
      </c>
      <c r="AW23" s="10" t="s">
        <v>6168</v>
      </c>
      <c r="AX23" s="109" t="s">
        <v>6169</v>
      </c>
      <c r="AY23" s="109" t="s">
        <v>6170</v>
      </c>
      <c r="AZ23" s="10" t="s">
        <v>6171</v>
      </c>
      <c r="BA23" s="10" t="s">
        <v>6172</v>
      </c>
      <c r="BB23" s="109" t="s">
        <v>6173</v>
      </c>
      <c r="BC23" s="10" t="s">
        <v>6174</v>
      </c>
      <c r="BD23" s="109" t="s">
        <v>6173</v>
      </c>
      <c r="BE23" s="184" t="s">
        <v>6175</v>
      </c>
      <c r="BF23" s="170" t="s">
        <v>6176</v>
      </c>
      <c r="BG23" s="109" t="s">
        <v>6177</v>
      </c>
      <c r="BH23" s="10" t="s">
        <v>6178</v>
      </c>
      <c r="BI23" s="184" t="s">
        <v>6179</v>
      </c>
      <c r="BJ23" s="184" t="s">
        <v>6172</v>
      </c>
      <c r="BK23" s="10" t="s">
        <v>6152</v>
      </c>
      <c r="BL23" s="109" t="s">
        <v>6180</v>
      </c>
      <c r="BM23" s="109" t="s">
        <v>6180</v>
      </c>
      <c r="BN23" s="109" t="s">
        <v>6181</v>
      </c>
    </row>
    <row r="24" ht="15.75" customHeight="1">
      <c r="A24" s="30">
        <v>45600.0</v>
      </c>
      <c r="B24" s="10"/>
      <c r="C24" s="184" t="s">
        <v>6182</v>
      </c>
      <c r="D24" s="109" t="s">
        <v>5112</v>
      </c>
      <c r="E24" s="184" t="s">
        <v>6183</v>
      </c>
      <c r="F24" s="155" t="s">
        <v>6184</v>
      </c>
      <c r="G24" s="84" t="s">
        <v>6185</v>
      </c>
      <c r="H24" s="84" t="s">
        <v>6186</v>
      </c>
      <c r="I24" s="179" t="s">
        <v>6187</v>
      </c>
      <c r="J24" s="84" t="s">
        <v>6188</v>
      </c>
      <c r="K24" s="10" t="s">
        <v>6189</v>
      </c>
      <c r="L24" s="184" t="s">
        <v>6190</v>
      </c>
      <c r="M24" s="184" t="s">
        <v>6191</v>
      </c>
      <c r="N24" s="109" t="s">
        <v>260</v>
      </c>
      <c r="O24" s="84" t="s">
        <v>6192</v>
      </c>
      <c r="P24" s="109" t="s">
        <v>6193</v>
      </c>
      <c r="Q24" s="109" t="s">
        <v>6194</v>
      </c>
      <c r="R24" s="109" t="s">
        <v>6195</v>
      </c>
      <c r="S24" s="84" t="s">
        <v>6196</v>
      </c>
      <c r="T24" s="109" t="s">
        <v>6197</v>
      </c>
      <c r="U24" s="184" t="s">
        <v>6198</v>
      </c>
      <c r="V24" s="109" t="s">
        <v>6195</v>
      </c>
      <c r="W24" s="84" t="s">
        <v>6199</v>
      </c>
      <c r="X24" s="109" t="s">
        <v>6200</v>
      </c>
      <c r="Y24" s="184" t="s">
        <v>6201</v>
      </c>
      <c r="Z24" s="109" t="s">
        <v>6202</v>
      </c>
      <c r="AA24" s="184" t="s">
        <v>6203</v>
      </c>
      <c r="AB24" s="184" t="s">
        <v>6204</v>
      </c>
      <c r="AC24" s="184" t="s">
        <v>6205</v>
      </c>
      <c r="AD24" s="184" t="s">
        <v>6206</v>
      </c>
      <c r="AE24" s="10" t="s">
        <v>6207</v>
      </c>
      <c r="AF24" s="84" t="s">
        <v>6208</v>
      </c>
      <c r="AG24" s="10" t="s">
        <v>6209</v>
      </c>
      <c r="AH24" s="84" t="s">
        <v>6210</v>
      </c>
      <c r="AI24" s="109" t="s">
        <v>6211</v>
      </c>
      <c r="AJ24" s="109" t="s">
        <v>6156</v>
      </c>
      <c r="AK24" s="109" t="s">
        <v>6212</v>
      </c>
      <c r="AL24" s="109" t="s">
        <v>6213</v>
      </c>
      <c r="AM24" s="109" t="s">
        <v>6214</v>
      </c>
      <c r="AN24" s="109" t="s">
        <v>6215</v>
      </c>
      <c r="AO24" s="10" t="s">
        <v>6216</v>
      </c>
      <c r="AP24" s="10" t="s">
        <v>6217</v>
      </c>
      <c r="AQ24" s="109" t="s">
        <v>6218</v>
      </c>
      <c r="AR24" s="184" t="s">
        <v>6219</v>
      </c>
      <c r="AS24" s="109" t="s">
        <v>6220</v>
      </c>
      <c r="AT24" s="109" t="s">
        <v>6221</v>
      </c>
      <c r="AU24" s="109" t="s">
        <v>6197</v>
      </c>
      <c r="AV24" s="109" t="s">
        <v>6222</v>
      </c>
      <c r="AW24" s="84" t="s">
        <v>6223</v>
      </c>
      <c r="AX24" s="109" t="s">
        <v>6224</v>
      </c>
      <c r="AY24" s="109" t="s">
        <v>6225</v>
      </c>
      <c r="AZ24" s="10" t="s">
        <v>6226</v>
      </c>
      <c r="BA24" s="84" t="s">
        <v>6208</v>
      </c>
      <c r="BB24" s="109" t="s">
        <v>6227</v>
      </c>
      <c r="BC24" s="10" t="s">
        <v>6228</v>
      </c>
      <c r="BD24" s="109" t="s">
        <v>6229</v>
      </c>
      <c r="BE24" s="184" t="s">
        <v>6230</v>
      </c>
      <c r="BF24" s="170" t="s">
        <v>6231</v>
      </c>
      <c r="BG24" s="109" t="s">
        <v>6220</v>
      </c>
      <c r="BH24" s="10" t="s">
        <v>6232</v>
      </c>
      <c r="BI24" s="184" t="s">
        <v>6233</v>
      </c>
      <c r="BJ24" s="184" t="s">
        <v>6234</v>
      </c>
      <c r="BK24" s="10" t="s">
        <v>6235</v>
      </c>
      <c r="BL24" s="109" t="s">
        <v>6236</v>
      </c>
      <c r="BM24" s="109" t="s">
        <v>6236</v>
      </c>
      <c r="BN24" s="109" t="s">
        <v>6237</v>
      </c>
    </row>
    <row r="25" ht="15.75" customHeight="1">
      <c r="A25" s="30">
        <v>45601.0</v>
      </c>
      <c r="B25" s="10"/>
      <c r="C25" s="184" t="s">
        <v>6238</v>
      </c>
      <c r="D25" s="108"/>
      <c r="E25" s="184" t="s">
        <v>6239</v>
      </c>
      <c r="F25" s="10" t="s">
        <v>6240</v>
      </c>
      <c r="G25" s="184" t="s">
        <v>6241</v>
      </c>
      <c r="H25" s="184" t="s">
        <v>6242</v>
      </c>
      <c r="I25" s="155" t="s">
        <v>6243</v>
      </c>
      <c r="J25" s="84" t="s">
        <v>6244</v>
      </c>
      <c r="K25" s="10" t="s">
        <v>6245</v>
      </c>
      <c r="L25" s="184" t="s">
        <v>6246</v>
      </c>
      <c r="M25" s="184" t="s">
        <v>6247</v>
      </c>
      <c r="N25" s="108"/>
      <c r="O25" s="184" t="s">
        <v>6248</v>
      </c>
      <c r="P25" s="108"/>
      <c r="Q25" s="108"/>
      <c r="R25" s="108"/>
      <c r="S25" s="84" t="s">
        <v>6249</v>
      </c>
      <c r="T25" s="108"/>
      <c r="U25" s="184" t="s">
        <v>6250</v>
      </c>
      <c r="V25" s="108"/>
      <c r="W25" s="84" t="s">
        <v>6251</v>
      </c>
      <c r="X25" s="108"/>
      <c r="Y25" s="184" t="s">
        <v>6252</v>
      </c>
      <c r="Z25" s="108"/>
      <c r="AA25" s="184" t="s">
        <v>6253</v>
      </c>
      <c r="AB25" s="184" t="s">
        <v>6254</v>
      </c>
      <c r="AC25" s="184" t="s">
        <v>6255</v>
      </c>
      <c r="AD25" s="184" t="s">
        <v>6256</v>
      </c>
      <c r="AE25" s="10" t="s">
        <v>6257</v>
      </c>
      <c r="AF25" s="84" t="s">
        <v>6258</v>
      </c>
      <c r="AG25" s="184" t="s">
        <v>6259</v>
      </c>
      <c r="AH25" s="184" t="s">
        <v>6260</v>
      </c>
      <c r="AI25" s="108"/>
      <c r="AJ25" s="108"/>
      <c r="AK25" s="108"/>
      <c r="AL25" s="108"/>
      <c r="AM25" s="108"/>
      <c r="AN25" s="108"/>
      <c r="AO25" s="10" t="s">
        <v>6261</v>
      </c>
      <c r="AP25" s="184" t="s">
        <v>6262</v>
      </c>
      <c r="AQ25" s="108"/>
      <c r="AR25" s="184" t="s">
        <v>6263</v>
      </c>
      <c r="AS25" s="108"/>
      <c r="AT25" s="108"/>
      <c r="AU25" s="108"/>
      <c r="AV25" s="108"/>
      <c r="AW25" s="10" t="s">
        <v>6264</v>
      </c>
      <c r="AX25" s="108"/>
      <c r="AY25" s="108"/>
      <c r="AZ25" s="10" t="s">
        <v>6265</v>
      </c>
      <c r="BA25" s="184" t="s">
        <v>6266</v>
      </c>
      <c r="BB25" s="108"/>
      <c r="BC25" s="13" t="s">
        <v>6267</v>
      </c>
      <c r="BD25" s="108"/>
      <c r="BE25" s="184" t="s">
        <v>6268</v>
      </c>
      <c r="BF25" s="10" t="s">
        <v>6269</v>
      </c>
      <c r="BG25" s="108"/>
      <c r="BH25" s="184" t="s">
        <v>6270</v>
      </c>
      <c r="BI25" s="184" t="s">
        <v>6271</v>
      </c>
      <c r="BJ25" s="184" t="s">
        <v>6272</v>
      </c>
      <c r="BK25" s="10" t="s">
        <v>6273</v>
      </c>
      <c r="BL25" s="108"/>
      <c r="BM25" s="108"/>
      <c r="BN25" s="108"/>
    </row>
    <row r="26" ht="15.75" customHeight="1">
      <c r="A26" s="30">
        <v>45602.0</v>
      </c>
      <c r="B26" s="10"/>
      <c r="C26" s="184" t="s">
        <v>6274</v>
      </c>
      <c r="D26" s="108"/>
      <c r="E26" s="184" t="s">
        <v>6275</v>
      </c>
      <c r="F26" s="10" t="s">
        <v>6276</v>
      </c>
      <c r="G26" s="184" t="s">
        <v>6277</v>
      </c>
      <c r="H26" s="184" t="s">
        <v>6278</v>
      </c>
      <c r="I26" s="155" t="s">
        <v>1657</v>
      </c>
      <c r="J26" s="184" t="s">
        <v>6279</v>
      </c>
      <c r="K26" s="184" t="s">
        <v>6280</v>
      </c>
      <c r="L26" s="184" t="s">
        <v>6281</v>
      </c>
      <c r="M26" s="184" t="s">
        <v>6282</v>
      </c>
      <c r="N26" s="108"/>
      <c r="O26" s="184" t="s">
        <v>6283</v>
      </c>
      <c r="P26" s="108"/>
      <c r="Q26" s="108"/>
      <c r="R26" s="108"/>
      <c r="S26" s="84" t="s">
        <v>6284</v>
      </c>
      <c r="T26" s="108"/>
      <c r="U26" s="184" t="s">
        <v>6285</v>
      </c>
      <c r="V26" s="108"/>
      <c r="W26" s="110" t="s">
        <v>6286</v>
      </c>
      <c r="X26" s="108"/>
      <c r="Y26" s="184" t="s">
        <v>6287</v>
      </c>
      <c r="Z26" s="108"/>
      <c r="AA26" s="184" t="s">
        <v>6288</v>
      </c>
      <c r="AB26" s="184" t="s">
        <v>6289</v>
      </c>
      <c r="AC26" s="184" t="s">
        <v>6290</v>
      </c>
      <c r="AD26" s="184" t="s">
        <v>6291</v>
      </c>
      <c r="AE26" s="10" t="s">
        <v>6292</v>
      </c>
      <c r="AF26" s="84" t="s">
        <v>6293</v>
      </c>
      <c r="AG26" s="184" t="s">
        <v>6294</v>
      </c>
      <c r="AH26" s="184" t="s">
        <v>6295</v>
      </c>
      <c r="AI26" s="108"/>
      <c r="AJ26" s="108"/>
      <c r="AK26" s="108"/>
      <c r="AL26" s="108"/>
      <c r="AM26" s="108"/>
      <c r="AN26" s="108"/>
      <c r="AO26" s="10" t="s">
        <v>6296</v>
      </c>
      <c r="AP26" s="184" t="s">
        <v>6297</v>
      </c>
      <c r="AQ26" s="108"/>
      <c r="AR26" s="184" t="s">
        <v>6298</v>
      </c>
      <c r="AS26" s="108"/>
      <c r="AT26" s="108"/>
      <c r="AU26" s="108"/>
      <c r="AV26" s="108"/>
      <c r="AW26" s="184" t="s">
        <v>6299</v>
      </c>
      <c r="AX26" s="108"/>
      <c r="AY26" s="108"/>
      <c r="AZ26" s="10" t="s">
        <v>6171</v>
      </c>
      <c r="BA26" s="184" t="s">
        <v>6300</v>
      </c>
      <c r="BB26" s="108"/>
      <c r="BC26" s="10" t="s">
        <v>6301</v>
      </c>
      <c r="BD26" s="108"/>
      <c r="BE26" s="184" t="s">
        <v>6302</v>
      </c>
      <c r="BF26" s="170" t="s">
        <v>6303</v>
      </c>
      <c r="BG26" s="108"/>
      <c r="BH26" s="184" t="s">
        <v>6304</v>
      </c>
      <c r="BI26" s="184" t="s">
        <v>6305</v>
      </c>
      <c r="BJ26" s="184" t="s">
        <v>6306</v>
      </c>
      <c r="BK26" s="84" t="s">
        <v>6307</v>
      </c>
      <c r="BL26" s="108"/>
      <c r="BM26" s="108"/>
      <c r="BN26" s="108"/>
    </row>
    <row r="27" ht="15.75" customHeight="1">
      <c r="A27" s="30">
        <v>45603.0</v>
      </c>
      <c r="B27" s="10"/>
      <c r="C27" s="184" t="s">
        <v>6308</v>
      </c>
      <c r="D27" s="108"/>
      <c r="E27" s="184" t="s">
        <v>6309</v>
      </c>
      <c r="F27" s="10" t="s">
        <v>6310</v>
      </c>
      <c r="G27" s="184" t="s">
        <v>2213</v>
      </c>
      <c r="H27" s="184" t="s">
        <v>1902</v>
      </c>
      <c r="I27" s="155" t="s">
        <v>6311</v>
      </c>
      <c r="J27" s="184" t="s">
        <v>2071</v>
      </c>
      <c r="K27" s="184" t="s">
        <v>2077</v>
      </c>
      <c r="L27" s="184" t="s">
        <v>2148</v>
      </c>
      <c r="M27" s="184" t="s">
        <v>2108</v>
      </c>
      <c r="N27" s="108"/>
      <c r="O27" s="184" t="s">
        <v>1896</v>
      </c>
      <c r="P27" s="108"/>
      <c r="Q27" s="108"/>
      <c r="R27" s="108"/>
      <c r="S27" s="84" t="s">
        <v>6312</v>
      </c>
      <c r="T27" s="108"/>
      <c r="U27" s="184" t="s">
        <v>6313</v>
      </c>
      <c r="V27" s="108"/>
      <c r="W27" s="110" t="s">
        <v>6314</v>
      </c>
      <c r="X27" s="108"/>
      <c r="Y27" s="184" t="s">
        <v>6315</v>
      </c>
      <c r="Z27" s="108"/>
      <c r="AA27" s="184" t="s">
        <v>6316</v>
      </c>
      <c r="AB27" s="184" t="s">
        <v>6317</v>
      </c>
      <c r="AC27" s="184" t="s">
        <v>6318</v>
      </c>
      <c r="AD27" s="184" t="s">
        <v>6319</v>
      </c>
      <c r="AE27" s="10" t="s">
        <v>6320</v>
      </c>
      <c r="AF27" s="84" t="s">
        <v>6321</v>
      </c>
      <c r="AG27" s="184" t="s">
        <v>6322</v>
      </c>
      <c r="AH27" s="184" t="s">
        <v>6323</v>
      </c>
      <c r="AI27" s="108"/>
      <c r="AJ27" s="108"/>
      <c r="AK27" s="108"/>
      <c r="AL27" s="108"/>
      <c r="AM27" s="108"/>
      <c r="AN27" s="108"/>
      <c r="AO27" s="10" t="s">
        <v>6310</v>
      </c>
      <c r="AP27" s="184" t="s">
        <v>6324</v>
      </c>
      <c r="AQ27" s="108"/>
      <c r="AR27" s="184" t="s">
        <v>6325</v>
      </c>
      <c r="AS27" s="108"/>
      <c r="AT27" s="108"/>
      <c r="AU27" s="108"/>
      <c r="AV27" s="108"/>
      <c r="AW27" s="184" t="s">
        <v>6326</v>
      </c>
      <c r="AX27" s="108"/>
      <c r="AY27" s="108"/>
      <c r="AZ27" s="10" t="s">
        <v>6310</v>
      </c>
      <c r="BA27" s="184" t="s">
        <v>6327</v>
      </c>
      <c r="BB27" s="108"/>
      <c r="BC27" s="10" t="s">
        <v>6328</v>
      </c>
      <c r="BD27" s="108"/>
      <c r="BE27" s="184" t="s">
        <v>6329</v>
      </c>
      <c r="BF27" s="170" t="s">
        <v>6330</v>
      </c>
      <c r="BG27" s="108"/>
      <c r="BH27" s="184" t="s">
        <v>6331</v>
      </c>
      <c r="BI27" s="184" t="s">
        <v>6332</v>
      </c>
      <c r="BJ27" s="184" t="s">
        <v>6333</v>
      </c>
      <c r="BK27" s="84" t="s">
        <v>6334</v>
      </c>
      <c r="BL27" s="108"/>
      <c r="BM27" s="108"/>
      <c r="BN27" s="108"/>
    </row>
    <row r="28" ht="15.75" customHeight="1">
      <c r="A28" s="30">
        <v>45604.0</v>
      </c>
      <c r="B28" s="10"/>
      <c r="C28" s="184" t="s">
        <v>6335</v>
      </c>
      <c r="D28" s="108"/>
      <c r="E28" s="184" t="s">
        <v>2318</v>
      </c>
      <c r="F28" s="108"/>
      <c r="G28" s="184" t="s">
        <v>1714</v>
      </c>
      <c r="H28" s="184" t="s">
        <v>1988</v>
      </c>
      <c r="I28" s="155" t="s">
        <v>6311</v>
      </c>
      <c r="J28" s="184" t="s">
        <v>1865</v>
      </c>
      <c r="K28" s="184" t="s">
        <v>1902</v>
      </c>
      <c r="L28" s="184" t="s">
        <v>1962</v>
      </c>
      <c r="M28" s="184" t="s">
        <v>2264</v>
      </c>
      <c r="N28" s="108"/>
      <c r="O28" s="184" t="s">
        <v>6336</v>
      </c>
      <c r="P28" s="108"/>
      <c r="Q28" s="108"/>
      <c r="R28" s="108"/>
      <c r="S28" s="84" t="s">
        <v>6337</v>
      </c>
      <c r="T28" s="108"/>
      <c r="U28" s="184" t="s">
        <v>6338</v>
      </c>
      <c r="V28" s="108"/>
      <c r="W28" s="108"/>
      <c r="X28" s="108"/>
      <c r="Y28" s="184" t="s">
        <v>6339</v>
      </c>
      <c r="Z28" s="108"/>
      <c r="AA28" s="184" t="s">
        <v>1958</v>
      </c>
      <c r="AB28" s="184" t="s">
        <v>6340</v>
      </c>
      <c r="AC28" s="184" t="s">
        <v>6341</v>
      </c>
      <c r="AD28" s="184" t="s">
        <v>6342</v>
      </c>
      <c r="AE28" s="108"/>
      <c r="AF28" s="84" t="s">
        <v>6343</v>
      </c>
      <c r="AG28" s="184" t="s">
        <v>6344</v>
      </c>
      <c r="AH28" s="184" t="s">
        <v>6345</v>
      </c>
      <c r="AI28" s="108"/>
      <c r="AJ28" s="108"/>
      <c r="AK28" s="108"/>
      <c r="AL28" s="108"/>
      <c r="AM28" s="108"/>
      <c r="AN28" s="108"/>
      <c r="AO28" s="108"/>
      <c r="AP28" s="184" t="s">
        <v>1865</v>
      </c>
      <c r="AQ28" s="108"/>
      <c r="AR28" s="184" t="s">
        <v>1742</v>
      </c>
      <c r="AS28" s="108"/>
      <c r="AT28" s="108"/>
      <c r="AU28" s="108"/>
      <c r="AV28" s="108"/>
      <c r="AW28" s="184" t="s">
        <v>6346</v>
      </c>
      <c r="AX28" s="108"/>
      <c r="AY28" s="108"/>
      <c r="AZ28" s="108"/>
      <c r="BA28" s="184" t="s">
        <v>1721</v>
      </c>
      <c r="BB28" s="108"/>
      <c r="BC28" s="108"/>
      <c r="BD28" s="108"/>
      <c r="BE28" s="184" t="s">
        <v>6347</v>
      </c>
      <c r="BF28" s="170" t="s">
        <v>6348</v>
      </c>
      <c r="BG28" s="108"/>
      <c r="BH28" s="184" t="s">
        <v>2213</v>
      </c>
      <c r="BI28" s="184" t="s">
        <v>1768</v>
      </c>
      <c r="BJ28" s="184" t="s">
        <v>1962</v>
      </c>
      <c r="BK28" s="108"/>
      <c r="BL28" s="108"/>
      <c r="BM28" s="108"/>
      <c r="BN28" s="108"/>
    </row>
    <row r="29" ht="15.75" customHeight="1">
      <c r="A29" s="30">
        <v>45608.0</v>
      </c>
      <c r="B29" s="10"/>
      <c r="C29" s="184" t="s">
        <v>6349</v>
      </c>
      <c r="D29" s="108"/>
      <c r="E29" s="184" t="s">
        <v>6350</v>
      </c>
      <c r="F29" s="108"/>
      <c r="G29" s="184" t="s">
        <v>6351</v>
      </c>
      <c r="H29" s="184" t="s">
        <v>6352</v>
      </c>
      <c r="I29" s="155" t="s">
        <v>6311</v>
      </c>
      <c r="J29" s="184" t="s">
        <v>6353</v>
      </c>
      <c r="K29" s="184" t="s">
        <v>6354</v>
      </c>
      <c r="L29" s="184" t="s">
        <v>6352</v>
      </c>
      <c r="M29" s="184" t="s">
        <v>6355</v>
      </c>
      <c r="N29" s="108"/>
      <c r="O29" s="184" t="s">
        <v>6356</v>
      </c>
      <c r="P29" s="108"/>
      <c r="Q29" s="108"/>
      <c r="R29" s="108"/>
      <c r="S29" s="184" t="s">
        <v>6357</v>
      </c>
      <c r="T29" s="108"/>
      <c r="U29" s="184" t="s">
        <v>6358</v>
      </c>
      <c r="V29" s="108"/>
      <c r="W29" s="108"/>
      <c r="X29" s="108"/>
      <c r="Y29" s="184" t="s">
        <v>6359</v>
      </c>
      <c r="Z29" s="108"/>
      <c r="AA29" s="184" t="s">
        <v>6360</v>
      </c>
      <c r="AB29" s="184" t="s">
        <v>6361</v>
      </c>
      <c r="AC29" s="184" t="s">
        <v>6362</v>
      </c>
      <c r="AD29" s="184" t="s">
        <v>6363</v>
      </c>
      <c r="AE29" s="108"/>
      <c r="AF29" s="184" t="s">
        <v>6364</v>
      </c>
      <c r="AG29" s="184" t="s">
        <v>6365</v>
      </c>
      <c r="AH29" s="184" t="s">
        <v>6366</v>
      </c>
      <c r="AI29" s="108"/>
      <c r="AJ29" s="108"/>
      <c r="AK29" s="108"/>
      <c r="AL29" s="108"/>
      <c r="AM29" s="108"/>
      <c r="AN29" s="108"/>
      <c r="AO29" s="108"/>
      <c r="AP29" s="184" t="s">
        <v>6367</v>
      </c>
      <c r="AQ29" s="108"/>
      <c r="AR29" s="184" t="s">
        <v>6368</v>
      </c>
      <c r="AS29" s="108"/>
      <c r="AT29" s="108"/>
      <c r="AU29" s="108"/>
      <c r="AV29" s="108"/>
      <c r="AW29" s="184" t="s">
        <v>6369</v>
      </c>
      <c r="AX29" s="108"/>
      <c r="AY29" s="108"/>
      <c r="AZ29" s="108"/>
      <c r="BA29" s="184" t="s">
        <v>6370</v>
      </c>
      <c r="BB29" s="108"/>
      <c r="BC29" s="108"/>
      <c r="BD29" s="108"/>
      <c r="BE29" s="184" t="s">
        <v>6371</v>
      </c>
      <c r="BF29" s="170" t="s">
        <v>6348</v>
      </c>
      <c r="BG29" s="108"/>
      <c r="BH29" s="184" t="s">
        <v>6372</v>
      </c>
      <c r="BI29" s="184" t="s">
        <v>6373</v>
      </c>
      <c r="BJ29" s="184" t="s">
        <v>6374</v>
      </c>
      <c r="BK29" s="184" t="s">
        <v>6375</v>
      </c>
      <c r="BL29" s="108"/>
      <c r="BM29" s="108"/>
      <c r="BN29" s="108"/>
    </row>
    <row r="30" ht="15.75" customHeight="1">
      <c r="A30" s="30">
        <v>45611.0</v>
      </c>
      <c r="B30" s="10"/>
      <c r="C30" s="184" t="s">
        <v>6376</v>
      </c>
      <c r="D30" s="108"/>
      <c r="E30" s="184" t="s">
        <v>6377</v>
      </c>
      <c r="F30" s="108"/>
      <c r="G30" s="184" t="s">
        <v>6378</v>
      </c>
      <c r="H30" s="184" t="s">
        <v>6379</v>
      </c>
      <c r="I30" s="155" t="s">
        <v>6311</v>
      </c>
      <c r="J30" s="184" t="s">
        <v>6380</v>
      </c>
      <c r="K30" s="184" t="s">
        <v>6381</v>
      </c>
      <c r="L30" s="184" t="s">
        <v>6382</v>
      </c>
      <c r="M30" s="184" t="s">
        <v>6383</v>
      </c>
      <c r="N30" s="108"/>
      <c r="O30" s="184" t="s">
        <v>6384</v>
      </c>
      <c r="P30" s="108"/>
      <c r="Q30" s="108"/>
      <c r="R30" s="108"/>
      <c r="S30" s="184" t="s">
        <v>6385</v>
      </c>
      <c r="T30" s="108"/>
      <c r="U30" s="10" t="s">
        <v>6386</v>
      </c>
      <c r="V30" s="108"/>
      <c r="W30" s="108"/>
      <c r="X30" s="108"/>
      <c r="Y30" s="184" t="s">
        <v>6387</v>
      </c>
      <c r="Z30" s="108"/>
      <c r="AA30" s="184" t="s">
        <v>6388</v>
      </c>
      <c r="AB30" s="184" t="s">
        <v>6366</v>
      </c>
      <c r="AC30" s="184" t="s">
        <v>6389</v>
      </c>
      <c r="AD30" s="184" t="s">
        <v>6390</v>
      </c>
      <c r="AE30" s="108"/>
      <c r="AF30" s="184" t="s">
        <v>6391</v>
      </c>
      <c r="AG30" s="184" t="s">
        <v>6392</v>
      </c>
      <c r="AH30" s="184" t="s">
        <v>6384</v>
      </c>
      <c r="AI30" s="108"/>
      <c r="AJ30" s="108"/>
      <c r="AK30" s="108"/>
      <c r="AL30" s="108"/>
      <c r="AM30" s="108"/>
      <c r="AN30" s="108"/>
      <c r="AO30" s="108"/>
      <c r="AP30" s="184" t="s">
        <v>6393</v>
      </c>
      <c r="AQ30" s="108"/>
      <c r="AR30" s="184" t="s">
        <v>6394</v>
      </c>
      <c r="AS30" s="108"/>
      <c r="AT30" s="108"/>
      <c r="AU30" s="108"/>
      <c r="AV30" s="108"/>
      <c r="AW30" s="184" t="s">
        <v>6395</v>
      </c>
      <c r="AX30" s="108"/>
      <c r="AY30" s="108"/>
      <c r="AZ30" s="184" t="s">
        <v>6396</v>
      </c>
      <c r="BA30" s="184" t="s">
        <v>6397</v>
      </c>
      <c r="BB30" s="108"/>
      <c r="BC30" s="10" t="s">
        <v>6398</v>
      </c>
      <c r="BD30" s="108"/>
      <c r="BE30" s="184" t="s">
        <v>6399</v>
      </c>
      <c r="BF30" s="170" t="s">
        <v>6348</v>
      </c>
      <c r="BG30" s="108"/>
      <c r="BH30" s="184" t="s">
        <v>6400</v>
      </c>
      <c r="BI30" s="10" t="s">
        <v>6401</v>
      </c>
      <c r="BJ30" s="184" t="s">
        <v>6402</v>
      </c>
      <c r="BK30" s="184" t="s">
        <v>6403</v>
      </c>
      <c r="BL30" s="108"/>
      <c r="BM30" s="108"/>
      <c r="BN30" s="108"/>
    </row>
    <row r="31" ht="15.75" customHeight="1">
      <c r="A31" s="30">
        <v>45614.0</v>
      </c>
      <c r="B31" s="10"/>
      <c r="C31" s="184"/>
      <c r="D31" s="108"/>
      <c r="E31" s="184"/>
      <c r="F31" s="108"/>
      <c r="G31" s="184"/>
      <c r="H31" s="184"/>
      <c r="I31" s="155"/>
      <c r="J31" s="184"/>
      <c r="K31" s="184"/>
      <c r="L31" s="184"/>
      <c r="M31" s="184"/>
      <c r="N31" s="108"/>
      <c r="O31" s="184"/>
      <c r="P31" s="108"/>
      <c r="Q31" s="108"/>
      <c r="R31" s="108"/>
      <c r="S31" s="184"/>
      <c r="T31" s="108"/>
      <c r="U31" s="184"/>
      <c r="V31" s="108"/>
      <c r="W31" s="108"/>
      <c r="X31" s="108"/>
      <c r="Y31" s="184"/>
      <c r="Z31" s="108"/>
      <c r="AA31" s="184"/>
      <c r="AB31" s="184"/>
      <c r="AC31" s="184"/>
      <c r="AD31" s="184"/>
      <c r="AE31" s="108"/>
      <c r="AF31" s="184"/>
      <c r="AG31" s="184"/>
      <c r="AH31" s="184"/>
      <c r="AI31" s="108"/>
      <c r="AJ31" s="108"/>
      <c r="AK31" s="108"/>
      <c r="AL31" s="108"/>
      <c r="AM31" s="108"/>
      <c r="AN31" s="108"/>
      <c r="AO31" s="108"/>
      <c r="AP31" s="184"/>
      <c r="AQ31" s="108"/>
      <c r="AR31" s="184"/>
      <c r="AS31" s="108"/>
      <c r="AT31" s="108"/>
      <c r="AU31" s="108"/>
      <c r="AV31" s="108"/>
      <c r="AW31" s="184"/>
      <c r="AX31" s="108"/>
      <c r="AY31" s="108"/>
      <c r="AZ31" s="184"/>
      <c r="BA31" s="184"/>
      <c r="BB31" s="108"/>
      <c r="BC31" s="184"/>
      <c r="BD31" s="108"/>
      <c r="BE31" s="184"/>
      <c r="BF31" s="170"/>
      <c r="BG31" s="108"/>
      <c r="BH31" s="184"/>
      <c r="BI31" s="184"/>
      <c r="BJ31" s="184"/>
      <c r="BK31" s="184"/>
      <c r="BL31" s="108"/>
      <c r="BM31" s="108"/>
      <c r="BN31" s="108"/>
    </row>
    <row r="32" ht="15.75" customHeight="1">
      <c r="A32" s="30">
        <v>45616.0</v>
      </c>
      <c r="B32" s="10"/>
      <c r="C32" s="184" t="s">
        <v>6404</v>
      </c>
      <c r="D32" s="108"/>
      <c r="E32" s="184" t="s">
        <v>6405</v>
      </c>
      <c r="F32" s="108"/>
      <c r="G32" s="184" t="s">
        <v>6406</v>
      </c>
      <c r="H32" s="184" t="s">
        <v>6407</v>
      </c>
      <c r="I32" s="155" t="s">
        <v>598</v>
      </c>
      <c r="J32" s="184" t="s">
        <v>6408</v>
      </c>
      <c r="K32" s="184" t="s">
        <v>1725</v>
      </c>
      <c r="L32" s="184" t="s">
        <v>6409</v>
      </c>
      <c r="M32" s="184" t="s">
        <v>6410</v>
      </c>
      <c r="N32" s="108"/>
      <c r="O32" s="184" t="s">
        <v>6411</v>
      </c>
      <c r="P32" s="108"/>
      <c r="Q32" s="108"/>
      <c r="R32" s="108"/>
      <c r="S32" s="184" t="s">
        <v>6412</v>
      </c>
      <c r="T32" s="108"/>
      <c r="U32" s="184" t="s">
        <v>6413</v>
      </c>
      <c r="V32" s="108"/>
      <c r="W32" s="108"/>
      <c r="X32" s="108"/>
      <c r="Y32" s="184" t="s">
        <v>6414</v>
      </c>
      <c r="Z32" s="108"/>
      <c r="AA32" s="184" t="s">
        <v>6415</v>
      </c>
      <c r="AB32" s="184" t="s">
        <v>2288</v>
      </c>
      <c r="AC32" s="184" t="s">
        <v>1851</v>
      </c>
      <c r="AD32" s="184" t="s">
        <v>6416</v>
      </c>
      <c r="AE32" s="108"/>
      <c r="AF32" s="184" t="s">
        <v>6417</v>
      </c>
      <c r="AG32" s="184" t="s">
        <v>6418</v>
      </c>
      <c r="AH32" s="184" t="s">
        <v>6414</v>
      </c>
      <c r="AI32" s="108"/>
      <c r="AJ32" s="108"/>
      <c r="AK32" s="108"/>
      <c r="AL32" s="108"/>
      <c r="AM32" s="108"/>
      <c r="AN32" s="108"/>
      <c r="AO32" s="108"/>
      <c r="AP32" s="184" t="s">
        <v>6419</v>
      </c>
      <c r="AQ32" s="108"/>
      <c r="AR32" s="184" t="s">
        <v>6420</v>
      </c>
      <c r="AS32" s="108"/>
      <c r="AT32" s="108"/>
      <c r="AU32" s="108"/>
      <c r="AV32" s="108"/>
      <c r="AW32" s="184" t="s">
        <v>6417</v>
      </c>
      <c r="AX32" s="108"/>
      <c r="AY32" s="108"/>
      <c r="AZ32" s="184" t="s">
        <v>6416</v>
      </c>
      <c r="BA32" s="184" t="s">
        <v>6418</v>
      </c>
      <c r="BB32" s="108"/>
      <c r="BC32" s="108"/>
      <c r="BD32" s="108"/>
      <c r="BE32" s="184" t="s">
        <v>6421</v>
      </c>
      <c r="BF32" s="170" t="s">
        <v>1657</v>
      </c>
      <c r="BG32" s="108"/>
      <c r="BH32" s="184" t="s">
        <v>1725</v>
      </c>
      <c r="BI32" s="184" t="s">
        <v>6422</v>
      </c>
      <c r="BJ32" s="184" t="s">
        <v>6414</v>
      </c>
      <c r="BK32" s="184" t="s">
        <v>6423</v>
      </c>
      <c r="BL32" s="10"/>
      <c r="BM32" s="10"/>
      <c r="BN32" s="10"/>
    </row>
    <row r="33" ht="15.75" customHeight="1">
      <c r="A33" s="13"/>
      <c r="B33" s="10"/>
      <c r="C33" s="10"/>
      <c r="D33" s="108"/>
      <c r="E33" s="10"/>
      <c r="F33" s="108"/>
      <c r="G33" s="10"/>
      <c r="H33" s="10"/>
      <c r="I33" s="10"/>
      <c r="J33" s="10"/>
      <c r="K33" s="10"/>
      <c r="L33" s="10"/>
      <c r="M33" s="10"/>
      <c r="N33" s="108"/>
      <c r="O33" s="10"/>
      <c r="P33" s="108"/>
      <c r="Q33" s="108"/>
      <c r="R33" s="108"/>
      <c r="S33" s="10"/>
      <c r="T33" s="108"/>
      <c r="U33" s="10"/>
      <c r="V33" s="108"/>
      <c r="W33" s="108"/>
      <c r="X33" s="108"/>
      <c r="Y33" s="10"/>
      <c r="Z33" s="108"/>
      <c r="AA33" s="10"/>
      <c r="AB33" s="10"/>
      <c r="AC33" s="10"/>
      <c r="AD33" s="10"/>
      <c r="AE33" s="108"/>
      <c r="AF33" s="10"/>
      <c r="AG33" s="10"/>
      <c r="AH33" s="10"/>
      <c r="AI33" s="108"/>
      <c r="AJ33" s="108"/>
      <c r="AK33" s="108"/>
      <c r="AL33" s="108"/>
      <c r="AM33" s="108"/>
      <c r="AN33" s="108"/>
      <c r="AO33" s="108"/>
      <c r="AP33" s="10"/>
      <c r="AQ33" s="108"/>
      <c r="AR33" s="10"/>
      <c r="AS33" s="108"/>
      <c r="AT33" s="108"/>
      <c r="AU33" s="108"/>
      <c r="AV33" s="108"/>
      <c r="AW33" s="10"/>
      <c r="AX33" s="108"/>
      <c r="AY33" s="108"/>
      <c r="AZ33" s="10"/>
      <c r="BA33" s="10"/>
      <c r="BB33" s="108"/>
      <c r="BC33" s="108"/>
      <c r="BD33" s="108"/>
      <c r="BE33" s="10"/>
      <c r="BF33" s="10"/>
      <c r="BG33" s="108"/>
      <c r="BH33" s="10"/>
      <c r="BI33" s="10"/>
      <c r="BJ33" s="10"/>
      <c r="BK33" s="10"/>
      <c r="BL33" s="10"/>
      <c r="BM33" s="10"/>
      <c r="BN33" s="10"/>
    </row>
    <row r="34" ht="15.75" customHeight="1">
      <c r="A34" s="30"/>
      <c r="B34" s="10"/>
      <c r="C34" s="13"/>
      <c r="D34" s="13"/>
      <c r="E34" s="13"/>
      <c r="F34" s="116"/>
      <c r="G34" s="13"/>
      <c r="H34" s="13"/>
      <c r="J34" s="13"/>
      <c r="K34" s="13"/>
      <c r="L34" s="13"/>
      <c r="M34" s="13"/>
      <c r="O34" s="13"/>
      <c r="P34" s="13"/>
      <c r="Q34" s="13"/>
      <c r="R34" s="13"/>
      <c r="S34" s="13"/>
      <c r="T34" s="13"/>
      <c r="U34" s="13"/>
      <c r="V34" s="116"/>
      <c r="W34" s="116"/>
      <c r="X34" s="116"/>
      <c r="Y34" s="13"/>
      <c r="Z34" s="116"/>
      <c r="AA34" s="13"/>
      <c r="AB34" s="13"/>
      <c r="AC34" s="13"/>
      <c r="AD34" s="13"/>
      <c r="AE34" s="116"/>
      <c r="AF34" s="13"/>
      <c r="AH34" s="13"/>
      <c r="AI34" s="116"/>
      <c r="AJ34" s="116"/>
      <c r="AK34" s="116"/>
      <c r="AL34" s="116"/>
      <c r="AM34" s="116"/>
      <c r="AN34" s="116"/>
      <c r="AO34" s="116"/>
      <c r="AP34" s="13"/>
      <c r="AQ34" s="116"/>
      <c r="AR34" s="13"/>
      <c r="AS34" s="116"/>
      <c r="AT34" s="116"/>
      <c r="AU34" s="116"/>
      <c r="AV34" s="116"/>
      <c r="AW34" s="13"/>
      <c r="AX34" s="116"/>
      <c r="AY34" s="116"/>
      <c r="BB34" s="108"/>
      <c r="BC34" s="116"/>
      <c r="BD34" s="108"/>
      <c r="BE34" s="13"/>
      <c r="BH34" s="13"/>
      <c r="BJ34" s="13"/>
      <c r="BL34" s="13"/>
      <c r="BN34" s="13"/>
    </row>
    <row r="35" ht="15.75" customHeight="1">
      <c r="A35" s="13"/>
      <c r="B35" s="10"/>
      <c r="F35" s="116"/>
      <c r="R35" s="13"/>
      <c r="V35" s="116"/>
      <c r="W35" s="116"/>
      <c r="X35" s="116"/>
      <c r="Z35" s="116"/>
      <c r="AE35" s="116"/>
      <c r="AI35" s="116"/>
      <c r="AJ35" s="116"/>
      <c r="AK35" s="116"/>
      <c r="AL35" s="116"/>
      <c r="AM35" s="116"/>
      <c r="AN35" s="116"/>
      <c r="AO35" s="116"/>
      <c r="AQ35" s="116"/>
      <c r="AS35" s="116"/>
      <c r="AT35" s="116"/>
      <c r="AU35" s="116"/>
      <c r="AV35" s="116"/>
      <c r="AX35" s="116"/>
      <c r="AY35" s="116"/>
      <c r="BB35" s="108"/>
      <c r="BC35" s="116"/>
      <c r="BD35" s="108"/>
    </row>
    <row r="36" ht="15.75" customHeight="1">
      <c r="A36" s="30"/>
      <c r="B36" s="10"/>
      <c r="C36" s="13"/>
      <c r="D36" s="13"/>
      <c r="E36" s="13"/>
      <c r="F36" s="116"/>
      <c r="H36" s="13"/>
      <c r="J36" s="13"/>
      <c r="K36" s="13"/>
      <c r="L36" s="13"/>
      <c r="M36" s="13"/>
      <c r="O36" s="13"/>
      <c r="P36" s="13"/>
      <c r="Q36" s="13"/>
      <c r="R36" s="13"/>
      <c r="S36" s="13"/>
      <c r="T36" s="13"/>
      <c r="U36" s="13"/>
      <c r="V36" s="116"/>
      <c r="W36" s="116"/>
      <c r="X36" s="13"/>
      <c r="Y36" s="13"/>
      <c r="AA36" s="13"/>
      <c r="AB36" s="13"/>
      <c r="AC36" s="13"/>
      <c r="AD36" s="13"/>
      <c r="AE36" s="116"/>
      <c r="AF36" s="13"/>
      <c r="AH36" s="13"/>
      <c r="AI36" s="116"/>
      <c r="AJ36" s="116"/>
      <c r="AK36" s="116"/>
      <c r="AL36" s="116"/>
      <c r="AM36" s="116"/>
      <c r="AN36" s="116"/>
      <c r="AO36" s="116"/>
      <c r="AP36" s="13"/>
      <c r="AR36" s="13"/>
      <c r="AS36" s="13"/>
      <c r="AW36" s="13"/>
      <c r="AY36" s="13"/>
      <c r="BB36" s="108"/>
      <c r="BC36" s="116"/>
      <c r="BD36" s="108"/>
      <c r="BE36" s="13"/>
      <c r="BH36" s="13"/>
      <c r="BJ36" s="13"/>
      <c r="BL36" s="13"/>
      <c r="BN36" s="13"/>
    </row>
    <row r="37" ht="15.75" customHeight="1">
      <c r="A37" s="13"/>
      <c r="B37" s="10"/>
      <c r="F37" s="116"/>
      <c r="R37" s="13"/>
      <c r="AE37" s="116"/>
    </row>
    <row r="38" ht="15.75" customHeight="1">
      <c r="A38" s="30"/>
      <c r="B38" s="10"/>
      <c r="C38" s="13"/>
      <c r="D38" s="13"/>
      <c r="E38" s="13"/>
      <c r="F38" s="116"/>
      <c r="H38" s="13"/>
      <c r="J38" s="13"/>
      <c r="L38" s="13"/>
      <c r="M38" s="13"/>
      <c r="O38" s="13"/>
      <c r="P38" s="13"/>
      <c r="Q38" s="13"/>
      <c r="R38" s="13"/>
      <c r="S38" s="13"/>
      <c r="T38" s="13"/>
      <c r="U38" s="13"/>
      <c r="W38" s="13"/>
      <c r="X38" s="13"/>
      <c r="Y38" s="13"/>
      <c r="AA38" s="13"/>
      <c r="AB38" s="13"/>
      <c r="AC38" s="13"/>
      <c r="AD38" s="13"/>
      <c r="AF38" s="13"/>
      <c r="AH38" s="13"/>
      <c r="AI38" s="13"/>
      <c r="AJ38" s="13"/>
      <c r="AK38" s="13"/>
      <c r="AM38" s="13"/>
      <c r="AN38" s="13"/>
      <c r="AO38" s="13"/>
      <c r="AP38" s="13"/>
      <c r="AR38" s="13"/>
      <c r="AS38" s="13"/>
      <c r="AW38" s="13"/>
      <c r="AY38" s="13"/>
      <c r="BE38" s="13"/>
      <c r="BH38" s="13"/>
      <c r="BJ38" s="13"/>
      <c r="BL38" s="13"/>
      <c r="BN38" s="13"/>
    </row>
    <row r="39" ht="15.75" customHeight="1">
      <c r="A39" s="13"/>
      <c r="B39" s="10"/>
      <c r="C39" s="13"/>
      <c r="D39" s="13"/>
      <c r="E39" s="13"/>
      <c r="F39" s="116"/>
      <c r="H39" s="13"/>
      <c r="J39" s="13"/>
      <c r="K39" s="13"/>
      <c r="L39" s="13"/>
      <c r="M39" s="13"/>
      <c r="O39" s="13"/>
      <c r="P39" s="13"/>
      <c r="Q39" s="13"/>
      <c r="R39" s="13"/>
      <c r="S39" s="13"/>
      <c r="T39" s="13"/>
      <c r="U39" s="13"/>
      <c r="W39" s="13"/>
      <c r="X39" s="13"/>
      <c r="Y39" s="13"/>
      <c r="AA39" s="13"/>
      <c r="AB39" s="13"/>
      <c r="AC39" s="13"/>
      <c r="AD39" s="13"/>
      <c r="AF39" s="13"/>
      <c r="AH39" s="13"/>
      <c r="AI39" s="13"/>
      <c r="AJ39" s="13"/>
      <c r="AS39" s="13"/>
      <c r="AY39" s="13"/>
      <c r="BN39" s="13"/>
    </row>
    <row r="40" ht="15.75" customHeight="1">
      <c r="A40" s="30"/>
      <c r="B40" s="10"/>
      <c r="C40" s="13"/>
      <c r="D40" s="13"/>
      <c r="E40" s="13"/>
      <c r="F40" s="116"/>
      <c r="H40" s="13"/>
      <c r="J40" s="13"/>
      <c r="K40" s="13"/>
      <c r="L40" s="13"/>
      <c r="M40" s="13"/>
      <c r="O40" s="13"/>
      <c r="P40" s="13"/>
      <c r="Q40" s="13"/>
      <c r="R40" s="13"/>
      <c r="S40" s="13"/>
      <c r="T40" s="13"/>
      <c r="U40" s="13"/>
      <c r="W40" s="13"/>
      <c r="X40" s="13"/>
      <c r="Y40" s="13"/>
      <c r="AA40" s="13"/>
      <c r="AB40" s="13"/>
      <c r="AC40" s="13"/>
      <c r="AD40" s="13"/>
      <c r="AF40" s="13"/>
      <c r="AH40" s="13"/>
      <c r="AI40" s="13"/>
      <c r="AJ40" s="13"/>
      <c r="AK40" s="13"/>
      <c r="AM40" s="13"/>
      <c r="AN40" s="13"/>
      <c r="AO40" s="13"/>
      <c r="AP40" s="13"/>
      <c r="AR40" s="13"/>
      <c r="AS40" s="13"/>
      <c r="AW40" s="13"/>
      <c r="AY40" s="13"/>
      <c r="BE40" s="13"/>
      <c r="BH40" s="13"/>
      <c r="BJ40" s="13"/>
      <c r="BL40" s="13"/>
      <c r="BN40" s="13"/>
    </row>
    <row r="41" ht="15.75" customHeight="1">
      <c r="A41" s="13"/>
      <c r="B41" s="10"/>
      <c r="C41" s="13"/>
      <c r="D41" s="13"/>
      <c r="E41" s="13"/>
      <c r="F41" s="116"/>
      <c r="H41" s="13"/>
      <c r="J41" s="13"/>
      <c r="K41" s="13"/>
      <c r="L41" s="13"/>
      <c r="M41" s="13"/>
      <c r="O41" s="13"/>
      <c r="P41" s="13"/>
      <c r="Q41" s="13"/>
      <c r="R41" s="13"/>
      <c r="S41" s="13"/>
      <c r="T41" s="13"/>
      <c r="U41" s="13"/>
      <c r="W41" s="13"/>
      <c r="X41" s="13"/>
      <c r="Y41" s="13"/>
      <c r="AA41" s="13"/>
      <c r="AB41" s="13"/>
      <c r="AC41" s="13"/>
      <c r="AD41" s="13"/>
      <c r="AF41" s="13"/>
      <c r="AH41" s="13"/>
      <c r="AI41" s="13"/>
      <c r="AJ41" s="13"/>
      <c r="AS41" s="13"/>
      <c r="AY41" s="13"/>
      <c r="BL41" s="13"/>
      <c r="BN41" s="13"/>
    </row>
    <row r="42" ht="15.75" customHeight="1">
      <c r="A42" s="30"/>
      <c r="B42" s="10"/>
      <c r="C42" s="13"/>
      <c r="D42" s="13"/>
      <c r="E42" s="13"/>
      <c r="F42" s="116"/>
      <c r="H42" s="13"/>
      <c r="J42" s="13"/>
      <c r="K42" s="13"/>
      <c r="L42" s="13"/>
      <c r="M42" s="13"/>
      <c r="O42" s="13"/>
      <c r="P42" s="13"/>
      <c r="Q42" s="13"/>
      <c r="R42" s="13"/>
      <c r="S42" s="13"/>
      <c r="T42" s="13"/>
      <c r="U42" s="13"/>
      <c r="W42" s="13"/>
      <c r="X42" s="13"/>
      <c r="Y42" s="13"/>
      <c r="AA42" s="13"/>
      <c r="AB42" s="13"/>
      <c r="AC42" s="13"/>
      <c r="AD42" s="13"/>
      <c r="AF42" s="13"/>
      <c r="AH42" s="13"/>
      <c r="AI42" s="13"/>
      <c r="AJ42" s="13"/>
      <c r="AK42" s="13"/>
      <c r="AM42" s="13"/>
      <c r="AN42" s="13"/>
      <c r="AO42" s="13"/>
      <c r="AP42" s="13"/>
      <c r="AQ42" s="13"/>
      <c r="AR42" s="13"/>
      <c r="AS42" s="13"/>
      <c r="AW42" s="13"/>
      <c r="AY42" s="13"/>
      <c r="BE42" s="13"/>
      <c r="BH42" s="13"/>
      <c r="BJ42" s="13"/>
      <c r="BL42" s="13"/>
      <c r="BN42" s="13"/>
    </row>
    <row r="43" ht="15.75" customHeight="1">
      <c r="A43" s="13"/>
      <c r="B43" s="10"/>
      <c r="C43" s="13"/>
      <c r="D43" s="13"/>
      <c r="E43" s="13"/>
      <c r="F43" s="116"/>
      <c r="H43" s="13"/>
      <c r="J43" s="13"/>
      <c r="K43" s="13"/>
      <c r="L43" s="13"/>
      <c r="M43" s="13"/>
      <c r="O43" s="13"/>
      <c r="P43" s="13"/>
      <c r="Q43" s="13"/>
      <c r="R43" s="13"/>
      <c r="S43" s="13"/>
      <c r="T43" s="13"/>
      <c r="U43" s="13"/>
      <c r="W43" s="13"/>
      <c r="X43" s="13"/>
      <c r="Y43" s="13"/>
      <c r="AA43" s="13"/>
      <c r="AB43" s="13"/>
      <c r="AC43" s="13"/>
      <c r="AD43" s="13"/>
      <c r="AF43" s="13"/>
      <c r="AH43" s="13"/>
      <c r="AI43" s="13"/>
      <c r="AJ43" s="13"/>
      <c r="AQ43" s="13"/>
      <c r="AS43" s="13"/>
      <c r="AY43" s="13"/>
      <c r="BN43" s="13"/>
    </row>
    <row r="44" ht="15.75" customHeight="1">
      <c r="A44" s="30"/>
      <c r="B44" s="10"/>
      <c r="C44" s="13"/>
      <c r="D44" s="13"/>
      <c r="E44" s="13"/>
      <c r="F44" s="116"/>
      <c r="H44" s="13"/>
      <c r="J44" s="13"/>
      <c r="K44" s="13"/>
      <c r="L44" s="13"/>
      <c r="M44" s="13"/>
      <c r="O44" s="13"/>
      <c r="P44" s="13"/>
      <c r="Q44" s="13"/>
      <c r="R44" s="13"/>
      <c r="S44" s="13"/>
      <c r="T44" s="13"/>
      <c r="U44" s="13"/>
      <c r="W44" s="13"/>
      <c r="X44" s="13"/>
      <c r="Y44" s="13"/>
      <c r="AA44" s="13"/>
      <c r="AB44" s="13"/>
      <c r="AC44" s="13"/>
      <c r="AD44" s="13"/>
      <c r="AF44" s="13"/>
      <c r="AH44" s="13"/>
      <c r="AI44" s="13"/>
      <c r="AJ44" s="13"/>
      <c r="AK44" s="13"/>
      <c r="AM44" s="13"/>
      <c r="AN44" s="13"/>
      <c r="AO44" s="13"/>
      <c r="AP44" s="13"/>
      <c r="AQ44" s="13"/>
      <c r="AR44" s="13"/>
      <c r="AS44" s="13"/>
      <c r="AW44" s="13"/>
      <c r="AY44" s="13"/>
      <c r="BE44" s="13"/>
      <c r="BH44" s="13"/>
      <c r="BJ44" s="13"/>
      <c r="BL44" s="13"/>
      <c r="BN44" s="13"/>
    </row>
    <row r="45" ht="15.75" customHeight="1">
      <c r="A45" s="13"/>
      <c r="B45" s="10"/>
      <c r="C45" s="13"/>
      <c r="D45" s="13"/>
      <c r="E45" s="13"/>
      <c r="F45" s="13"/>
      <c r="H45" s="13"/>
      <c r="J45" s="13"/>
      <c r="K45" s="13"/>
      <c r="L45" s="13"/>
      <c r="M45" s="13"/>
      <c r="O45" s="13"/>
      <c r="P45" s="13"/>
      <c r="Q45" s="13"/>
      <c r="R45" s="13"/>
      <c r="S45" s="13"/>
      <c r="T45" s="13"/>
      <c r="U45" s="13"/>
      <c r="W45" s="13"/>
      <c r="X45" s="13"/>
      <c r="Y45" s="13"/>
      <c r="AA45" s="13"/>
      <c r="AB45" s="13"/>
      <c r="AC45" s="13"/>
      <c r="AD45" s="13"/>
      <c r="AF45" s="13"/>
      <c r="AH45" s="13"/>
      <c r="AI45" s="13"/>
      <c r="AJ45" s="13"/>
      <c r="AQ45" s="13"/>
      <c r="AS45" s="13"/>
      <c r="AY45" s="13"/>
      <c r="BN45" s="13"/>
    </row>
    <row r="46" ht="15.75" customHeight="1">
      <c r="A46" s="30"/>
      <c r="B46" s="10"/>
      <c r="C46" s="13"/>
      <c r="D46" s="13"/>
      <c r="E46" s="13"/>
      <c r="F46" s="13"/>
      <c r="H46" s="13"/>
      <c r="J46" s="13"/>
      <c r="K46" s="13"/>
      <c r="L46" s="13"/>
      <c r="M46" s="13"/>
      <c r="O46" s="13"/>
      <c r="P46" s="13"/>
      <c r="Q46" s="13"/>
      <c r="R46" s="13"/>
      <c r="S46" s="13"/>
      <c r="T46" s="13"/>
      <c r="U46" s="13"/>
      <c r="W46" s="13"/>
      <c r="X46" s="13"/>
      <c r="Y46" s="13"/>
      <c r="AA46" s="13"/>
      <c r="AB46" s="13"/>
      <c r="AC46" s="13"/>
      <c r="AD46" s="13"/>
      <c r="AF46" s="13"/>
      <c r="AH46" s="13"/>
      <c r="AI46" s="13"/>
      <c r="AJ46" s="13"/>
      <c r="AK46" s="13"/>
      <c r="AM46" s="13"/>
      <c r="AN46" s="13"/>
      <c r="AO46" s="13"/>
      <c r="AP46" s="13"/>
      <c r="AQ46" s="13"/>
      <c r="AR46" s="13"/>
      <c r="AS46" s="13"/>
      <c r="AW46" s="13"/>
      <c r="AY46" s="13"/>
      <c r="BE46" s="13"/>
      <c r="BH46" s="13"/>
      <c r="BJ46" s="13"/>
      <c r="BL46" s="13"/>
      <c r="BN46" s="13"/>
    </row>
    <row r="47" ht="15.75" customHeight="1">
      <c r="A47" s="13"/>
      <c r="B47" s="10"/>
      <c r="AS47" s="13"/>
    </row>
    <row r="48" ht="15.75" customHeight="1">
      <c r="A48" s="30"/>
      <c r="B48" s="10"/>
      <c r="C48" s="13"/>
      <c r="D48" s="13"/>
      <c r="E48" s="13"/>
      <c r="F48" s="13"/>
      <c r="H48" s="13"/>
      <c r="J48" s="13"/>
      <c r="K48" s="13"/>
      <c r="L48" s="13"/>
      <c r="M48" s="13"/>
      <c r="O48" s="13"/>
      <c r="P48" s="13"/>
      <c r="Q48" s="13"/>
      <c r="R48" s="13"/>
      <c r="S48" s="13"/>
      <c r="T48" s="13"/>
      <c r="U48" s="13"/>
      <c r="W48" s="13"/>
      <c r="X48" s="13"/>
      <c r="Y48" s="13"/>
      <c r="AA48" s="13"/>
      <c r="AB48" s="13"/>
      <c r="AC48" s="13"/>
      <c r="AK48" s="13"/>
      <c r="AM48" s="13"/>
      <c r="AN48" s="13"/>
      <c r="AO48" s="13"/>
      <c r="AP48" s="13"/>
      <c r="AR48" s="13"/>
      <c r="AS48" s="13"/>
      <c r="AW48" s="13"/>
      <c r="AY48" s="13"/>
      <c r="BE48" s="13"/>
      <c r="BH48" s="13"/>
      <c r="BJ48" s="13"/>
      <c r="BL48" s="13"/>
      <c r="BN48" s="13"/>
    </row>
    <row r="49" ht="15.75" customHeight="1">
      <c r="A49" s="30"/>
      <c r="B49" s="10"/>
      <c r="C49" s="13"/>
      <c r="S49" s="13"/>
      <c r="T49" s="13"/>
      <c r="U49" s="13"/>
      <c r="W49" s="13"/>
      <c r="X49" s="13"/>
      <c r="Y49" s="13"/>
      <c r="AA49" s="13"/>
      <c r="AB49" s="13"/>
      <c r="AC49" s="13"/>
      <c r="AS49" s="13"/>
      <c r="AY49" s="13"/>
      <c r="BN49" s="13"/>
    </row>
    <row r="50" ht="15.75" customHeight="1">
      <c r="A50" s="30"/>
      <c r="B50" s="10"/>
      <c r="C50" s="13"/>
      <c r="D50" s="13"/>
      <c r="E50" s="13"/>
      <c r="F50" s="13"/>
      <c r="H50" s="13"/>
      <c r="J50" s="13"/>
      <c r="K50" s="13"/>
      <c r="L50" s="13"/>
      <c r="M50" s="13"/>
      <c r="O50" s="13"/>
      <c r="P50" s="13"/>
      <c r="Q50" s="13"/>
      <c r="R50" s="13"/>
      <c r="S50" s="13"/>
      <c r="T50" s="13"/>
      <c r="U50" s="13"/>
      <c r="W50" s="13"/>
      <c r="X50" s="13"/>
      <c r="Y50" s="13"/>
      <c r="AA50" s="13"/>
      <c r="AB50" s="13"/>
      <c r="AC50" s="13"/>
      <c r="AK50" s="13"/>
      <c r="AM50" s="13"/>
      <c r="AN50" s="13"/>
      <c r="AO50" s="13"/>
      <c r="AP50" s="13"/>
      <c r="AR50" s="13"/>
      <c r="AS50" s="13"/>
      <c r="AW50" s="13"/>
      <c r="AY50" s="13"/>
      <c r="BE50" s="13"/>
      <c r="BJ50" s="13"/>
      <c r="BL50" s="13"/>
      <c r="BN50" s="13"/>
    </row>
    <row r="51" ht="15.75" customHeight="1">
      <c r="A51" s="30"/>
      <c r="B51" s="10"/>
      <c r="C51" s="13"/>
      <c r="S51" s="13"/>
      <c r="T51" s="13"/>
      <c r="U51" s="13"/>
      <c r="W51" s="13"/>
      <c r="X51" s="13"/>
      <c r="Y51" s="13"/>
      <c r="AA51" s="13"/>
      <c r="AB51" s="13"/>
      <c r="AC51" s="13"/>
      <c r="AK51" s="13"/>
      <c r="AM51" s="13"/>
      <c r="AN51" s="13"/>
      <c r="AO51" s="13"/>
      <c r="AP51" s="13"/>
      <c r="AR51" s="13"/>
      <c r="AS51" s="13"/>
      <c r="AW51" s="13"/>
      <c r="AY51" s="13"/>
      <c r="BE51" s="13"/>
      <c r="BH51" s="13"/>
      <c r="BJ51" s="13"/>
      <c r="BL51" s="13"/>
      <c r="BN51" s="13"/>
    </row>
    <row r="52" ht="15.75" customHeight="1">
      <c r="A52" s="29"/>
      <c r="B52" s="10"/>
      <c r="C52" s="13"/>
      <c r="D52" s="13"/>
      <c r="E52" s="13"/>
      <c r="F52" s="13"/>
      <c r="H52" s="13"/>
      <c r="J52" s="13"/>
      <c r="K52" s="13"/>
      <c r="L52" s="13"/>
      <c r="M52" s="13"/>
      <c r="O52" s="13"/>
      <c r="P52" s="13"/>
      <c r="Q52" s="13"/>
      <c r="R52" s="13"/>
      <c r="S52" s="13"/>
      <c r="T52" s="13"/>
      <c r="U52" s="13"/>
      <c r="W52" s="13"/>
      <c r="X52" s="13"/>
      <c r="Y52" s="13"/>
      <c r="AA52" s="13"/>
      <c r="AB52" s="13"/>
      <c r="AC52" s="13"/>
      <c r="AK52" s="13"/>
      <c r="AM52" s="13"/>
      <c r="AN52" s="13"/>
      <c r="AO52" s="13"/>
      <c r="AP52" s="13"/>
      <c r="AQ52" s="13"/>
      <c r="AR52" s="13"/>
      <c r="AS52" s="13"/>
      <c r="AW52" s="13"/>
      <c r="AY52" s="13"/>
      <c r="BE52" s="13"/>
      <c r="BH52" s="13"/>
      <c r="BJ52" s="13"/>
      <c r="BL52" s="13"/>
      <c r="BN52" s="13"/>
    </row>
    <row r="53" ht="15.75" customHeight="1">
      <c r="A53" s="30"/>
      <c r="B53" s="10"/>
      <c r="C53" s="13"/>
      <c r="T53" s="13"/>
      <c r="U53" s="13"/>
      <c r="W53" s="13"/>
      <c r="X53" s="13"/>
      <c r="Y53" s="13"/>
      <c r="AA53" s="13"/>
      <c r="AB53" s="13"/>
      <c r="AC53" s="13"/>
      <c r="AQ53" s="13"/>
      <c r="AS53" s="13"/>
      <c r="BN53" s="13"/>
    </row>
    <row r="54" ht="75.75" customHeight="1">
      <c r="A54" s="30"/>
      <c r="B54" s="10"/>
      <c r="C54" s="13"/>
      <c r="D54" s="13"/>
      <c r="E54" s="13"/>
      <c r="F54" s="13"/>
      <c r="H54" s="13"/>
      <c r="J54" s="13"/>
      <c r="K54" s="13"/>
      <c r="L54" s="13"/>
      <c r="M54" s="13"/>
      <c r="O54" s="13"/>
      <c r="P54" s="13"/>
      <c r="Q54" s="13"/>
      <c r="R54" s="13"/>
      <c r="S54" s="13"/>
      <c r="T54" s="13"/>
      <c r="U54" s="13"/>
      <c r="W54" s="13"/>
      <c r="X54" s="13"/>
      <c r="Y54" s="13"/>
      <c r="AA54" s="13"/>
      <c r="AB54" s="13"/>
      <c r="AC54" s="13"/>
      <c r="AK54" s="13"/>
      <c r="AM54" s="13"/>
      <c r="AN54" s="13"/>
      <c r="AO54" s="13"/>
      <c r="AP54" s="13"/>
      <c r="AQ54" s="13"/>
      <c r="AR54" s="13"/>
      <c r="AS54" s="13"/>
      <c r="AW54" s="13"/>
      <c r="BE54" s="13"/>
      <c r="BH54" s="13"/>
      <c r="BJ54" s="13"/>
      <c r="BL54" s="13"/>
      <c r="BN54" s="13"/>
    </row>
    <row r="55" ht="15.75" customHeight="1">
      <c r="A55" s="30"/>
      <c r="B55" s="10"/>
      <c r="C55" s="13"/>
      <c r="S55" s="13"/>
      <c r="T55" s="13"/>
      <c r="U55" s="13"/>
      <c r="W55" s="13"/>
      <c r="X55" s="13"/>
      <c r="Y55" s="13"/>
      <c r="AA55" s="13"/>
      <c r="AB55" s="13"/>
      <c r="AC55" s="13"/>
      <c r="AQ55" s="13"/>
      <c r="AS55" s="13"/>
      <c r="BN55" s="13"/>
    </row>
    <row r="56" ht="15.75" customHeight="1">
      <c r="A56" s="29"/>
      <c r="B56" s="10"/>
      <c r="C56" s="13"/>
      <c r="D56" s="13"/>
      <c r="E56" s="13"/>
      <c r="F56" s="13"/>
      <c r="H56" s="13"/>
      <c r="J56" s="13"/>
      <c r="K56" s="13"/>
      <c r="L56" s="13"/>
      <c r="M56" s="13"/>
      <c r="O56" s="13"/>
      <c r="P56" s="13"/>
      <c r="Q56" s="13"/>
      <c r="R56" s="13"/>
      <c r="S56" s="13"/>
      <c r="T56" s="13"/>
      <c r="U56" s="13"/>
      <c r="W56" s="13"/>
      <c r="X56" s="13"/>
      <c r="Y56" s="13"/>
      <c r="AA56" s="13"/>
      <c r="AB56" s="13"/>
      <c r="AC56" s="13"/>
      <c r="AQ56" s="13"/>
      <c r="AS56" s="13"/>
      <c r="BN56" s="13"/>
    </row>
    <row r="57" ht="15.75" customHeight="1">
      <c r="A57" s="29"/>
      <c r="B57" s="10"/>
      <c r="C57" s="13"/>
      <c r="S57" s="13"/>
      <c r="T57" s="13"/>
      <c r="U57" s="13"/>
      <c r="W57" s="13"/>
      <c r="X57" s="13"/>
      <c r="Y57" s="13"/>
      <c r="AA57" s="13"/>
      <c r="AB57" s="13"/>
      <c r="AC57" s="13"/>
      <c r="AQ57" s="13"/>
      <c r="AS57" s="13"/>
      <c r="BN57" s="13"/>
    </row>
    <row r="58" ht="15.75" customHeight="1">
      <c r="A58" s="29"/>
      <c r="B58" s="10"/>
      <c r="C58" s="13"/>
      <c r="D58" s="13"/>
      <c r="E58" s="13"/>
      <c r="F58" s="13"/>
      <c r="H58" s="13"/>
      <c r="J58" s="13"/>
      <c r="K58" s="13"/>
      <c r="L58" s="13"/>
      <c r="M58" s="13"/>
      <c r="O58" s="13"/>
      <c r="P58" s="13"/>
      <c r="Q58" s="13"/>
      <c r="R58" s="13"/>
      <c r="S58" s="13"/>
      <c r="T58" s="13"/>
      <c r="U58" s="13"/>
      <c r="W58" s="13"/>
      <c r="X58" s="13"/>
      <c r="Y58" s="13"/>
      <c r="AA58" s="13"/>
      <c r="AB58" s="13"/>
      <c r="AC58" s="13"/>
      <c r="AQ58" s="13"/>
      <c r="AS58" s="13"/>
      <c r="BN58" s="13"/>
    </row>
    <row r="59" ht="15.75" customHeight="1">
      <c r="A59" s="30"/>
      <c r="B59" s="10"/>
      <c r="C59" s="13"/>
      <c r="S59" s="13"/>
      <c r="T59" s="13"/>
      <c r="U59" s="13"/>
      <c r="W59" s="13"/>
      <c r="X59" s="13"/>
      <c r="Y59" s="13"/>
      <c r="AA59" s="13"/>
      <c r="AB59" s="13"/>
      <c r="AC59" s="13"/>
      <c r="AQ59" s="13"/>
      <c r="AS59" s="13"/>
      <c r="BN59" s="13"/>
    </row>
    <row r="60" ht="15.75" customHeight="1">
      <c r="B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8"/>
      <c r="AB61" s="10"/>
      <c r="AC61" s="108"/>
      <c r="AD61" s="10"/>
      <c r="AE61" s="10"/>
      <c r="AF61" s="10"/>
      <c r="AG61" s="10"/>
      <c r="AH61" s="10"/>
      <c r="AI61" s="108"/>
      <c r="AJ61" s="108"/>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8"/>
      <c r="AB62" s="10"/>
      <c r="AC62" s="108"/>
      <c r="AD62" s="10"/>
      <c r="AE62" s="10"/>
      <c r="AF62" s="10"/>
      <c r="AG62" s="10"/>
      <c r="AH62" s="10"/>
      <c r="AI62" s="108"/>
      <c r="AJ62" s="108"/>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8"/>
      <c r="AB63" s="10"/>
      <c r="AC63" s="108"/>
      <c r="AD63" s="10"/>
      <c r="AE63" s="10"/>
      <c r="AF63" s="10"/>
      <c r="AG63" s="10"/>
      <c r="AH63" s="10"/>
      <c r="AI63" s="108"/>
      <c r="AJ63" s="108"/>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8"/>
      <c r="AB64" s="10"/>
      <c r="AC64" s="108"/>
      <c r="AD64" s="10"/>
      <c r="AE64" s="10"/>
      <c r="AF64" s="10"/>
      <c r="AG64" s="10"/>
      <c r="AH64" s="10"/>
      <c r="AI64" s="108"/>
      <c r="AJ64" s="108"/>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8"/>
      <c r="AB65" s="10"/>
      <c r="AC65" s="108"/>
      <c r="AD65" s="10"/>
      <c r="AE65" s="10"/>
      <c r="AF65" s="10"/>
      <c r="AG65" s="10"/>
      <c r="AH65" s="10"/>
      <c r="AI65" s="108"/>
      <c r="AJ65" s="108"/>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8"/>
      <c r="AB66" s="10"/>
      <c r="AC66" s="108"/>
      <c r="AD66" s="10"/>
      <c r="AE66" s="10"/>
      <c r="AF66" s="10"/>
      <c r="AG66" s="10"/>
      <c r="AH66" s="10"/>
      <c r="AI66" s="108"/>
      <c r="AJ66" s="108"/>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8"/>
      <c r="AB67" s="10"/>
      <c r="AC67" s="108"/>
      <c r="AD67" s="10"/>
      <c r="AE67" s="10"/>
      <c r="AF67" s="10"/>
      <c r="AG67" s="10"/>
      <c r="AH67" s="10"/>
      <c r="AI67" s="108"/>
      <c r="AJ67" s="108"/>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8"/>
      <c r="AB68" s="10"/>
      <c r="AC68" s="108"/>
      <c r="AD68" s="10"/>
      <c r="AE68" s="10"/>
      <c r="AF68" s="10"/>
      <c r="AG68" s="10"/>
      <c r="AH68" s="10"/>
      <c r="AI68" s="108"/>
      <c r="AJ68" s="108"/>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8"/>
      <c r="AB69" s="10"/>
      <c r="AC69" s="108"/>
      <c r="AD69" s="10"/>
      <c r="AE69" s="10"/>
      <c r="AF69" s="10"/>
      <c r="AG69" s="10"/>
      <c r="AH69" s="10"/>
      <c r="AI69" s="108"/>
      <c r="AJ69" s="108"/>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8"/>
      <c r="AB70" s="10"/>
      <c r="AC70" s="108"/>
      <c r="AD70" s="10"/>
      <c r="AE70" s="10"/>
      <c r="AF70" s="10"/>
      <c r="AG70" s="10"/>
      <c r="AH70" s="10"/>
      <c r="AI70" s="108"/>
      <c r="AJ70" s="108"/>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8"/>
      <c r="AB71" s="10"/>
      <c r="AC71" s="108"/>
      <c r="AD71" s="10"/>
      <c r="AE71" s="10"/>
      <c r="AF71" s="10"/>
      <c r="AG71" s="10"/>
      <c r="AH71" s="10"/>
      <c r="AI71" s="108"/>
      <c r="AJ71" s="108"/>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8"/>
      <c r="AB72" s="10"/>
      <c r="AC72" s="108"/>
      <c r="AD72" s="10"/>
      <c r="AE72" s="10"/>
      <c r="AF72" s="10"/>
      <c r="AG72" s="10"/>
      <c r="AH72" s="10"/>
      <c r="AI72" s="108"/>
      <c r="AJ72" s="108"/>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8"/>
      <c r="AB73" s="10"/>
      <c r="AC73" s="108"/>
      <c r="AD73" s="10"/>
      <c r="AE73" s="10"/>
      <c r="AF73" s="10"/>
      <c r="AG73" s="10"/>
      <c r="AH73" s="10"/>
      <c r="AI73" s="108"/>
      <c r="AJ73" s="108"/>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8"/>
      <c r="AB74" s="10"/>
      <c r="AC74" s="108"/>
      <c r="AD74" s="10"/>
      <c r="AE74" s="10"/>
      <c r="AF74" s="10"/>
      <c r="AG74" s="10"/>
      <c r="AH74" s="10"/>
      <c r="AI74" s="108"/>
      <c r="AJ74" s="108"/>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8"/>
      <c r="AB75" s="10"/>
      <c r="AC75" s="108"/>
      <c r="AD75" s="10"/>
      <c r="AE75" s="10"/>
      <c r="AF75" s="10"/>
      <c r="AG75" s="10"/>
      <c r="AH75" s="10"/>
      <c r="AI75" s="108"/>
      <c r="AJ75" s="108"/>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8"/>
      <c r="AB76" s="10"/>
      <c r="AC76" s="108"/>
      <c r="AD76" s="10"/>
      <c r="AE76" s="10"/>
      <c r="AF76" s="10"/>
      <c r="AG76" s="10"/>
      <c r="AH76" s="10"/>
      <c r="AI76" s="108"/>
      <c r="AJ76" s="108"/>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8"/>
      <c r="AB77" s="10"/>
      <c r="AC77" s="108"/>
      <c r="AD77" s="10"/>
      <c r="AE77" s="10"/>
      <c r="AF77" s="10"/>
      <c r="AG77" s="10"/>
      <c r="AH77" s="10"/>
      <c r="AI77" s="108"/>
      <c r="AJ77" s="108"/>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8"/>
      <c r="AB78" s="10"/>
      <c r="AC78" s="108"/>
      <c r="AD78" s="10"/>
      <c r="AE78" s="10"/>
      <c r="AF78" s="10"/>
      <c r="AG78" s="10"/>
      <c r="AH78" s="10"/>
      <c r="AI78" s="108"/>
      <c r="AJ78" s="108"/>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8"/>
      <c r="AB79" s="10"/>
      <c r="AC79" s="108"/>
      <c r="AD79" s="10"/>
      <c r="AE79" s="10"/>
      <c r="AF79" s="10"/>
      <c r="AG79" s="10"/>
      <c r="AH79" s="10"/>
      <c r="AI79" s="108"/>
      <c r="AJ79" s="108"/>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8"/>
      <c r="AB80" s="10"/>
      <c r="AC80" s="108"/>
      <c r="AD80" s="10"/>
      <c r="AE80" s="10"/>
      <c r="AF80" s="10"/>
      <c r="AG80" s="10"/>
      <c r="AH80" s="10"/>
      <c r="AI80" s="108"/>
      <c r="AJ80" s="108"/>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8"/>
      <c r="AB81" s="10"/>
      <c r="AC81" s="108"/>
      <c r="AD81" s="10"/>
      <c r="AE81" s="10"/>
      <c r="AF81" s="10"/>
      <c r="AG81" s="10"/>
      <c r="AH81" s="10"/>
      <c r="AI81" s="108"/>
      <c r="AJ81" s="108"/>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8"/>
      <c r="AB82" s="10"/>
      <c r="AC82" s="108"/>
      <c r="AD82" s="10"/>
      <c r="AE82" s="10"/>
      <c r="AF82" s="10"/>
      <c r="AG82" s="10"/>
      <c r="AH82" s="10"/>
      <c r="AI82" s="108"/>
      <c r="AJ82" s="108"/>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8"/>
      <c r="AB83" s="10"/>
      <c r="AC83" s="108"/>
      <c r="AD83" s="10"/>
      <c r="AE83" s="10"/>
      <c r="AF83" s="10"/>
      <c r="AG83" s="10"/>
      <c r="AH83" s="10"/>
      <c r="AI83" s="108"/>
      <c r="AJ83" s="108"/>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8"/>
      <c r="AB84" s="10"/>
      <c r="AC84" s="108"/>
      <c r="AD84" s="10"/>
      <c r="AE84" s="10"/>
      <c r="AF84" s="10"/>
      <c r="AG84" s="10"/>
      <c r="AH84" s="10"/>
      <c r="AI84" s="108"/>
      <c r="AJ84" s="108"/>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8"/>
      <c r="AB85" s="10"/>
      <c r="AC85" s="108"/>
      <c r="AD85" s="10"/>
      <c r="AE85" s="10"/>
      <c r="AF85" s="10"/>
      <c r="AG85" s="10"/>
      <c r="AH85" s="10"/>
      <c r="AI85" s="108"/>
      <c r="AJ85" s="108"/>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8"/>
      <c r="AB86" s="10"/>
      <c r="AC86" s="108"/>
      <c r="AD86" s="10"/>
      <c r="AE86" s="10"/>
      <c r="AF86" s="10"/>
      <c r="AG86" s="10"/>
      <c r="AH86" s="10"/>
      <c r="AI86" s="108"/>
      <c r="AJ86" s="108"/>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8"/>
      <c r="AB87" s="10"/>
      <c r="AC87" s="108"/>
      <c r="AD87" s="10"/>
      <c r="AE87" s="10"/>
      <c r="AF87" s="10"/>
      <c r="AG87" s="10"/>
      <c r="AH87" s="10"/>
      <c r="AI87" s="108"/>
      <c r="AJ87" s="108"/>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8"/>
      <c r="AB88" s="10"/>
      <c r="AC88" s="108"/>
      <c r="AD88" s="10"/>
      <c r="AE88" s="10"/>
      <c r="AF88" s="10"/>
      <c r="AG88" s="10"/>
      <c r="AH88" s="10"/>
      <c r="AI88" s="108"/>
      <c r="AJ88" s="108"/>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8"/>
      <c r="AB89" s="10"/>
      <c r="AC89" s="108"/>
      <c r="AD89" s="10"/>
      <c r="AE89" s="10"/>
      <c r="AF89" s="10"/>
      <c r="AG89" s="10"/>
      <c r="AH89" s="10"/>
      <c r="AI89" s="108"/>
      <c r="AJ89" s="108"/>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8"/>
      <c r="AB90" s="10"/>
      <c r="AC90" s="108"/>
      <c r="AD90" s="10"/>
      <c r="AE90" s="10"/>
      <c r="AF90" s="10"/>
      <c r="AG90" s="10"/>
      <c r="AH90" s="10"/>
      <c r="AI90" s="108"/>
      <c r="AJ90" s="108"/>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8"/>
      <c r="AB91" s="10"/>
      <c r="AC91" s="108"/>
      <c r="AD91" s="10"/>
      <c r="AE91" s="10"/>
      <c r="AF91" s="10"/>
      <c r="AG91" s="10"/>
      <c r="AH91" s="10"/>
      <c r="AI91" s="108"/>
      <c r="AJ91" s="108"/>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8"/>
      <c r="AB92" s="10"/>
      <c r="AC92" s="108"/>
      <c r="AD92" s="10"/>
      <c r="AE92" s="10"/>
      <c r="AF92" s="10"/>
      <c r="AG92" s="10"/>
      <c r="AH92" s="10"/>
      <c r="AI92" s="108"/>
      <c r="AJ92" s="108"/>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8"/>
      <c r="AB93" s="10"/>
      <c r="AC93" s="108"/>
      <c r="AD93" s="10"/>
      <c r="AE93" s="10"/>
      <c r="AF93" s="10"/>
      <c r="AG93" s="10"/>
      <c r="AH93" s="10"/>
      <c r="AI93" s="108"/>
      <c r="AJ93" s="108"/>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8"/>
      <c r="AB94" s="10"/>
      <c r="AC94" s="108"/>
      <c r="AD94" s="10"/>
      <c r="AE94" s="10"/>
      <c r="AF94" s="10"/>
      <c r="AG94" s="10"/>
      <c r="AH94" s="10"/>
      <c r="AI94" s="108"/>
      <c r="AJ94" s="108"/>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8"/>
      <c r="AB95" s="10"/>
      <c r="AC95" s="108"/>
      <c r="AD95" s="10"/>
      <c r="AE95" s="10"/>
      <c r="AF95" s="10"/>
      <c r="AG95" s="10"/>
      <c r="AH95" s="10"/>
      <c r="AI95" s="108"/>
      <c r="AJ95" s="108"/>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8"/>
      <c r="AB96" s="10"/>
      <c r="AC96" s="108"/>
      <c r="AD96" s="10"/>
      <c r="AE96" s="10"/>
      <c r="AF96" s="10"/>
      <c r="AG96" s="10"/>
      <c r="AH96" s="10"/>
      <c r="AI96" s="108"/>
      <c r="AJ96" s="108"/>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8"/>
      <c r="AB97" s="10"/>
      <c r="AC97" s="108"/>
      <c r="AD97" s="10"/>
      <c r="AE97" s="10"/>
      <c r="AF97" s="10"/>
      <c r="AG97" s="10"/>
      <c r="AH97" s="10"/>
      <c r="AI97" s="108"/>
      <c r="AJ97" s="108"/>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8"/>
      <c r="AB98" s="10"/>
      <c r="AC98" s="108"/>
      <c r="AD98" s="10"/>
      <c r="AE98" s="10"/>
      <c r="AF98" s="10"/>
      <c r="AG98" s="10"/>
      <c r="AH98" s="10"/>
      <c r="AI98" s="108"/>
      <c r="AJ98" s="108"/>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8"/>
      <c r="AB99" s="10"/>
      <c r="AC99" s="108"/>
      <c r="AD99" s="10"/>
      <c r="AE99" s="10"/>
      <c r="AF99" s="10"/>
      <c r="AG99" s="10"/>
      <c r="AH99" s="10"/>
      <c r="AI99" s="108"/>
      <c r="AJ99" s="108"/>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8"/>
      <c r="AB100" s="10"/>
      <c r="AC100" s="108"/>
      <c r="AD100" s="10"/>
      <c r="AE100" s="10"/>
      <c r="AF100" s="10"/>
      <c r="AG100" s="10"/>
      <c r="AH100" s="10"/>
      <c r="AI100" s="108"/>
      <c r="AJ100" s="108"/>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8"/>
      <c r="AB101" s="10"/>
      <c r="AC101" s="108"/>
      <c r="AD101" s="10"/>
      <c r="AE101" s="10"/>
      <c r="AF101" s="10"/>
      <c r="AG101" s="10"/>
      <c r="AH101" s="10"/>
      <c r="AI101" s="108"/>
      <c r="AJ101" s="108"/>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8"/>
      <c r="AB102" s="10"/>
      <c r="AC102" s="108"/>
      <c r="AD102" s="10"/>
      <c r="AE102" s="10"/>
      <c r="AF102" s="10"/>
      <c r="AG102" s="10"/>
      <c r="AH102" s="10"/>
      <c r="AI102" s="108"/>
      <c r="AJ102" s="108"/>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8"/>
      <c r="AB103" s="10"/>
      <c r="AC103" s="108"/>
      <c r="AD103" s="10"/>
      <c r="AE103" s="10"/>
      <c r="AF103" s="10"/>
      <c r="AG103" s="10"/>
      <c r="AH103" s="10"/>
      <c r="AI103" s="108"/>
      <c r="AJ103" s="108"/>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8"/>
      <c r="AB104" s="10"/>
      <c r="AC104" s="108"/>
      <c r="AD104" s="10"/>
      <c r="AE104" s="10"/>
      <c r="AF104" s="10"/>
      <c r="AG104" s="10"/>
      <c r="AH104" s="10"/>
      <c r="AI104" s="108"/>
      <c r="AJ104" s="108"/>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8"/>
      <c r="AB105" s="10"/>
      <c r="AC105" s="108"/>
      <c r="AD105" s="10"/>
      <c r="AE105" s="10"/>
      <c r="AF105" s="10"/>
      <c r="AG105" s="10"/>
      <c r="AH105" s="10"/>
      <c r="AI105" s="108"/>
      <c r="AJ105" s="108"/>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8"/>
      <c r="AB106" s="10"/>
      <c r="AC106" s="108"/>
      <c r="AD106" s="10"/>
      <c r="AE106" s="10"/>
      <c r="AF106" s="10"/>
      <c r="AG106" s="10"/>
      <c r="AH106" s="10"/>
      <c r="AI106" s="108"/>
      <c r="AJ106" s="108"/>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8"/>
      <c r="AB107" s="10"/>
      <c r="AC107" s="108"/>
      <c r="AD107" s="10"/>
      <c r="AE107" s="10"/>
      <c r="AF107" s="10"/>
      <c r="AG107" s="10"/>
      <c r="AH107" s="10"/>
      <c r="AI107" s="108"/>
      <c r="AJ107" s="108"/>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8"/>
      <c r="AB108" s="10"/>
      <c r="AC108" s="108"/>
      <c r="AD108" s="10"/>
      <c r="AE108" s="10"/>
      <c r="AF108" s="10"/>
      <c r="AG108" s="10"/>
      <c r="AH108" s="10"/>
      <c r="AI108" s="108"/>
      <c r="AJ108" s="108"/>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8"/>
      <c r="AB109" s="10"/>
      <c r="AC109" s="108"/>
      <c r="AD109" s="10"/>
      <c r="AE109" s="10"/>
      <c r="AF109" s="10"/>
      <c r="AG109" s="10"/>
      <c r="AH109" s="10"/>
      <c r="AI109" s="108"/>
      <c r="AJ109" s="108"/>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8"/>
      <c r="AB110" s="10"/>
      <c r="AC110" s="108"/>
      <c r="AD110" s="10"/>
      <c r="AE110" s="10"/>
      <c r="AF110" s="10"/>
      <c r="AG110" s="10"/>
      <c r="AH110" s="10"/>
      <c r="AI110" s="108"/>
      <c r="AJ110" s="108"/>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8"/>
      <c r="AB111" s="10"/>
      <c r="AC111" s="108"/>
      <c r="AD111" s="10"/>
      <c r="AE111" s="10"/>
      <c r="AF111" s="10"/>
      <c r="AG111" s="10"/>
      <c r="AH111" s="10"/>
      <c r="AI111" s="108"/>
      <c r="AJ111" s="108"/>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8"/>
      <c r="AB112" s="10"/>
      <c r="AC112" s="108"/>
      <c r="AD112" s="10"/>
      <c r="AE112" s="10"/>
      <c r="AF112" s="10"/>
      <c r="AG112" s="10"/>
      <c r="AH112" s="10"/>
      <c r="AI112" s="108"/>
      <c r="AJ112" s="108"/>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8"/>
      <c r="AB113" s="10"/>
      <c r="AC113" s="108"/>
      <c r="AD113" s="10"/>
      <c r="AE113" s="10"/>
      <c r="AF113" s="10"/>
      <c r="AG113" s="10"/>
      <c r="AH113" s="10"/>
      <c r="AI113" s="108"/>
      <c r="AJ113" s="108"/>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8"/>
      <c r="AB114" s="10"/>
      <c r="AC114" s="108"/>
      <c r="AD114" s="10"/>
      <c r="AE114" s="10"/>
      <c r="AF114" s="10"/>
      <c r="AG114" s="10"/>
      <c r="AH114" s="10"/>
      <c r="AI114" s="108"/>
      <c r="AJ114" s="108"/>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8"/>
      <c r="AB115" s="10"/>
      <c r="AC115" s="108"/>
      <c r="AD115" s="10"/>
      <c r="AE115" s="10"/>
      <c r="AF115" s="10"/>
      <c r="AG115" s="10"/>
      <c r="AH115" s="10"/>
      <c r="AI115" s="108"/>
      <c r="AJ115" s="108"/>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8"/>
      <c r="AB116" s="10"/>
      <c r="AC116" s="108"/>
      <c r="AD116" s="10"/>
      <c r="AE116" s="10"/>
      <c r="AF116" s="10"/>
      <c r="AG116" s="10"/>
      <c r="AH116" s="10"/>
      <c r="AI116" s="108"/>
      <c r="AJ116" s="108"/>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8"/>
      <c r="AB117" s="10"/>
      <c r="AC117" s="108"/>
      <c r="AD117" s="10"/>
      <c r="AE117" s="10"/>
      <c r="AF117" s="10"/>
      <c r="AG117" s="10"/>
      <c r="AH117" s="10"/>
      <c r="AI117" s="108"/>
      <c r="AJ117" s="108"/>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8"/>
      <c r="AB118" s="10"/>
      <c r="AC118" s="108"/>
      <c r="AD118" s="10"/>
      <c r="AE118" s="10"/>
      <c r="AF118" s="10"/>
      <c r="AG118" s="10"/>
      <c r="AH118" s="10"/>
      <c r="AI118" s="108"/>
      <c r="AJ118" s="108"/>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8"/>
      <c r="AB119" s="10"/>
      <c r="AC119" s="108"/>
      <c r="AD119" s="10"/>
      <c r="AE119" s="10"/>
      <c r="AF119" s="10"/>
      <c r="AG119" s="10"/>
      <c r="AH119" s="10"/>
      <c r="AI119" s="108"/>
      <c r="AJ119" s="108"/>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8"/>
      <c r="AB120" s="10"/>
      <c r="AC120" s="108"/>
      <c r="AD120" s="10"/>
      <c r="AE120" s="10"/>
      <c r="AF120" s="10"/>
      <c r="AG120" s="10"/>
      <c r="AH120" s="10"/>
      <c r="AI120" s="108"/>
      <c r="AJ120" s="108"/>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8"/>
      <c r="AB121" s="10"/>
      <c r="AC121" s="108"/>
      <c r="AD121" s="10"/>
      <c r="AE121" s="10"/>
      <c r="AF121" s="10"/>
      <c r="AG121" s="10"/>
      <c r="AH121" s="10"/>
      <c r="AI121" s="108"/>
      <c r="AJ121" s="108"/>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8"/>
      <c r="AB122" s="10"/>
      <c r="AC122" s="108"/>
      <c r="AD122" s="10"/>
      <c r="AE122" s="10"/>
      <c r="AF122" s="10"/>
      <c r="AG122" s="10"/>
      <c r="AH122" s="10"/>
      <c r="AI122" s="108"/>
      <c r="AJ122" s="108"/>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8"/>
      <c r="AB123" s="10"/>
      <c r="AC123" s="108"/>
      <c r="AD123" s="10"/>
      <c r="AE123" s="10"/>
      <c r="AF123" s="10"/>
      <c r="AG123" s="10"/>
      <c r="AH123" s="10"/>
      <c r="AI123" s="108"/>
      <c r="AJ123" s="108"/>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8"/>
      <c r="AB124" s="10"/>
      <c r="AC124" s="108"/>
      <c r="AD124" s="10"/>
      <c r="AE124" s="10"/>
      <c r="AF124" s="10"/>
      <c r="AG124" s="10"/>
      <c r="AH124" s="10"/>
      <c r="AI124" s="108"/>
      <c r="AJ124" s="108"/>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8"/>
      <c r="AB125" s="10"/>
      <c r="AC125" s="108"/>
      <c r="AD125" s="10"/>
      <c r="AE125" s="10"/>
      <c r="AF125" s="10"/>
      <c r="AG125" s="10"/>
      <c r="AH125" s="10"/>
      <c r="AI125" s="108"/>
      <c r="AJ125" s="108"/>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8"/>
      <c r="AB126" s="10"/>
      <c r="AC126" s="108"/>
      <c r="AD126" s="10"/>
      <c r="AE126" s="10"/>
      <c r="AF126" s="10"/>
      <c r="AG126" s="10"/>
      <c r="AH126" s="10"/>
      <c r="AI126" s="108"/>
      <c r="AJ126" s="108"/>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8"/>
      <c r="AB127" s="10"/>
      <c r="AC127" s="108"/>
      <c r="AD127" s="10"/>
      <c r="AE127" s="10"/>
      <c r="AF127" s="10"/>
      <c r="AG127" s="10"/>
      <c r="AH127" s="10"/>
      <c r="AI127" s="108"/>
      <c r="AJ127" s="108"/>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8"/>
      <c r="AB128" s="10"/>
      <c r="AC128" s="108"/>
      <c r="AD128" s="10"/>
      <c r="AE128" s="10"/>
      <c r="AF128" s="10"/>
      <c r="AG128" s="10"/>
      <c r="AH128" s="10"/>
      <c r="AI128" s="108"/>
      <c r="AJ128" s="108"/>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8"/>
      <c r="AB129" s="10"/>
      <c r="AC129" s="108"/>
      <c r="AD129" s="10"/>
      <c r="AE129" s="10"/>
      <c r="AF129" s="10"/>
      <c r="AG129" s="10"/>
      <c r="AH129" s="10"/>
      <c r="AI129" s="108"/>
      <c r="AJ129" s="108"/>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8"/>
      <c r="AB130" s="10"/>
      <c r="AC130" s="108"/>
      <c r="AD130" s="10"/>
      <c r="AE130" s="10"/>
      <c r="AF130" s="10"/>
      <c r="AG130" s="10"/>
      <c r="AH130" s="10"/>
      <c r="AI130" s="108"/>
      <c r="AJ130" s="108"/>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8"/>
      <c r="AB131" s="10"/>
      <c r="AC131" s="108"/>
      <c r="AD131" s="10"/>
      <c r="AE131" s="10"/>
      <c r="AF131" s="10"/>
      <c r="AG131" s="10"/>
      <c r="AH131" s="10"/>
      <c r="AI131" s="108"/>
      <c r="AJ131" s="108"/>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8"/>
      <c r="AB132" s="10"/>
      <c r="AC132" s="108"/>
      <c r="AD132" s="10"/>
      <c r="AE132" s="10"/>
      <c r="AF132" s="10"/>
      <c r="AG132" s="10"/>
      <c r="AH132" s="10"/>
      <c r="AI132" s="108"/>
      <c r="AJ132" s="108"/>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8"/>
      <c r="AB133" s="10"/>
      <c r="AC133" s="108"/>
      <c r="AD133" s="10"/>
      <c r="AE133" s="10"/>
      <c r="AF133" s="10"/>
      <c r="AG133" s="10"/>
      <c r="AH133" s="10"/>
      <c r="AI133" s="108"/>
      <c r="AJ133" s="108"/>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8"/>
      <c r="AB134" s="10"/>
      <c r="AC134" s="108"/>
      <c r="AD134" s="10"/>
      <c r="AE134" s="10"/>
      <c r="AF134" s="10"/>
      <c r="AG134" s="10"/>
      <c r="AH134" s="10"/>
      <c r="AI134" s="108"/>
      <c r="AJ134" s="108"/>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8"/>
      <c r="AB135" s="10"/>
      <c r="AC135" s="108"/>
      <c r="AD135" s="10"/>
      <c r="AE135" s="10"/>
      <c r="AF135" s="10"/>
      <c r="AG135" s="10"/>
      <c r="AH135" s="10"/>
      <c r="AI135" s="108"/>
      <c r="AJ135" s="108"/>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8"/>
      <c r="AB136" s="10"/>
      <c r="AC136" s="108"/>
      <c r="AD136" s="10"/>
      <c r="AE136" s="10"/>
      <c r="AF136" s="10"/>
      <c r="AG136" s="10"/>
      <c r="AH136" s="10"/>
      <c r="AI136" s="108"/>
      <c r="AJ136" s="108"/>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8"/>
      <c r="AB137" s="10"/>
      <c r="AC137" s="108"/>
      <c r="AD137" s="10"/>
      <c r="AE137" s="10"/>
      <c r="AF137" s="10"/>
      <c r="AG137" s="10"/>
      <c r="AH137" s="10"/>
      <c r="AI137" s="108"/>
      <c r="AJ137" s="108"/>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8"/>
      <c r="AB138" s="10"/>
      <c r="AC138" s="108"/>
      <c r="AD138" s="10"/>
      <c r="AE138" s="10"/>
      <c r="AF138" s="10"/>
      <c r="AG138" s="10"/>
      <c r="AH138" s="10"/>
      <c r="AI138" s="108"/>
      <c r="AJ138" s="108"/>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8"/>
      <c r="AB139" s="10"/>
      <c r="AC139" s="108"/>
      <c r="AD139" s="10"/>
      <c r="AE139" s="10"/>
      <c r="AF139" s="10"/>
      <c r="AG139" s="10"/>
      <c r="AH139" s="10"/>
      <c r="AI139" s="108"/>
      <c r="AJ139" s="108"/>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8"/>
      <c r="AB140" s="10"/>
      <c r="AC140" s="108"/>
      <c r="AD140" s="10"/>
      <c r="AE140" s="10"/>
      <c r="AF140" s="10"/>
      <c r="AG140" s="10"/>
      <c r="AH140" s="10"/>
      <c r="AI140" s="108"/>
      <c r="AJ140" s="108"/>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8"/>
      <c r="AB141" s="10"/>
      <c r="AC141" s="108"/>
      <c r="AD141" s="10"/>
      <c r="AE141" s="10"/>
      <c r="AF141" s="10"/>
      <c r="AG141" s="10"/>
      <c r="AH141" s="10"/>
      <c r="AI141" s="108"/>
      <c r="AJ141" s="108"/>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8"/>
      <c r="AB142" s="10"/>
      <c r="AC142" s="108"/>
      <c r="AD142" s="10"/>
      <c r="AE142" s="10"/>
      <c r="AF142" s="10"/>
      <c r="AG142" s="10"/>
      <c r="AH142" s="10"/>
      <c r="AI142" s="108"/>
      <c r="AJ142" s="108"/>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8"/>
      <c r="AB143" s="10"/>
      <c r="AC143" s="108"/>
      <c r="AD143" s="10"/>
      <c r="AE143" s="10"/>
      <c r="AF143" s="10"/>
      <c r="AG143" s="10"/>
      <c r="AH143" s="10"/>
      <c r="AI143" s="108"/>
      <c r="AJ143" s="108"/>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8"/>
      <c r="AB144" s="10"/>
      <c r="AC144" s="108"/>
      <c r="AD144" s="10"/>
      <c r="AE144" s="10"/>
      <c r="AF144" s="10"/>
      <c r="AG144" s="10"/>
      <c r="AH144" s="10"/>
      <c r="AI144" s="108"/>
      <c r="AJ144" s="108"/>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8"/>
      <c r="AB145" s="10"/>
      <c r="AC145" s="108"/>
      <c r="AD145" s="10"/>
      <c r="AE145" s="10"/>
      <c r="AF145" s="10"/>
      <c r="AG145" s="10"/>
      <c r="AH145" s="10"/>
      <c r="AI145" s="108"/>
      <c r="AJ145" s="108"/>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8"/>
      <c r="AB146" s="10"/>
      <c r="AC146" s="108"/>
      <c r="AD146" s="10"/>
      <c r="AE146" s="10"/>
      <c r="AF146" s="10"/>
      <c r="AG146" s="10"/>
      <c r="AH146" s="10"/>
      <c r="AI146" s="108"/>
      <c r="AJ146" s="108"/>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8"/>
      <c r="AB147" s="10"/>
      <c r="AC147" s="108"/>
      <c r="AD147" s="10"/>
      <c r="AE147" s="10"/>
      <c r="AF147" s="10"/>
      <c r="AG147" s="10"/>
      <c r="AH147" s="10"/>
      <c r="AI147" s="108"/>
      <c r="AJ147" s="108"/>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8"/>
      <c r="AB148" s="10"/>
      <c r="AC148" s="108"/>
      <c r="AD148" s="10"/>
      <c r="AE148" s="10"/>
      <c r="AF148" s="10"/>
      <c r="AG148" s="10"/>
      <c r="AH148" s="10"/>
      <c r="AI148" s="108"/>
      <c r="AJ148" s="108"/>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8"/>
      <c r="AB149" s="10"/>
      <c r="AC149" s="108"/>
      <c r="AD149" s="10"/>
      <c r="AE149" s="10"/>
      <c r="AF149" s="10"/>
      <c r="AG149" s="10"/>
      <c r="AH149" s="10"/>
      <c r="AI149" s="108"/>
      <c r="AJ149" s="108"/>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8"/>
      <c r="AB150" s="10"/>
      <c r="AC150" s="108"/>
      <c r="AD150" s="10"/>
      <c r="AE150" s="10"/>
      <c r="AF150" s="10"/>
      <c r="AG150" s="10"/>
      <c r="AH150" s="10"/>
      <c r="AI150" s="108"/>
      <c r="AJ150" s="108"/>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8"/>
      <c r="AB151" s="10"/>
      <c r="AC151" s="108"/>
      <c r="AD151" s="10"/>
      <c r="AE151" s="10"/>
      <c r="AF151" s="10"/>
      <c r="AG151" s="10"/>
      <c r="AH151" s="10"/>
      <c r="AI151" s="108"/>
      <c r="AJ151" s="108"/>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8"/>
      <c r="AB152" s="10"/>
      <c r="AC152" s="108"/>
      <c r="AD152" s="10"/>
      <c r="AE152" s="10"/>
      <c r="AF152" s="10"/>
      <c r="AG152" s="10"/>
      <c r="AH152" s="10"/>
      <c r="AI152" s="108"/>
      <c r="AJ152" s="108"/>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8"/>
      <c r="AB153" s="10"/>
      <c r="AC153" s="108"/>
      <c r="AD153" s="10"/>
      <c r="AE153" s="10"/>
      <c r="AF153" s="10"/>
      <c r="AG153" s="10"/>
      <c r="AH153" s="10"/>
      <c r="AI153" s="108"/>
      <c r="AJ153" s="108"/>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8"/>
      <c r="AB154" s="10"/>
      <c r="AC154" s="108"/>
      <c r="AD154" s="10"/>
      <c r="AE154" s="10"/>
      <c r="AF154" s="10"/>
      <c r="AG154" s="10"/>
      <c r="AH154" s="10"/>
      <c r="AI154" s="108"/>
      <c r="AJ154" s="108"/>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8"/>
      <c r="AB155" s="10"/>
      <c r="AC155" s="108"/>
      <c r="AD155" s="10"/>
      <c r="AE155" s="10"/>
      <c r="AF155" s="10"/>
      <c r="AG155" s="10"/>
      <c r="AH155" s="10"/>
      <c r="AI155" s="108"/>
      <c r="AJ155" s="108"/>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8"/>
      <c r="AB156" s="10"/>
      <c r="AC156" s="108"/>
      <c r="AD156" s="10"/>
      <c r="AE156" s="10"/>
      <c r="AF156" s="10"/>
      <c r="AG156" s="10"/>
      <c r="AH156" s="10"/>
      <c r="AI156" s="108"/>
      <c r="AJ156" s="108"/>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8"/>
      <c r="AB157" s="10"/>
      <c r="AC157" s="108"/>
      <c r="AD157" s="10"/>
      <c r="AE157" s="10"/>
      <c r="AF157" s="10"/>
      <c r="AG157" s="10"/>
      <c r="AH157" s="10"/>
      <c r="AI157" s="108"/>
      <c r="AJ157" s="108"/>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8"/>
      <c r="AB158" s="10"/>
      <c r="AC158" s="108"/>
      <c r="AD158" s="10"/>
      <c r="AE158" s="10"/>
      <c r="AF158" s="10"/>
      <c r="AG158" s="10"/>
      <c r="AH158" s="10"/>
      <c r="AI158" s="108"/>
      <c r="AJ158" s="108"/>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8"/>
      <c r="AB159" s="10"/>
      <c r="AC159" s="108"/>
      <c r="AD159" s="10"/>
      <c r="AE159" s="10"/>
      <c r="AF159" s="10"/>
      <c r="AG159" s="10"/>
      <c r="AH159" s="10"/>
      <c r="AI159" s="108"/>
      <c r="AJ159" s="108"/>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8"/>
      <c r="AB160" s="10"/>
      <c r="AC160" s="108"/>
      <c r="AD160" s="10"/>
      <c r="AE160" s="10"/>
      <c r="AF160" s="10"/>
      <c r="AG160" s="10"/>
      <c r="AH160" s="10"/>
      <c r="AI160" s="108"/>
      <c r="AJ160" s="108"/>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8"/>
      <c r="AB161" s="10"/>
      <c r="AC161" s="108"/>
      <c r="AD161" s="10"/>
      <c r="AE161" s="10"/>
      <c r="AF161" s="10"/>
      <c r="AG161" s="10"/>
      <c r="AH161" s="10"/>
      <c r="AI161" s="108"/>
      <c r="AJ161" s="108"/>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8"/>
      <c r="AB162" s="10"/>
      <c r="AC162" s="108"/>
      <c r="AD162" s="10"/>
      <c r="AE162" s="10"/>
      <c r="AF162" s="10"/>
      <c r="AG162" s="10"/>
      <c r="AH162" s="10"/>
      <c r="AI162" s="108"/>
      <c r="AJ162" s="108"/>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8"/>
      <c r="AB163" s="10"/>
      <c r="AC163" s="108"/>
      <c r="AD163" s="10"/>
      <c r="AE163" s="10"/>
      <c r="AF163" s="10"/>
      <c r="AG163" s="10"/>
      <c r="AH163" s="10"/>
      <c r="AI163" s="108"/>
      <c r="AJ163" s="108"/>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8"/>
      <c r="AB164" s="10"/>
      <c r="AC164" s="108"/>
      <c r="AD164" s="10"/>
      <c r="AE164" s="10"/>
      <c r="AF164" s="10"/>
      <c r="AG164" s="10"/>
      <c r="AH164" s="10"/>
      <c r="AI164" s="108"/>
      <c r="AJ164" s="108"/>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8"/>
      <c r="AB165" s="10"/>
      <c r="AC165" s="108"/>
      <c r="AD165" s="10"/>
      <c r="AE165" s="10"/>
      <c r="AF165" s="10"/>
      <c r="AG165" s="10"/>
      <c r="AH165" s="10"/>
      <c r="AI165" s="108"/>
      <c r="AJ165" s="108"/>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8"/>
      <c r="AB166" s="10"/>
      <c r="AC166" s="108"/>
      <c r="AD166" s="10"/>
      <c r="AE166" s="10"/>
      <c r="AF166" s="10"/>
      <c r="AG166" s="10"/>
      <c r="AH166" s="10"/>
      <c r="AI166" s="108"/>
      <c r="AJ166" s="108"/>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8"/>
      <c r="AB167" s="10"/>
      <c r="AC167" s="108"/>
      <c r="AD167" s="10"/>
      <c r="AE167" s="10"/>
      <c r="AF167" s="10"/>
      <c r="AG167" s="10"/>
      <c r="AH167" s="10"/>
      <c r="AI167" s="108"/>
      <c r="AJ167" s="108"/>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8"/>
      <c r="AB168" s="10"/>
      <c r="AC168" s="108"/>
      <c r="AD168" s="10"/>
      <c r="AE168" s="10"/>
      <c r="AF168" s="10"/>
      <c r="AG168" s="10"/>
      <c r="AH168" s="10"/>
      <c r="AI168" s="108"/>
      <c r="AJ168" s="108"/>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8"/>
      <c r="AB169" s="10"/>
      <c r="AC169" s="108"/>
      <c r="AD169" s="10"/>
      <c r="AE169" s="10"/>
      <c r="AF169" s="10"/>
      <c r="AG169" s="10"/>
      <c r="AH169" s="10"/>
      <c r="AI169" s="108"/>
      <c r="AJ169" s="108"/>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8"/>
      <c r="AB170" s="10"/>
      <c r="AC170" s="108"/>
      <c r="AD170" s="10"/>
      <c r="AE170" s="10"/>
      <c r="AF170" s="10"/>
      <c r="AG170" s="10"/>
      <c r="AH170" s="10"/>
      <c r="AI170" s="108"/>
      <c r="AJ170" s="108"/>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8"/>
      <c r="AB171" s="10"/>
      <c r="AC171" s="108"/>
      <c r="AD171" s="10"/>
      <c r="AE171" s="10"/>
      <c r="AF171" s="10"/>
      <c r="AG171" s="10"/>
      <c r="AH171" s="10"/>
      <c r="AI171" s="108"/>
      <c r="AJ171" s="108"/>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8"/>
      <c r="AB172" s="10"/>
      <c r="AC172" s="108"/>
      <c r="AD172" s="10"/>
      <c r="AE172" s="10"/>
      <c r="AF172" s="10"/>
      <c r="AG172" s="10"/>
      <c r="AH172" s="10"/>
      <c r="AI172" s="108"/>
      <c r="AJ172" s="108"/>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8"/>
      <c r="AB173" s="10"/>
      <c r="AC173" s="108"/>
      <c r="AD173" s="10"/>
      <c r="AE173" s="10"/>
      <c r="AF173" s="10"/>
      <c r="AG173" s="10"/>
      <c r="AH173" s="10"/>
      <c r="AI173" s="108"/>
      <c r="AJ173" s="108"/>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8"/>
      <c r="AB174" s="10"/>
      <c r="AC174" s="108"/>
      <c r="AD174" s="10"/>
      <c r="AE174" s="10"/>
      <c r="AF174" s="10"/>
      <c r="AG174" s="10"/>
      <c r="AH174" s="10"/>
      <c r="AI174" s="108"/>
      <c r="AJ174" s="108"/>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8"/>
      <c r="AB175" s="10"/>
      <c r="AC175" s="108"/>
      <c r="AD175" s="10"/>
      <c r="AE175" s="10"/>
      <c r="AF175" s="10"/>
      <c r="AG175" s="10"/>
      <c r="AH175" s="10"/>
      <c r="AI175" s="108"/>
      <c r="AJ175" s="108"/>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8"/>
      <c r="AB176" s="10"/>
      <c r="AC176" s="108"/>
      <c r="AD176" s="10"/>
      <c r="AE176" s="10"/>
      <c r="AF176" s="10"/>
      <c r="AG176" s="10"/>
      <c r="AH176" s="10"/>
      <c r="AI176" s="108"/>
      <c r="AJ176" s="108"/>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8"/>
      <c r="AB177" s="10"/>
      <c r="AC177" s="108"/>
      <c r="AD177" s="10"/>
      <c r="AE177" s="10"/>
      <c r="AF177" s="10"/>
      <c r="AG177" s="10"/>
      <c r="AH177" s="10"/>
      <c r="AI177" s="108"/>
      <c r="AJ177" s="108"/>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8"/>
      <c r="AB178" s="10"/>
      <c r="AC178" s="108"/>
      <c r="AD178" s="10"/>
      <c r="AE178" s="10"/>
      <c r="AF178" s="10"/>
      <c r="AG178" s="10"/>
      <c r="AH178" s="10"/>
      <c r="AI178" s="108"/>
      <c r="AJ178" s="108"/>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8"/>
      <c r="AB179" s="10"/>
      <c r="AC179" s="108"/>
      <c r="AD179" s="10"/>
      <c r="AE179" s="10"/>
      <c r="AF179" s="10"/>
      <c r="AG179" s="10"/>
      <c r="AH179" s="10"/>
      <c r="AI179" s="108"/>
      <c r="AJ179" s="108"/>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8"/>
      <c r="AB180" s="10"/>
      <c r="AC180" s="108"/>
      <c r="AD180" s="10"/>
      <c r="AE180" s="10"/>
      <c r="AF180" s="10"/>
      <c r="AG180" s="10"/>
      <c r="AH180" s="10"/>
      <c r="AI180" s="108"/>
      <c r="AJ180" s="108"/>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8"/>
      <c r="AB181" s="10"/>
      <c r="AC181" s="108"/>
      <c r="AD181" s="10"/>
      <c r="AE181" s="10"/>
      <c r="AF181" s="10"/>
      <c r="AG181" s="10"/>
      <c r="AH181" s="10"/>
      <c r="AI181" s="108"/>
      <c r="AJ181" s="108"/>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8"/>
      <c r="AB182" s="10"/>
      <c r="AC182" s="108"/>
      <c r="AD182" s="10"/>
      <c r="AE182" s="10"/>
      <c r="AF182" s="10"/>
      <c r="AG182" s="10"/>
      <c r="AH182" s="10"/>
      <c r="AI182" s="108"/>
      <c r="AJ182" s="108"/>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8"/>
      <c r="AB183" s="10"/>
      <c r="AC183" s="108"/>
      <c r="AD183" s="10"/>
      <c r="AE183" s="10"/>
      <c r="AF183" s="10"/>
      <c r="AG183" s="10"/>
      <c r="AH183" s="10"/>
      <c r="AI183" s="108"/>
      <c r="AJ183" s="108"/>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8"/>
      <c r="AB184" s="10"/>
      <c r="AC184" s="108"/>
      <c r="AD184" s="10"/>
      <c r="AE184" s="10"/>
      <c r="AF184" s="10"/>
      <c r="AG184" s="10"/>
      <c r="AH184" s="10"/>
      <c r="AI184" s="108"/>
      <c r="AJ184" s="108"/>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8"/>
      <c r="AB185" s="10"/>
      <c r="AC185" s="108"/>
      <c r="AD185" s="10"/>
      <c r="AE185" s="10"/>
      <c r="AF185" s="10"/>
      <c r="AG185" s="10"/>
      <c r="AH185" s="10"/>
      <c r="AI185" s="108"/>
      <c r="AJ185" s="108"/>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8"/>
      <c r="AB186" s="10"/>
      <c r="AC186" s="108"/>
      <c r="AD186" s="10"/>
      <c r="AE186" s="10"/>
      <c r="AF186" s="10"/>
      <c r="AG186" s="10"/>
      <c r="AH186" s="10"/>
      <c r="AI186" s="108"/>
      <c r="AJ186" s="108"/>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8"/>
      <c r="AB187" s="10"/>
      <c r="AC187" s="108"/>
      <c r="AD187" s="10"/>
      <c r="AE187" s="10"/>
      <c r="AF187" s="10"/>
      <c r="AG187" s="10"/>
      <c r="AH187" s="10"/>
      <c r="AI187" s="108"/>
      <c r="AJ187" s="108"/>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8"/>
      <c r="AB188" s="10"/>
      <c r="AC188" s="108"/>
      <c r="AD188" s="10"/>
      <c r="AE188" s="10"/>
      <c r="AF188" s="10"/>
      <c r="AG188" s="10"/>
      <c r="AH188" s="10"/>
      <c r="AI188" s="108"/>
      <c r="AJ188" s="108"/>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8"/>
      <c r="AB189" s="10"/>
      <c r="AC189" s="108"/>
      <c r="AD189" s="10"/>
      <c r="AE189" s="10"/>
      <c r="AF189" s="10"/>
      <c r="AG189" s="10"/>
      <c r="AH189" s="10"/>
      <c r="AI189" s="108"/>
      <c r="AJ189" s="108"/>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8"/>
      <c r="AB190" s="10"/>
      <c r="AC190" s="108"/>
      <c r="AD190" s="10"/>
      <c r="AE190" s="10"/>
      <c r="AF190" s="10"/>
      <c r="AG190" s="10"/>
      <c r="AH190" s="10"/>
      <c r="AI190" s="108"/>
      <c r="AJ190" s="108"/>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8"/>
      <c r="AB191" s="10"/>
      <c r="AC191" s="108"/>
      <c r="AD191" s="10"/>
      <c r="AE191" s="10"/>
      <c r="AF191" s="10"/>
      <c r="AG191" s="10"/>
      <c r="AH191" s="10"/>
      <c r="AI191" s="108"/>
      <c r="AJ191" s="108"/>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8"/>
      <c r="AB192" s="10"/>
      <c r="AC192" s="108"/>
      <c r="AD192" s="10"/>
      <c r="AE192" s="10"/>
      <c r="AF192" s="10"/>
      <c r="AG192" s="10"/>
      <c r="AH192" s="10"/>
      <c r="AI192" s="108"/>
      <c r="AJ192" s="108"/>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8"/>
      <c r="AB193" s="10"/>
      <c r="AC193" s="108"/>
      <c r="AD193" s="10"/>
      <c r="AE193" s="10"/>
      <c r="AF193" s="10"/>
      <c r="AG193" s="10"/>
      <c r="AH193" s="10"/>
      <c r="AI193" s="108"/>
      <c r="AJ193" s="108"/>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8"/>
      <c r="AB194" s="10"/>
      <c r="AC194" s="108"/>
      <c r="AD194" s="10"/>
      <c r="AE194" s="10"/>
      <c r="AF194" s="10"/>
      <c r="AG194" s="10"/>
      <c r="AH194" s="10"/>
      <c r="AI194" s="108"/>
      <c r="AJ194" s="108"/>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8"/>
      <c r="AB195" s="10"/>
      <c r="AC195" s="108"/>
      <c r="AD195" s="10"/>
      <c r="AE195" s="10"/>
      <c r="AF195" s="10"/>
      <c r="AG195" s="10"/>
      <c r="AH195" s="10"/>
      <c r="AI195" s="108"/>
      <c r="AJ195" s="108"/>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8"/>
      <c r="AB196" s="10"/>
      <c r="AC196" s="108"/>
      <c r="AD196" s="10"/>
      <c r="AE196" s="10"/>
      <c r="AF196" s="10"/>
      <c r="AG196" s="10"/>
      <c r="AH196" s="10"/>
      <c r="AI196" s="108"/>
      <c r="AJ196" s="108"/>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8"/>
      <c r="AB197" s="10"/>
      <c r="AC197" s="108"/>
      <c r="AD197" s="10"/>
      <c r="AE197" s="10"/>
      <c r="AF197" s="10"/>
      <c r="AG197" s="10"/>
      <c r="AH197" s="10"/>
      <c r="AI197" s="108"/>
      <c r="AJ197" s="108"/>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8"/>
      <c r="AB198" s="10"/>
      <c r="AC198" s="108"/>
      <c r="AD198" s="10"/>
      <c r="AE198" s="10"/>
      <c r="AF198" s="10"/>
      <c r="AG198" s="10"/>
      <c r="AH198" s="10"/>
      <c r="AI198" s="108"/>
      <c r="AJ198" s="108"/>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8"/>
      <c r="AB199" s="10"/>
      <c r="AC199" s="108"/>
      <c r="AD199" s="10"/>
      <c r="AE199" s="10"/>
      <c r="AF199" s="10"/>
      <c r="AG199" s="10"/>
      <c r="AH199" s="10"/>
      <c r="AI199" s="108"/>
      <c r="AJ199" s="108"/>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8"/>
      <c r="AB200" s="10"/>
      <c r="AC200" s="108"/>
      <c r="AD200" s="10"/>
      <c r="AE200" s="10"/>
      <c r="AF200" s="10"/>
      <c r="AG200" s="10"/>
      <c r="AH200" s="10"/>
      <c r="AI200" s="108"/>
      <c r="AJ200" s="108"/>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8"/>
      <c r="AB201" s="10"/>
      <c r="AC201" s="108"/>
      <c r="AD201" s="10"/>
      <c r="AE201" s="10"/>
      <c r="AF201" s="10"/>
      <c r="AG201" s="10"/>
      <c r="AH201" s="10"/>
      <c r="AI201" s="108"/>
      <c r="AJ201" s="108"/>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8"/>
      <c r="AB202" s="10"/>
      <c r="AC202" s="108"/>
      <c r="AD202" s="10"/>
      <c r="AE202" s="10"/>
      <c r="AF202" s="10"/>
      <c r="AG202" s="10"/>
      <c r="AH202" s="10"/>
      <c r="AI202" s="108"/>
      <c r="AJ202" s="108"/>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8"/>
      <c r="AB203" s="10"/>
      <c r="AC203" s="108"/>
      <c r="AD203" s="10"/>
      <c r="AE203" s="10"/>
      <c r="AF203" s="10"/>
      <c r="AG203" s="10"/>
      <c r="AH203" s="10"/>
      <c r="AI203" s="108"/>
      <c r="AJ203" s="108"/>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8"/>
      <c r="AB204" s="10"/>
      <c r="AC204" s="108"/>
      <c r="AD204" s="10"/>
      <c r="AE204" s="10"/>
      <c r="AF204" s="10"/>
      <c r="AG204" s="10"/>
      <c r="AH204" s="10"/>
      <c r="AI204" s="108"/>
      <c r="AJ204" s="108"/>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8"/>
      <c r="AB205" s="10"/>
      <c r="AC205" s="108"/>
      <c r="AD205" s="10"/>
      <c r="AE205" s="10"/>
      <c r="AF205" s="10"/>
      <c r="AG205" s="10"/>
      <c r="AH205" s="10"/>
      <c r="AI205" s="108"/>
      <c r="AJ205" s="108"/>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8"/>
      <c r="AB206" s="10"/>
      <c r="AC206" s="108"/>
      <c r="AD206" s="10"/>
      <c r="AE206" s="10"/>
      <c r="AF206" s="10"/>
      <c r="AG206" s="10"/>
      <c r="AH206" s="10"/>
      <c r="AI206" s="108"/>
      <c r="AJ206" s="108"/>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8"/>
      <c r="AB207" s="10"/>
      <c r="AC207" s="108"/>
      <c r="AD207" s="10"/>
      <c r="AE207" s="10"/>
      <c r="AF207" s="10"/>
      <c r="AG207" s="10"/>
      <c r="AH207" s="10"/>
      <c r="AI207" s="108"/>
      <c r="AJ207" s="108"/>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8"/>
      <c r="AB208" s="10"/>
      <c r="AC208" s="108"/>
      <c r="AD208" s="10"/>
      <c r="AE208" s="10"/>
      <c r="AF208" s="10"/>
      <c r="AG208" s="10"/>
      <c r="AH208" s="10"/>
      <c r="AI208" s="108"/>
      <c r="AJ208" s="108"/>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8"/>
      <c r="AB209" s="10"/>
      <c r="AC209" s="108"/>
      <c r="AD209" s="10"/>
      <c r="AE209" s="10"/>
      <c r="AF209" s="10"/>
      <c r="AG209" s="10"/>
      <c r="AH209" s="10"/>
      <c r="AI209" s="108"/>
      <c r="AJ209" s="108"/>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8"/>
      <c r="AB210" s="10"/>
      <c r="AC210" s="108"/>
      <c r="AD210" s="10"/>
      <c r="AE210" s="10"/>
      <c r="AF210" s="10"/>
      <c r="AG210" s="10"/>
      <c r="AH210" s="10"/>
      <c r="AI210" s="108"/>
      <c r="AJ210" s="108"/>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8"/>
      <c r="AB211" s="10"/>
      <c r="AC211" s="108"/>
      <c r="AD211" s="10"/>
      <c r="AE211" s="10"/>
      <c r="AF211" s="10"/>
      <c r="AG211" s="10"/>
      <c r="AH211" s="10"/>
      <c r="AI211" s="108"/>
      <c r="AJ211" s="108"/>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8"/>
      <c r="AB212" s="10"/>
      <c r="AC212" s="108"/>
      <c r="AD212" s="10"/>
      <c r="AE212" s="10"/>
      <c r="AF212" s="10"/>
      <c r="AG212" s="10"/>
      <c r="AH212" s="10"/>
      <c r="AI212" s="108"/>
      <c r="AJ212" s="108"/>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8"/>
      <c r="AB213" s="10"/>
      <c r="AC213" s="108"/>
      <c r="AD213" s="10"/>
      <c r="AE213" s="10"/>
      <c r="AF213" s="10"/>
      <c r="AG213" s="10"/>
      <c r="AH213" s="10"/>
      <c r="AI213" s="108"/>
      <c r="AJ213" s="108"/>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8"/>
      <c r="AB214" s="10"/>
      <c r="AC214" s="108"/>
      <c r="AD214" s="10"/>
      <c r="AE214" s="10"/>
      <c r="AF214" s="10"/>
      <c r="AG214" s="10"/>
      <c r="AH214" s="10"/>
      <c r="AI214" s="108"/>
      <c r="AJ214" s="108"/>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8"/>
      <c r="AB215" s="10"/>
      <c r="AC215" s="108"/>
      <c r="AD215" s="10"/>
      <c r="AE215" s="10"/>
      <c r="AF215" s="10"/>
      <c r="AG215" s="10"/>
      <c r="AH215" s="10"/>
      <c r="AI215" s="108"/>
      <c r="AJ215" s="108"/>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8"/>
      <c r="AB216" s="10"/>
      <c r="AC216" s="108"/>
      <c r="AD216" s="10"/>
      <c r="AE216" s="10"/>
      <c r="AF216" s="10"/>
      <c r="AG216" s="10"/>
      <c r="AH216" s="10"/>
      <c r="AI216" s="108"/>
      <c r="AJ216" s="108"/>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8"/>
      <c r="AB217" s="10"/>
      <c r="AC217" s="108"/>
      <c r="AD217" s="10"/>
      <c r="AE217" s="10"/>
      <c r="AF217" s="10"/>
      <c r="AG217" s="10"/>
      <c r="AH217" s="10"/>
      <c r="AI217" s="108"/>
      <c r="AJ217" s="108"/>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8"/>
      <c r="AB218" s="10"/>
      <c r="AC218" s="108"/>
      <c r="AD218" s="10"/>
      <c r="AE218" s="10"/>
      <c r="AF218" s="10"/>
      <c r="AG218" s="10"/>
      <c r="AH218" s="10"/>
      <c r="AI218" s="108"/>
      <c r="AJ218" s="108"/>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8"/>
      <c r="AB219" s="10"/>
      <c r="AC219" s="108"/>
      <c r="AD219" s="10"/>
      <c r="AE219" s="10"/>
      <c r="AF219" s="10"/>
      <c r="AG219" s="10"/>
      <c r="AH219" s="10"/>
      <c r="AI219" s="108"/>
      <c r="AJ219" s="108"/>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8"/>
      <c r="AB220" s="10"/>
      <c r="AC220" s="108"/>
      <c r="AD220" s="10"/>
      <c r="AE220" s="10"/>
      <c r="AF220" s="10"/>
      <c r="AG220" s="10"/>
      <c r="AH220" s="10"/>
      <c r="AI220" s="108"/>
      <c r="AJ220" s="108"/>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8"/>
      <c r="AB221" s="10"/>
      <c r="AC221" s="108"/>
      <c r="AD221" s="10"/>
      <c r="AE221" s="10"/>
      <c r="AF221" s="10"/>
      <c r="AG221" s="10"/>
      <c r="AH221" s="10"/>
      <c r="AI221" s="108"/>
      <c r="AJ221" s="108"/>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8"/>
      <c r="AB222" s="10"/>
      <c r="AC222" s="108"/>
      <c r="AD222" s="10"/>
      <c r="AE222" s="10"/>
      <c r="AF222" s="10"/>
      <c r="AG222" s="10"/>
      <c r="AH222" s="10"/>
      <c r="AI222" s="108"/>
      <c r="AJ222" s="108"/>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8"/>
      <c r="AB223" s="10"/>
      <c r="AC223" s="108"/>
      <c r="AD223" s="10"/>
      <c r="AE223" s="10"/>
      <c r="AF223" s="10"/>
      <c r="AG223" s="10"/>
      <c r="AH223" s="10"/>
      <c r="AI223" s="108"/>
      <c r="AJ223" s="108"/>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8"/>
      <c r="AB224" s="10"/>
      <c r="AC224" s="108"/>
      <c r="AD224" s="10"/>
      <c r="AE224" s="10"/>
      <c r="AF224" s="10"/>
      <c r="AG224" s="10"/>
      <c r="AH224" s="10"/>
      <c r="AI224" s="108"/>
      <c r="AJ224" s="108"/>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8"/>
      <c r="AB225" s="10"/>
      <c r="AC225" s="108"/>
      <c r="AD225" s="10"/>
      <c r="AE225" s="10"/>
      <c r="AF225" s="10"/>
      <c r="AG225" s="10"/>
      <c r="AH225" s="10"/>
      <c r="AI225" s="108"/>
      <c r="AJ225" s="108"/>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8"/>
      <c r="AB226" s="10"/>
      <c r="AC226" s="108"/>
      <c r="AD226" s="10"/>
      <c r="AE226" s="10"/>
      <c r="AF226" s="10"/>
      <c r="AG226" s="10"/>
      <c r="AH226" s="10"/>
      <c r="AI226" s="108"/>
      <c r="AJ226" s="108"/>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8"/>
      <c r="AB227" s="10"/>
      <c r="AC227" s="108"/>
      <c r="AD227" s="10"/>
      <c r="AE227" s="10"/>
      <c r="AF227" s="10"/>
      <c r="AG227" s="10"/>
      <c r="AH227" s="10"/>
      <c r="AI227" s="108"/>
      <c r="AJ227" s="108"/>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8"/>
      <c r="AB228" s="10"/>
      <c r="AC228" s="108"/>
      <c r="AD228" s="10"/>
      <c r="AE228" s="10"/>
      <c r="AF228" s="10"/>
      <c r="AG228" s="10"/>
      <c r="AH228" s="10"/>
      <c r="AI228" s="108"/>
      <c r="AJ228" s="108"/>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8"/>
      <c r="AB229" s="10"/>
      <c r="AC229" s="108"/>
      <c r="AD229" s="10"/>
      <c r="AE229" s="10"/>
      <c r="AF229" s="10"/>
      <c r="AG229" s="10"/>
      <c r="AH229" s="10"/>
      <c r="AI229" s="108"/>
      <c r="AJ229" s="108"/>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8"/>
      <c r="AB230" s="10"/>
      <c r="AC230" s="108"/>
      <c r="AD230" s="10"/>
      <c r="AE230" s="10"/>
      <c r="AF230" s="10"/>
      <c r="AG230" s="10"/>
      <c r="AH230" s="10"/>
      <c r="AI230" s="108"/>
      <c r="AJ230" s="108"/>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8"/>
      <c r="AB231" s="10"/>
      <c r="AC231" s="108"/>
      <c r="AD231" s="10"/>
      <c r="AE231" s="10"/>
      <c r="AF231" s="10"/>
      <c r="AG231" s="10"/>
      <c r="AH231" s="10"/>
      <c r="AI231" s="108"/>
      <c r="AJ231" s="108"/>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8"/>
      <c r="AB232" s="10"/>
      <c r="AC232" s="108"/>
      <c r="AD232" s="10"/>
      <c r="AE232" s="10"/>
      <c r="AF232" s="10"/>
      <c r="AG232" s="10"/>
      <c r="AH232" s="10"/>
      <c r="AI232" s="108"/>
      <c r="AJ232" s="108"/>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row>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6" width="12.63"/>
    <col customWidth="1" min="8" max="8" width="69.75"/>
  </cols>
  <sheetData>
    <row r="1" ht="15.75" customHeight="1">
      <c r="A1" s="123" t="s">
        <v>117</v>
      </c>
      <c r="B1" s="123" t="s">
        <v>6424</v>
      </c>
      <c r="C1" s="123" t="s">
        <v>3321</v>
      </c>
      <c r="D1" s="123" t="s">
        <v>3322</v>
      </c>
      <c r="E1" s="123" t="s">
        <v>3323</v>
      </c>
      <c r="F1" s="123" t="s">
        <v>3324</v>
      </c>
      <c r="G1" s="123" t="s">
        <v>3325</v>
      </c>
      <c r="H1" s="20" t="s">
        <v>3326</v>
      </c>
      <c r="I1" s="123"/>
      <c r="J1" s="123"/>
      <c r="K1" s="123"/>
      <c r="L1" s="123"/>
      <c r="M1" s="123"/>
      <c r="N1" s="123"/>
      <c r="O1" s="123"/>
      <c r="P1" s="123"/>
      <c r="Q1" s="123"/>
      <c r="R1" s="123"/>
      <c r="S1" s="123"/>
      <c r="T1" s="123"/>
      <c r="U1" s="123"/>
      <c r="V1" s="123"/>
      <c r="W1" s="123"/>
      <c r="X1" s="123"/>
      <c r="Y1" s="123"/>
      <c r="Z1" s="123"/>
      <c r="AA1" s="123"/>
    </row>
    <row r="2" ht="15.75" customHeight="1">
      <c r="A2" s="211">
        <v>45175.0</v>
      </c>
      <c r="B2" s="28"/>
      <c r="C2" s="28">
        <v>0.5243055555555556</v>
      </c>
      <c r="D2" s="28">
        <v>0.06597222222222222</v>
      </c>
      <c r="E2" s="13">
        <v>1.0</v>
      </c>
      <c r="F2" s="13" t="s">
        <v>6425</v>
      </c>
      <c r="G2" s="13">
        <v>1.0</v>
      </c>
      <c r="H2" s="13" t="s">
        <v>6426</v>
      </c>
    </row>
    <row r="3" ht="15.75" customHeight="1">
      <c r="A3" s="211"/>
      <c r="E3" s="13">
        <v>2.0</v>
      </c>
      <c r="F3" s="13" t="s">
        <v>6427</v>
      </c>
      <c r="G3" s="13">
        <v>1.0</v>
      </c>
      <c r="H3" s="13" t="s">
        <v>6428</v>
      </c>
    </row>
    <row r="4" ht="15.75" customHeight="1">
      <c r="E4" s="13">
        <v>3.0</v>
      </c>
      <c r="F4" s="13" t="s">
        <v>6429</v>
      </c>
      <c r="G4" s="13">
        <v>6.0</v>
      </c>
      <c r="H4" s="13" t="s">
        <v>6430</v>
      </c>
    </row>
    <row r="5" ht="15.75" customHeight="1">
      <c r="E5" s="13">
        <v>4.0</v>
      </c>
      <c r="F5" s="13" t="s">
        <v>6431</v>
      </c>
      <c r="G5" s="13">
        <v>82.0</v>
      </c>
      <c r="H5" s="13" t="s">
        <v>6432</v>
      </c>
    </row>
    <row r="6" ht="15.75" customHeight="1"/>
    <row r="7" ht="15.75" customHeight="1">
      <c r="B7" s="28"/>
      <c r="C7" s="28">
        <v>0.12638888888888888</v>
      </c>
      <c r="D7" s="28">
        <v>0.1701388888888889</v>
      </c>
      <c r="E7" s="13">
        <v>1.0</v>
      </c>
      <c r="F7" s="13" t="s">
        <v>6431</v>
      </c>
      <c r="G7" s="13">
        <v>147.0</v>
      </c>
      <c r="H7" s="13" t="s">
        <v>6433</v>
      </c>
    </row>
    <row r="8" ht="15.75" customHeight="1">
      <c r="E8" s="13">
        <v>2.0</v>
      </c>
      <c r="F8" s="13" t="s">
        <v>6429</v>
      </c>
      <c r="G8" s="13">
        <v>107.0</v>
      </c>
      <c r="H8" s="13" t="s">
        <v>6434</v>
      </c>
    </row>
    <row r="9" ht="15.75" customHeight="1">
      <c r="E9" s="13">
        <v>3.0</v>
      </c>
      <c r="F9" s="13" t="s">
        <v>6427</v>
      </c>
      <c r="G9" s="13">
        <v>1.0</v>
      </c>
      <c r="H9" s="13" t="s">
        <v>6435</v>
      </c>
    </row>
    <row r="10" ht="15.75" customHeight="1">
      <c r="E10" s="13">
        <v>4.0</v>
      </c>
      <c r="F10" s="13" t="s">
        <v>6425</v>
      </c>
      <c r="G10" s="13">
        <v>6.0</v>
      </c>
      <c r="H10" s="13" t="s">
        <v>6436</v>
      </c>
    </row>
    <row r="11" ht="15.75" customHeight="1"/>
    <row r="12" ht="15.75" customHeight="1">
      <c r="B12" s="28"/>
      <c r="C12" s="28">
        <v>0.19791666666666666</v>
      </c>
      <c r="D12" s="28">
        <v>0.2222222222222222</v>
      </c>
      <c r="E12" s="13">
        <v>1.0</v>
      </c>
      <c r="F12" s="13" t="s">
        <v>6429</v>
      </c>
      <c r="G12" s="13">
        <v>99.0</v>
      </c>
      <c r="H12" s="13" t="s">
        <v>6437</v>
      </c>
    </row>
    <row r="13" ht="15.75" customHeight="1">
      <c r="A13" s="211"/>
      <c r="B13" s="28"/>
      <c r="C13" s="28"/>
      <c r="D13" s="28"/>
      <c r="E13" s="13">
        <v>2.0</v>
      </c>
      <c r="F13" s="13" t="s">
        <v>6427</v>
      </c>
      <c r="G13" s="13">
        <v>2.0</v>
      </c>
      <c r="H13" s="13" t="s">
        <v>6438</v>
      </c>
    </row>
    <row r="14" ht="15.75" customHeight="1">
      <c r="B14" s="28"/>
      <c r="C14" s="28"/>
      <c r="D14" s="28"/>
      <c r="E14" s="13">
        <v>3.0</v>
      </c>
      <c r="F14" s="13" t="s">
        <v>6425</v>
      </c>
      <c r="G14" s="13">
        <v>5.0</v>
      </c>
      <c r="H14" s="13" t="s">
        <v>6438</v>
      </c>
    </row>
    <row r="15" ht="15.75" customHeight="1"/>
    <row r="16" ht="15.75" customHeight="1">
      <c r="A16" s="30">
        <v>45176.0</v>
      </c>
      <c r="B16" s="28"/>
      <c r="C16" s="28">
        <v>0.4847222222222222</v>
      </c>
      <c r="D16" s="28">
        <v>0.5326388888888889</v>
      </c>
      <c r="E16" s="13">
        <v>1.0</v>
      </c>
      <c r="F16" s="13" t="s">
        <v>6429</v>
      </c>
      <c r="G16" s="13">
        <v>162.0</v>
      </c>
      <c r="H16" s="13" t="s">
        <v>6439</v>
      </c>
    </row>
    <row r="17" ht="15.75" customHeight="1">
      <c r="B17" s="28"/>
      <c r="C17" s="28"/>
      <c r="D17" s="28"/>
      <c r="E17" s="13">
        <v>2.0</v>
      </c>
      <c r="F17" s="13" t="s">
        <v>6425</v>
      </c>
      <c r="G17" s="13">
        <v>9.0</v>
      </c>
      <c r="H17" s="13" t="s">
        <v>6440</v>
      </c>
    </row>
    <row r="18" ht="15.75" customHeight="1">
      <c r="E18" s="13">
        <v>3.0</v>
      </c>
      <c r="F18" s="13" t="s">
        <v>6431</v>
      </c>
      <c r="G18" s="13">
        <v>165.0</v>
      </c>
      <c r="H18" s="13" t="s">
        <v>6439</v>
      </c>
    </row>
    <row r="19" ht="15.75" customHeight="1">
      <c r="A19" s="211"/>
      <c r="B19" s="28"/>
      <c r="C19" s="28"/>
      <c r="D19" s="28"/>
      <c r="E19" s="13">
        <v>4.0</v>
      </c>
      <c r="F19" s="13" t="s">
        <v>6427</v>
      </c>
      <c r="G19" s="13">
        <v>5.0</v>
      </c>
      <c r="H19" s="13" t="s">
        <v>6441</v>
      </c>
    </row>
    <row r="20" ht="15.75" customHeight="1">
      <c r="B20" s="28"/>
      <c r="C20" s="28"/>
      <c r="D20" s="28"/>
    </row>
    <row r="21" ht="15.75" customHeight="1">
      <c r="B21" s="28"/>
      <c r="C21" s="28">
        <v>0.09027777777777778</v>
      </c>
      <c r="D21" s="28">
        <v>0.14583333333333334</v>
      </c>
      <c r="E21" s="13">
        <v>1.0</v>
      </c>
      <c r="F21" s="13" t="s">
        <v>6427</v>
      </c>
      <c r="G21" s="13">
        <v>9.0</v>
      </c>
      <c r="H21" s="13" t="s">
        <v>6442</v>
      </c>
    </row>
    <row r="22" ht="15.75" customHeight="1">
      <c r="E22" s="13">
        <v>3.0</v>
      </c>
      <c r="F22" s="13" t="s">
        <v>6425</v>
      </c>
      <c r="G22" s="13">
        <v>5.0</v>
      </c>
      <c r="H22" s="13" t="s">
        <v>6442</v>
      </c>
    </row>
    <row r="23" ht="15.75" customHeight="1">
      <c r="A23" s="211"/>
      <c r="B23" s="28"/>
      <c r="C23" s="28"/>
      <c r="D23" s="28"/>
    </row>
    <row r="24" ht="15.75" customHeight="1">
      <c r="A24" s="30">
        <v>45177.0</v>
      </c>
      <c r="B24" s="28"/>
      <c r="C24" s="28">
        <v>0.4583333333333333</v>
      </c>
      <c r="D24" s="28">
        <v>0.5</v>
      </c>
      <c r="E24" s="13">
        <v>1.0</v>
      </c>
      <c r="F24" s="13" t="s">
        <v>6429</v>
      </c>
      <c r="G24" s="13">
        <v>154.0</v>
      </c>
      <c r="H24" s="13" t="s">
        <v>6443</v>
      </c>
    </row>
    <row r="25" ht="15.75" customHeight="1">
      <c r="A25" s="29"/>
      <c r="B25" s="28"/>
      <c r="C25" s="28"/>
      <c r="D25" s="28"/>
      <c r="E25" s="13">
        <v>2.0</v>
      </c>
      <c r="F25" s="13" t="s">
        <v>6427</v>
      </c>
      <c r="G25" s="13">
        <v>1.0</v>
      </c>
      <c r="H25" s="13" t="s">
        <v>6444</v>
      </c>
    </row>
    <row r="26" ht="15.75" customHeight="1">
      <c r="E26" s="13">
        <v>3.0</v>
      </c>
      <c r="F26" s="13" t="s">
        <v>6431</v>
      </c>
      <c r="G26" s="13">
        <v>182.0</v>
      </c>
      <c r="H26" s="13" t="s">
        <v>6443</v>
      </c>
    </row>
    <row r="27" ht="15.75" customHeight="1">
      <c r="E27" s="13">
        <v>4.0</v>
      </c>
      <c r="F27" s="13" t="s">
        <v>6425</v>
      </c>
      <c r="G27" s="13">
        <v>5.0</v>
      </c>
      <c r="H27" s="13" t="s">
        <v>6444</v>
      </c>
    </row>
    <row r="28" ht="15.75" customHeight="1">
      <c r="A28" s="212"/>
      <c r="B28" s="212"/>
      <c r="C28" s="212"/>
      <c r="D28" s="212"/>
      <c r="E28" s="212"/>
      <c r="F28" s="212"/>
      <c r="G28" s="212"/>
      <c r="H28" s="212"/>
      <c r="I28" s="212"/>
      <c r="J28" s="212"/>
      <c r="K28" s="212"/>
      <c r="L28" s="212"/>
      <c r="M28" s="212"/>
      <c r="N28" s="212"/>
      <c r="O28" s="212"/>
      <c r="P28" s="212"/>
      <c r="Q28" s="212"/>
      <c r="R28" s="212"/>
      <c r="S28" s="212"/>
      <c r="T28" s="212"/>
      <c r="U28" s="212"/>
      <c r="V28" s="212"/>
      <c r="W28" s="212"/>
      <c r="X28" s="212"/>
      <c r="Y28" s="212"/>
      <c r="Z28" s="212"/>
      <c r="AA28" s="212"/>
    </row>
    <row r="29" ht="15.75" customHeight="1">
      <c r="A29" s="13" t="s">
        <v>6445</v>
      </c>
    </row>
    <row r="30" ht="15.75" customHeight="1">
      <c r="B30" s="28"/>
      <c r="C30" s="28"/>
      <c r="D30" s="28"/>
    </row>
    <row r="31" ht="15.75" customHeight="1">
      <c r="A31" s="30">
        <v>45511.0</v>
      </c>
      <c r="B31" s="28"/>
      <c r="C31" s="28">
        <v>0.4236111111111111</v>
      </c>
      <c r="D31" s="28">
        <v>0.4548611111111111</v>
      </c>
      <c r="E31" s="13">
        <v>1.0</v>
      </c>
      <c r="F31" s="13">
        <v>4.0</v>
      </c>
      <c r="G31" s="13">
        <v>85.0</v>
      </c>
      <c r="H31" s="13" t="s">
        <v>6446</v>
      </c>
    </row>
    <row r="32" ht="15.75" customHeight="1">
      <c r="E32" s="13">
        <v>2.0</v>
      </c>
      <c r="F32" s="13">
        <v>3.0</v>
      </c>
      <c r="G32" s="13">
        <v>54.0</v>
      </c>
      <c r="H32" s="13" t="s">
        <v>6446</v>
      </c>
    </row>
    <row r="33" ht="15.75" customHeight="1">
      <c r="E33" s="13">
        <v>3.0</v>
      </c>
      <c r="F33" s="13">
        <v>1.0</v>
      </c>
      <c r="G33" s="13">
        <v>71.0</v>
      </c>
      <c r="H33" s="13" t="s">
        <v>6446</v>
      </c>
    </row>
    <row r="34" ht="15.75" customHeight="1">
      <c r="E34" s="13">
        <v>4.0</v>
      </c>
      <c r="F34" s="13">
        <v>2.0</v>
      </c>
      <c r="G34" s="13">
        <v>9.0</v>
      </c>
      <c r="H34" s="13" t="s">
        <v>6447</v>
      </c>
    </row>
    <row r="35" ht="15.75" customHeight="1">
      <c r="B35" s="28"/>
      <c r="C35" s="28">
        <v>0.4652777777777778</v>
      </c>
      <c r="D35" s="28">
        <v>0.4965277777777778</v>
      </c>
      <c r="E35" s="13">
        <v>1.0</v>
      </c>
      <c r="F35" s="13">
        <v>5.0</v>
      </c>
      <c r="G35" s="13">
        <v>11.0</v>
      </c>
    </row>
    <row r="36" ht="15.75" customHeight="1">
      <c r="E36" s="13">
        <v>2.0</v>
      </c>
      <c r="F36" s="13">
        <v>6.0</v>
      </c>
      <c r="G36" s="13">
        <v>9.0</v>
      </c>
    </row>
    <row r="37" ht="15.75" customHeight="1">
      <c r="E37" s="13">
        <v>3.0</v>
      </c>
      <c r="F37" s="13">
        <v>7.0</v>
      </c>
      <c r="G37" s="13">
        <v>41.0</v>
      </c>
    </row>
    <row r="38" ht="15.75" customHeight="1"/>
    <row r="39" ht="15.75" customHeight="1">
      <c r="B39" s="28"/>
      <c r="C39" s="28">
        <v>0.5590277777777778</v>
      </c>
      <c r="D39" s="28">
        <v>0.5902777777777778</v>
      </c>
      <c r="E39" s="13">
        <v>1.0</v>
      </c>
      <c r="F39" s="13">
        <v>1.0</v>
      </c>
      <c r="G39" s="13">
        <v>108.0</v>
      </c>
    </row>
    <row r="40" ht="15.75" customHeight="1">
      <c r="A40" s="29"/>
      <c r="B40" s="28"/>
      <c r="C40" s="28"/>
      <c r="E40" s="13">
        <v>2.0</v>
      </c>
      <c r="F40" s="13">
        <v>2.0</v>
      </c>
      <c r="G40" s="13">
        <v>19.0</v>
      </c>
    </row>
    <row r="41" ht="15.75" customHeight="1">
      <c r="E41" s="13">
        <v>3.0</v>
      </c>
      <c r="F41" s="13">
        <v>3.0</v>
      </c>
      <c r="G41" s="13">
        <v>66.0</v>
      </c>
    </row>
    <row r="42" ht="15.75" customHeight="1">
      <c r="E42" s="13">
        <v>4.0</v>
      </c>
      <c r="F42" s="13">
        <v>4.0</v>
      </c>
      <c r="G42" s="13">
        <v>86.0</v>
      </c>
    </row>
    <row r="43" ht="15.75" customHeight="1">
      <c r="B43" s="28"/>
      <c r="C43" s="28">
        <v>0.5972222222222222</v>
      </c>
      <c r="E43" s="13">
        <v>1.0</v>
      </c>
      <c r="F43" s="13">
        <v>6.0</v>
      </c>
      <c r="G43" s="13">
        <v>52.0</v>
      </c>
      <c r="H43" s="13" t="s">
        <v>6448</v>
      </c>
    </row>
    <row r="44" ht="15.75" customHeight="1">
      <c r="E44" s="13">
        <v>2.0</v>
      </c>
      <c r="F44" s="13">
        <v>7.0</v>
      </c>
      <c r="G44" s="13">
        <v>113.0</v>
      </c>
    </row>
    <row r="45" ht="15.75" customHeight="1">
      <c r="B45" s="28"/>
      <c r="C45" s="28"/>
      <c r="E45" s="13">
        <v>3.0</v>
      </c>
      <c r="F45" s="13">
        <v>5.0</v>
      </c>
      <c r="G45" s="13">
        <v>64.0</v>
      </c>
    </row>
    <row r="46" ht="15.75" customHeight="1"/>
    <row r="47" ht="15.75" customHeight="1">
      <c r="A47" s="30">
        <v>45512.0</v>
      </c>
      <c r="B47" s="28"/>
      <c r="C47" s="28">
        <v>0.4583333333333333</v>
      </c>
      <c r="D47" s="28">
        <v>0.4791666666666667</v>
      </c>
      <c r="E47" s="13">
        <v>1.0</v>
      </c>
      <c r="F47" s="13">
        <v>4.0</v>
      </c>
      <c r="G47" s="13">
        <v>95.0</v>
      </c>
    </row>
    <row r="48" ht="15.75" customHeight="1">
      <c r="E48" s="13">
        <v>2.0</v>
      </c>
      <c r="F48" s="13">
        <v>1.0</v>
      </c>
      <c r="G48" s="13">
        <v>153.0</v>
      </c>
    </row>
    <row r="49" ht="15.75" customHeight="1">
      <c r="E49" s="13">
        <v>3.0</v>
      </c>
      <c r="F49" s="13">
        <v>2.0</v>
      </c>
      <c r="G49" s="13">
        <v>58.0</v>
      </c>
    </row>
    <row r="50" ht="15.75" customHeight="1">
      <c r="E50" s="13">
        <v>4.0</v>
      </c>
      <c r="F50" s="13">
        <v>3.0</v>
      </c>
      <c r="G50" s="13">
        <v>123.0</v>
      </c>
    </row>
    <row r="51" ht="15.75" customHeight="1">
      <c r="A51" s="29"/>
      <c r="B51" s="28"/>
      <c r="C51" s="28">
        <v>0.4826388888888889</v>
      </c>
      <c r="D51" s="28">
        <v>0.5034722222222222</v>
      </c>
      <c r="E51" s="13">
        <v>1.0</v>
      </c>
      <c r="F51" s="13">
        <v>7.0</v>
      </c>
      <c r="G51" s="13">
        <v>87.0</v>
      </c>
    </row>
    <row r="52" ht="15.75" customHeight="1">
      <c r="E52" s="13">
        <v>2.0</v>
      </c>
      <c r="F52" s="13">
        <v>5.0</v>
      </c>
      <c r="G52" s="13">
        <v>98.0</v>
      </c>
    </row>
    <row r="53" ht="15.75" customHeight="1">
      <c r="E53" s="13">
        <v>3.0</v>
      </c>
      <c r="F53" s="13">
        <v>6.0</v>
      </c>
      <c r="G53" s="13">
        <v>64.0</v>
      </c>
    </row>
    <row r="54" ht="15.75" customHeight="1">
      <c r="B54" s="28"/>
      <c r="C54" s="28"/>
      <c r="D54" s="28"/>
    </row>
    <row r="55" ht="15.75" customHeight="1">
      <c r="B55" s="28"/>
      <c r="C55" s="28">
        <v>0.07569444444444444</v>
      </c>
      <c r="D55" s="28">
        <v>0.09652777777777778</v>
      </c>
      <c r="E55" s="13">
        <v>1.0</v>
      </c>
      <c r="F55" s="13">
        <v>2.0</v>
      </c>
      <c r="G55" s="13">
        <v>86.0</v>
      </c>
      <c r="H55" s="13" t="s">
        <v>6449</v>
      </c>
    </row>
    <row r="56" ht="15.75" customHeight="1">
      <c r="E56" s="13">
        <v>2.0</v>
      </c>
      <c r="F56" s="13">
        <v>4.0</v>
      </c>
      <c r="G56" s="13">
        <v>84.0</v>
      </c>
    </row>
    <row r="57" ht="15.75" customHeight="1">
      <c r="B57" s="28"/>
      <c r="C57" s="28"/>
      <c r="D57" s="28"/>
      <c r="E57" s="13">
        <v>3.0</v>
      </c>
      <c r="F57" s="13">
        <v>3.0</v>
      </c>
      <c r="G57" s="13">
        <v>75.0</v>
      </c>
    </row>
    <row r="58" ht="15.75" customHeight="1">
      <c r="E58" s="13">
        <v>4.0</v>
      </c>
      <c r="F58" s="13">
        <v>1.0</v>
      </c>
      <c r="G58" s="13">
        <v>73.0</v>
      </c>
    </row>
    <row r="59" ht="15.75" customHeight="1">
      <c r="B59" s="28"/>
      <c r="C59" s="28">
        <v>0.09930555555555555</v>
      </c>
      <c r="D59" s="28">
        <v>0.12013888888888889</v>
      </c>
      <c r="E59" s="13">
        <v>1.0</v>
      </c>
      <c r="F59" s="13">
        <v>5.0</v>
      </c>
      <c r="G59" s="13">
        <v>84.0</v>
      </c>
    </row>
    <row r="60" ht="15.75" customHeight="1">
      <c r="A60" s="29"/>
      <c r="B60" s="28"/>
      <c r="C60" s="28"/>
      <c r="D60" s="28"/>
      <c r="E60" s="13">
        <v>2.0</v>
      </c>
      <c r="F60" s="13">
        <v>6.0</v>
      </c>
      <c r="G60" s="13">
        <v>78.0</v>
      </c>
    </row>
    <row r="61" ht="15.75" customHeight="1">
      <c r="E61" s="13">
        <v>3.0</v>
      </c>
      <c r="F61" s="13">
        <v>7.0</v>
      </c>
      <c r="G61" s="13">
        <v>69.0</v>
      </c>
      <c r="H61" s="13" t="s">
        <v>6450</v>
      </c>
    </row>
    <row r="62" ht="15.75" customHeight="1">
      <c r="A62" s="212"/>
      <c r="B62" s="212"/>
      <c r="C62" s="212"/>
      <c r="D62" s="212"/>
      <c r="E62" s="212"/>
      <c r="F62" s="212"/>
      <c r="G62" s="212"/>
      <c r="H62" s="212"/>
    </row>
    <row r="63" ht="15.75" customHeight="1">
      <c r="A63" s="13" t="s">
        <v>6451</v>
      </c>
      <c r="H63" s="13" t="s">
        <v>6452</v>
      </c>
    </row>
    <row r="64" ht="15.75" customHeight="1">
      <c r="A64" s="30">
        <v>45687.0</v>
      </c>
      <c r="B64" s="13">
        <v>1.0</v>
      </c>
      <c r="C64" s="28">
        <v>0.08888888888888889</v>
      </c>
      <c r="D64" s="28">
        <v>0.11319444444444444</v>
      </c>
      <c r="E64" s="13">
        <v>1.0</v>
      </c>
      <c r="F64" s="13">
        <v>7.0</v>
      </c>
      <c r="G64" s="13">
        <v>10.0</v>
      </c>
      <c r="H64" s="13" t="s">
        <v>6453</v>
      </c>
    </row>
    <row r="65" ht="15.75" customHeight="1">
      <c r="B65" s="13"/>
      <c r="E65" s="13">
        <v>2.0</v>
      </c>
      <c r="F65" s="13">
        <v>4.0</v>
      </c>
      <c r="G65" s="13">
        <v>6.0</v>
      </c>
      <c r="H65" s="13" t="s">
        <v>6454</v>
      </c>
    </row>
    <row r="66" ht="15.75" customHeight="1">
      <c r="E66" s="13">
        <v>3.0</v>
      </c>
      <c r="F66" s="13">
        <v>3.0</v>
      </c>
      <c r="G66" s="13">
        <v>6.0</v>
      </c>
      <c r="H66" s="13" t="s">
        <v>6454</v>
      </c>
    </row>
    <row r="67" ht="15.75" customHeight="1">
      <c r="B67" s="28"/>
      <c r="C67" s="28">
        <v>0.12291666666666666</v>
      </c>
      <c r="D67" s="28">
        <v>0.14583333333333334</v>
      </c>
      <c r="E67" s="13">
        <v>1.0</v>
      </c>
      <c r="F67" s="13">
        <v>10.0</v>
      </c>
      <c r="G67" s="13">
        <v>11.0</v>
      </c>
      <c r="H67" s="13" t="s">
        <v>6455</v>
      </c>
    </row>
    <row r="68" ht="15.75" customHeight="1">
      <c r="E68" s="13">
        <v>2.0</v>
      </c>
      <c r="F68" s="13">
        <v>9.0</v>
      </c>
      <c r="G68" s="13">
        <v>11.0</v>
      </c>
      <c r="H68" s="13" t="s">
        <v>6455</v>
      </c>
    </row>
    <row r="69" ht="15.75" customHeight="1">
      <c r="E69" s="13">
        <v>3.0</v>
      </c>
      <c r="F69" s="13">
        <v>8.0</v>
      </c>
      <c r="G69" s="13">
        <v>8.0</v>
      </c>
      <c r="H69" s="13" t="s">
        <v>6455</v>
      </c>
    </row>
    <row r="70" ht="15.75" customHeight="1">
      <c r="B70" s="13">
        <v>2.0</v>
      </c>
      <c r="C70" s="28">
        <v>0.16111111111111112</v>
      </c>
      <c r="D70" s="28">
        <v>0.18263888888888888</v>
      </c>
      <c r="E70" s="13">
        <v>1.0</v>
      </c>
      <c r="F70" s="13">
        <v>3.0</v>
      </c>
      <c r="G70" s="13">
        <v>8.0</v>
      </c>
      <c r="H70" s="13" t="s">
        <v>6456</v>
      </c>
    </row>
    <row r="71" ht="15.75" customHeight="1">
      <c r="E71" s="13">
        <v>2.0</v>
      </c>
      <c r="F71" s="13">
        <v>7.0</v>
      </c>
      <c r="G71" s="13">
        <v>15.0</v>
      </c>
      <c r="H71" s="13" t="s">
        <v>6456</v>
      </c>
    </row>
    <row r="72" ht="15.75" customHeight="1">
      <c r="A72" s="29"/>
      <c r="B72" s="13"/>
      <c r="D72" s="28"/>
      <c r="E72" s="13">
        <v>3.0</v>
      </c>
      <c r="F72" s="13">
        <v>4.0</v>
      </c>
      <c r="G72" s="13">
        <v>5.0</v>
      </c>
      <c r="H72" s="13" t="s">
        <v>6457</v>
      </c>
    </row>
    <row r="73" ht="15.75" customHeight="1">
      <c r="B73" s="28"/>
      <c r="C73" s="28">
        <v>0.18958333333333333</v>
      </c>
      <c r="D73" s="28">
        <v>0.21041666666666667</v>
      </c>
      <c r="E73" s="13">
        <v>1.0</v>
      </c>
      <c r="F73" s="13">
        <v>8.0</v>
      </c>
      <c r="G73" s="13">
        <v>14.0</v>
      </c>
      <c r="H73" s="13" t="s">
        <v>6458</v>
      </c>
    </row>
    <row r="74" ht="15.75" customHeight="1">
      <c r="E74" s="13">
        <v>2.0</v>
      </c>
      <c r="F74" s="13">
        <v>10.0</v>
      </c>
      <c r="G74" s="13">
        <v>5.0</v>
      </c>
      <c r="H74" s="13" t="s">
        <v>6459</v>
      </c>
    </row>
    <row r="75" ht="15.75" customHeight="1">
      <c r="E75" s="13">
        <v>3.0</v>
      </c>
      <c r="F75" s="13">
        <v>9.0</v>
      </c>
      <c r="G75" s="13">
        <v>100.0</v>
      </c>
      <c r="H75" s="13" t="s">
        <v>6460</v>
      </c>
      <c r="I75" s="154"/>
      <c r="J75" s="154"/>
      <c r="K75" s="154"/>
      <c r="L75" s="154"/>
      <c r="M75" s="154"/>
      <c r="N75" s="154"/>
      <c r="O75" s="154"/>
      <c r="P75" s="154"/>
      <c r="Q75" s="154"/>
      <c r="R75" s="154"/>
      <c r="S75" s="154"/>
      <c r="T75" s="154"/>
      <c r="U75" s="154"/>
      <c r="V75" s="154"/>
      <c r="W75" s="154"/>
      <c r="X75" s="154"/>
      <c r="Y75" s="154"/>
      <c r="Z75" s="154"/>
      <c r="AA75" s="154"/>
    </row>
    <row r="76" ht="15.75" customHeight="1">
      <c r="B76" s="13"/>
      <c r="C76" s="28"/>
      <c r="D76" s="28"/>
      <c r="E76" s="13"/>
      <c r="F76" s="13"/>
    </row>
    <row r="77" ht="15.75" customHeight="1">
      <c r="A77" s="29">
        <v>45688.0</v>
      </c>
      <c r="B77" s="13">
        <v>1.0</v>
      </c>
      <c r="C77" s="28">
        <v>0.47430555555555554</v>
      </c>
      <c r="D77" s="28">
        <v>0.5097222222222222</v>
      </c>
      <c r="E77" s="13">
        <v>1.0</v>
      </c>
      <c r="F77" s="13">
        <v>4.0</v>
      </c>
      <c r="G77" s="13">
        <v>10.0</v>
      </c>
      <c r="H77" s="13" t="s">
        <v>6461</v>
      </c>
    </row>
    <row r="78" ht="15.75" customHeight="1">
      <c r="E78" s="13">
        <v>2.0</v>
      </c>
      <c r="F78" s="13">
        <v>3.0</v>
      </c>
      <c r="G78" s="13">
        <v>6.0</v>
      </c>
      <c r="H78" s="13" t="s">
        <v>6462</v>
      </c>
    </row>
    <row r="79" ht="15.75" customHeight="1">
      <c r="E79" s="13">
        <v>3.0</v>
      </c>
      <c r="F79" s="13">
        <v>7.0</v>
      </c>
      <c r="G79" s="13">
        <v>26.0</v>
      </c>
      <c r="H79" s="13" t="s">
        <v>6462</v>
      </c>
    </row>
    <row r="80" ht="15.75" customHeight="1">
      <c r="B80" s="28"/>
      <c r="C80" s="28">
        <v>0.5159722222222223</v>
      </c>
      <c r="D80" s="28">
        <v>0.04513888888888889</v>
      </c>
      <c r="E80" s="13">
        <v>1.0</v>
      </c>
      <c r="F80" s="13">
        <v>9.0</v>
      </c>
      <c r="G80" s="13">
        <v>77.0</v>
      </c>
    </row>
    <row r="81" ht="15.75" customHeight="1">
      <c r="E81" s="13">
        <v>2.0</v>
      </c>
      <c r="F81" s="13">
        <v>8.0</v>
      </c>
      <c r="G81" s="13">
        <v>15.0</v>
      </c>
    </row>
    <row r="82" ht="15.75" customHeight="1">
      <c r="E82" s="13">
        <v>3.0</v>
      </c>
      <c r="F82" s="13">
        <v>10.0</v>
      </c>
      <c r="G82" s="13">
        <v>8.0</v>
      </c>
      <c r="H82" s="13" t="s">
        <v>6463</v>
      </c>
    </row>
    <row r="83" ht="15.75" customHeight="1">
      <c r="A83" s="29"/>
      <c r="B83" s="13">
        <v>2.0</v>
      </c>
      <c r="C83" s="28">
        <v>0.050694444444444445</v>
      </c>
      <c r="D83" s="28">
        <v>0.07916666666666666</v>
      </c>
      <c r="E83" s="13">
        <v>1.0</v>
      </c>
      <c r="F83" s="13">
        <v>7.0</v>
      </c>
      <c r="G83" s="13">
        <v>125.0</v>
      </c>
      <c r="H83" s="13" t="s">
        <v>6464</v>
      </c>
    </row>
    <row r="84" ht="15.75" customHeight="1">
      <c r="E84" s="13">
        <v>2.0</v>
      </c>
      <c r="F84" s="13">
        <v>4.0</v>
      </c>
      <c r="G84" s="13">
        <v>5.0</v>
      </c>
      <c r="H84" s="13" t="s">
        <v>6465</v>
      </c>
    </row>
    <row r="85" ht="15.75" customHeight="1">
      <c r="E85" s="13">
        <v>3.0</v>
      </c>
      <c r="F85" s="13">
        <v>3.0</v>
      </c>
      <c r="G85" s="13">
        <v>38.0</v>
      </c>
      <c r="H85" s="13" t="s">
        <v>6466</v>
      </c>
    </row>
    <row r="86" ht="15.75" customHeight="1">
      <c r="B86" s="28"/>
      <c r="C86" s="28">
        <v>0.08333333333333333</v>
      </c>
      <c r="D86" s="28">
        <v>0.1076388888888889</v>
      </c>
      <c r="E86" s="13">
        <v>1.0</v>
      </c>
      <c r="F86" s="13">
        <v>10.0</v>
      </c>
      <c r="G86" s="13">
        <v>65.0</v>
      </c>
      <c r="H86" s="13" t="s">
        <v>6467</v>
      </c>
    </row>
    <row r="87" ht="15.75" customHeight="1">
      <c r="E87" s="13">
        <v>2.0</v>
      </c>
      <c r="F87" s="13">
        <v>9.0</v>
      </c>
      <c r="G87" s="13">
        <v>220.0</v>
      </c>
      <c r="H87" s="13" t="s">
        <v>6468</v>
      </c>
    </row>
    <row r="88" ht="15.75" customHeight="1">
      <c r="E88" s="13">
        <v>3.0</v>
      </c>
      <c r="F88" s="13">
        <v>8.0</v>
      </c>
      <c r="G88" s="13">
        <v>125.0</v>
      </c>
      <c r="H88" s="13" t="s">
        <v>6467</v>
      </c>
    </row>
    <row r="89" ht="15.75" customHeight="1">
      <c r="A89" s="30"/>
      <c r="B89" s="28"/>
      <c r="C89" s="28"/>
      <c r="D89" s="28"/>
    </row>
    <row r="90" ht="15.75" customHeight="1">
      <c r="A90" s="30">
        <v>45691.0</v>
      </c>
      <c r="B90" s="13">
        <v>1.0</v>
      </c>
      <c r="C90" s="28">
        <v>0.4076388888888889</v>
      </c>
      <c r="D90" s="28">
        <v>0.4326388888888889</v>
      </c>
      <c r="E90" s="13">
        <v>1.0</v>
      </c>
      <c r="F90" s="13">
        <v>3.0</v>
      </c>
      <c r="G90" s="13">
        <v>55.0</v>
      </c>
    </row>
    <row r="91" ht="15.75" customHeight="1">
      <c r="E91" s="13">
        <v>2.0</v>
      </c>
      <c r="F91" s="13">
        <v>7.0</v>
      </c>
      <c r="G91" s="13">
        <v>183.0</v>
      </c>
    </row>
    <row r="92" ht="15.75" customHeight="1">
      <c r="B92" s="28"/>
      <c r="C92" s="28"/>
      <c r="D92" s="28"/>
      <c r="E92" s="13">
        <v>3.0</v>
      </c>
      <c r="F92" s="13">
        <v>4.0</v>
      </c>
      <c r="G92" s="13">
        <v>9.0</v>
      </c>
      <c r="H92" s="13" t="s">
        <v>6469</v>
      </c>
    </row>
    <row r="93" ht="15.75" customHeight="1">
      <c r="C93" s="28">
        <v>0.4388888888888889</v>
      </c>
      <c r="D93" s="28">
        <v>0.46111111111111114</v>
      </c>
      <c r="E93" s="13">
        <v>1.0</v>
      </c>
      <c r="F93" s="13">
        <v>8.0</v>
      </c>
      <c r="G93" s="13">
        <v>206.0</v>
      </c>
    </row>
    <row r="94" ht="15.75" customHeight="1">
      <c r="E94" s="13">
        <v>2.0</v>
      </c>
      <c r="F94" s="13">
        <v>10.0</v>
      </c>
      <c r="G94" s="13">
        <v>239.0</v>
      </c>
    </row>
    <row r="95" ht="15.75" customHeight="1">
      <c r="E95" s="13">
        <v>3.0</v>
      </c>
      <c r="F95" s="13">
        <v>9.0</v>
      </c>
      <c r="G95" s="13">
        <v>219.0</v>
      </c>
    </row>
    <row r="96" ht="15.75" customHeight="1">
      <c r="B96" s="13">
        <v>2.0</v>
      </c>
      <c r="C96" s="28">
        <v>0.4652777777777778</v>
      </c>
      <c r="D96" s="28">
        <v>0.5097222222222222</v>
      </c>
      <c r="E96" s="13">
        <v>1.0</v>
      </c>
      <c r="F96" s="13">
        <v>4.0</v>
      </c>
      <c r="G96" s="13">
        <v>93.0</v>
      </c>
      <c r="H96" s="13" t="s">
        <v>6470</v>
      </c>
    </row>
    <row r="97" ht="15.75" customHeight="1">
      <c r="E97" s="13">
        <v>2.0</v>
      </c>
      <c r="F97" s="13">
        <v>3.0</v>
      </c>
      <c r="G97" s="13">
        <v>112.0</v>
      </c>
    </row>
    <row r="98" ht="15.75" customHeight="1">
      <c r="E98" s="13">
        <v>3.0</v>
      </c>
      <c r="F98" s="13">
        <v>7.0</v>
      </c>
      <c r="G98" s="13">
        <v>210.0</v>
      </c>
      <c r="H98" s="13" t="s">
        <v>6471</v>
      </c>
    </row>
    <row r="99" ht="15.75" customHeight="1">
      <c r="B99" s="13">
        <v>3.0</v>
      </c>
      <c r="C99" s="28">
        <v>0.5222222222222223</v>
      </c>
      <c r="D99" s="28">
        <v>0.04722222222222222</v>
      </c>
      <c r="E99" s="13">
        <v>2.0</v>
      </c>
      <c r="F99" s="13">
        <v>4.0</v>
      </c>
      <c r="G99" s="13">
        <v>7.0</v>
      </c>
      <c r="H99" s="13" t="s">
        <v>6472</v>
      </c>
    </row>
    <row r="100" ht="15.75" customHeight="1">
      <c r="E100" s="13">
        <v>3.0</v>
      </c>
      <c r="F100" s="13">
        <v>3.0</v>
      </c>
      <c r="G100" s="13">
        <v>30.0</v>
      </c>
      <c r="H100" s="13" t="s">
        <v>6473</v>
      </c>
    </row>
    <row r="101" ht="15.75" customHeight="1">
      <c r="H101" s="13" t="s">
        <v>6474</v>
      </c>
    </row>
    <row r="102" ht="15.75" customHeight="1"/>
    <row r="103" ht="15.75" customHeight="1">
      <c r="A103" s="13" t="s">
        <v>6475</v>
      </c>
    </row>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38"/>
    <col customWidth="1" min="2" max="2" width="4.88"/>
    <col customWidth="1" min="3" max="3" width="4.63"/>
    <col customWidth="1" min="4" max="4" width="5.38"/>
    <col customWidth="1" min="5" max="5" width="5.63"/>
    <col customWidth="1" min="6" max="6" width="6.38"/>
    <col customWidth="1" min="7" max="7" width="25.38"/>
    <col customWidth="1" min="8" max="8" width="50.25"/>
    <col customWidth="1" min="9" max="9" width="5.25"/>
    <col customWidth="1" min="10" max="10" width="4.0"/>
    <col customWidth="1" min="11" max="11" width="2.88"/>
    <col customWidth="1" min="12" max="12" width="4.88"/>
    <col customWidth="1" min="13" max="13" width="5.38"/>
    <col customWidth="1" min="14" max="14" width="4.63"/>
    <col customWidth="1" min="15" max="15" width="4.13"/>
    <col customWidth="1" min="16" max="16" width="5.75"/>
    <col customWidth="1" min="17" max="17" width="9.25"/>
  </cols>
  <sheetData>
    <row r="1" ht="15.75" customHeight="1">
      <c r="A1" s="20"/>
      <c r="B1" s="122" t="s">
        <v>2656</v>
      </c>
      <c r="C1" s="123" t="s">
        <v>2657</v>
      </c>
      <c r="D1" s="123" t="s">
        <v>2658</v>
      </c>
      <c r="E1" s="123" t="s">
        <v>35</v>
      </c>
      <c r="F1" s="123" t="s">
        <v>36</v>
      </c>
      <c r="G1" s="20" t="s">
        <v>37</v>
      </c>
      <c r="H1" s="20" t="s">
        <v>38</v>
      </c>
      <c r="I1" s="20" t="s">
        <v>39</v>
      </c>
      <c r="J1" s="123" t="s">
        <v>40</v>
      </c>
      <c r="K1" s="20" t="s">
        <v>41</v>
      </c>
      <c r="L1" s="123" t="s">
        <v>42</v>
      </c>
      <c r="M1" s="123" t="s">
        <v>43</v>
      </c>
      <c r="N1" s="123" t="s">
        <v>44</v>
      </c>
      <c r="O1" s="123" t="s">
        <v>45</v>
      </c>
      <c r="P1" s="123" t="s">
        <v>46</v>
      </c>
      <c r="Q1" s="124" t="s">
        <v>47</v>
      </c>
      <c r="R1" s="125" t="s">
        <v>48</v>
      </c>
    </row>
    <row r="2" ht="15.75" customHeight="1">
      <c r="A2" s="127">
        <v>45177.0</v>
      </c>
      <c r="B2" s="122">
        <v>4.0</v>
      </c>
      <c r="C2" s="128">
        <v>1.0</v>
      </c>
      <c r="D2" s="128">
        <v>1.0</v>
      </c>
      <c r="E2" s="129">
        <v>0.13541666666666666</v>
      </c>
      <c r="F2" s="129">
        <v>0.17708333333333334</v>
      </c>
      <c r="G2" s="130" t="s">
        <v>2661</v>
      </c>
      <c r="H2" s="20" t="s">
        <v>6476</v>
      </c>
      <c r="I2" s="128">
        <v>4.0</v>
      </c>
      <c r="J2" s="128">
        <v>0.0</v>
      </c>
      <c r="K2" s="128">
        <v>1.0</v>
      </c>
      <c r="L2" s="128">
        <v>1.0</v>
      </c>
      <c r="M2" s="128">
        <v>5.0</v>
      </c>
      <c r="N2" s="131"/>
      <c r="O2" s="128">
        <v>0.0</v>
      </c>
      <c r="P2" s="131"/>
      <c r="Q2" s="125"/>
      <c r="R2" s="124">
        <f>(O2+P2)/I2</f>
        <v>0</v>
      </c>
    </row>
    <row r="3" ht="15.75" customHeight="1">
      <c r="A3" s="10"/>
      <c r="B3" s="135">
        <v>3.0</v>
      </c>
      <c r="C3" s="13">
        <v>1.0</v>
      </c>
      <c r="D3" s="13">
        <v>1.0</v>
      </c>
      <c r="E3" s="28">
        <v>0.1840277777777778</v>
      </c>
      <c r="F3" s="28">
        <v>0.22916666666666666</v>
      </c>
      <c r="G3" s="130" t="s">
        <v>2664</v>
      </c>
      <c r="H3" s="10" t="s">
        <v>6477</v>
      </c>
      <c r="I3" s="13">
        <v>33.0</v>
      </c>
      <c r="J3" s="13">
        <v>6.0</v>
      </c>
      <c r="K3" s="13">
        <v>7.0</v>
      </c>
      <c r="L3" s="13">
        <v>9.0</v>
      </c>
      <c r="M3" s="13">
        <v>20.0</v>
      </c>
      <c r="N3" s="131"/>
      <c r="O3" s="13">
        <v>6.0</v>
      </c>
      <c r="P3" s="131"/>
      <c r="Q3" s="132"/>
    </row>
    <row r="4" ht="15.75" customHeight="1">
      <c r="A4" s="10"/>
      <c r="B4" s="135"/>
      <c r="C4" s="13"/>
      <c r="E4" s="28"/>
      <c r="F4" s="28"/>
      <c r="G4" s="20"/>
      <c r="H4" s="10"/>
      <c r="N4" s="131"/>
      <c r="P4" s="131"/>
      <c r="Q4" s="132"/>
    </row>
    <row r="5" ht="15.75" customHeight="1">
      <c r="A5" s="27">
        <v>45180.0</v>
      </c>
      <c r="B5" s="135">
        <v>3.0</v>
      </c>
      <c r="C5" s="13">
        <v>2.0</v>
      </c>
      <c r="D5" s="13">
        <v>1.0</v>
      </c>
      <c r="E5" s="28">
        <v>0.40902777777777777</v>
      </c>
      <c r="F5" s="28">
        <v>0.45069444444444445</v>
      </c>
      <c r="G5" s="130" t="s">
        <v>2664</v>
      </c>
      <c r="H5" s="10" t="s">
        <v>6478</v>
      </c>
      <c r="I5" s="13">
        <v>88.0</v>
      </c>
      <c r="J5" s="13">
        <v>14.0</v>
      </c>
      <c r="K5" s="13">
        <v>31.0</v>
      </c>
      <c r="L5" s="13">
        <v>32.0</v>
      </c>
      <c r="M5" s="13">
        <v>31.0</v>
      </c>
      <c r="N5" s="131"/>
      <c r="O5" s="13">
        <v>30.0</v>
      </c>
      <c r="P5" s="131"/>
      <c r="Q5" s="132"/>
    </row>
    <row r="6" ht="15.75" customHeight="1">
      <c r="A6" s="10"/>
      <c r="B6" s="135">
        <v>4.0</v>
      </c>
      <c r="C6" s="13">
        <v>2.0</v>
      </c>
      <c r="D6" s="13">
        <v>2.0</v>
      </c>
      <c r="E6" s="28">
        <v>0.4548611111111111</v>
      </c>
      <c r="F6" s="28">
        <v>0.4895833333333333</v>
      </c>
      <c r="G6" s="130" t="s">
        <v>2664</v>
      </c>
      <c r="H6" s="10" t="s">
        <v>6479</v>
      </c>
      <c r="I6" s="13">
        <v>57.0</v>
      </c>
      <c r="J6" s="13">
        <v>25.0</v>
      </c>
      <c r="K6" s="13">
        <v>5.0</v>
      </c>
      <c r="L6" s="13">
        <v>21.0</v>
      </c>
      <c r="M6" s="13">
        <v>31.0</v>
      </c>
      <c r="N6" s="131"/>
      <c r="O6" s="13">
        <v>6.0</v>
      </c>
      <c r="P6" s="131"/>
      <c r="Q6" s="132"/>
    </row>
    <row r="7" ht="15.75" customHeight="1">
      <c r="A7" s="10"/>
      <c r="B7" s="135">
        <v>3.0</v>
      </c>
      <c r="C7" s="13">
        <v>3.0</v>
      </c>
      <c r="D7" s="13">
        <v>1.0</v>
      </c>
      <c r="E7" s="28">
        <v>0.06458333333333334</v>
      </c>
      <c r="F7" s="28">
        <v>0.10625</v>
      </c>
      <c r="G7" s="130" t="s">
        <v>6480</v>
      </c>
      <c r="H7" s="10" t="s">
        <v>6481</v>
      </c>
      <c r="I7" s="13">
        <v>111.0</v>
      </c>
      <c r="J7" s="13">
        <v>17.0</v>
      </c>
      <c r="K7" s="13">
        <v>50.0</v>
      </c>
      <c r="L7" s="13">
        <v>42.0</v>
      </c>
      <c r="M7" s="13">
        <v>22.0</v>
      </c>
      <c r="N7" s="131"/>
      <c r="O7" s="13">
        <v>53.0</v>
      </c>
      <c r="P7" s="131"/>
      <c r="Q7" s="132"/>
    </row>
    <row r="8" ht="15.75" customHeight="1">
      <c r="A8" s="10"/>
      <c r="B8" s="135">
        <v>4.0</v>
      </c>
      <c r="C8" s="13">
        <v>3.0</v>
      </c>
      <c r="D8" s="13">
        <v>2.0</v>
      </c>
      <c r="E8" s="28">
        <v>0.11041666666666666</v>
      </c>
      <c r="F8" s="28">
        <v>0.16041666666666668</v>
      </c>
      <c r="G8" s="130" t="s">
        <v>6480</v>
      </c>
      <c r="H8" s="10" t="s">
        <v>6482</v>
      </c>
      <c r="I8" s="13">
        <v>102.0</v>
      </c>
      <c r="J8" s="13">
        <v>50.0</v>
      </c>
      <c r="K8" s="13">
        <v>8.0</v>
      </c>
      <c r="L8" s="13">
        <v>42.0</v>
      </c>
      <c r="M8" s="13">
        <v>64.0</v>
      </c>
      <c r="N8" s="131"/>
      <c r="O8" s="13">
        <v>14.0</v>
      </c>
      <c r="P8" s="131"/>
      <c r="Q8" s="132"/>
    </row>
    <row r="9" ht="15.75" customHeight="1">
      <c r="A9" s="10"/>
      <c r="B9" s="135"/>
      <c r="G9" s="10"/>
      <c r="H9" s="10"/>
      <c r="N9" s="131"/>
      <c r="P9" s="131"/>
      <c r="Q9" s="132"/>
    </row>
    <row r="10" ht="29.25" customHeight="1">
      <c r="A10" s="27">
        <v>45181.0</v>
      </c>
      <c r="B10" s="135">
        <v>4.0</v>
      </c>
      <c r="C10" s="13">
        <v>4.0</v>
      </c>
      <c r="D10" s="13">
        <v>1.0</v>
      </c>
      <c r="E10" s="28">
        <v>0.45625</v>
      </c>
      <c r="F10" s="28">
        <v>0.4965277777777778</v>
      </c>
      <c r="G10" s="213" t="s">
        <v>6483</v>
      </c>
      <c r="H10" s="10" t="s">
        <v>6484</v>
      </c>
      <c r="N10" s="131"/>
      <c r="P10" s="131"/>
      <c r="Q10" s="132"/>
    </row>
    <row r="11" ht="15.75" customHeight="1">
      <c r="A11" s="10"/>
      <c r="B11" s="135">
        <v>3.0</v>
      </c>
      <c r="C11" s="13">
        <v>4.0</v>
      </c>
      <c r="D11" s="13">
        <v>1.0</v>
      </c>
      <c r="E11" s="28">
        <v>0.4979166666666667</v>
      </c>
      <c r="F11" s="28">
        <v>0.5402777777777777</v>
      </c>
      <c r="G11" s="213" t="s">
        <v>6483</v>
      </c>
      <c r="H11" s="10" t="s">
        <v>6485</v>
      </c>
      <c r="I11" s="13">
        <v>102.0</v>
      </c>
      <c r="J11" s="13">
        <v>8.0</v>
      </c>
      <c r="K11" s="13">
        <v>44.0</v>
      </c>
      <c r="L11" s="13">
        <v>48.0</v>
      </c>
      <c r="M11" s="13">
        <v>16.0</v>
      </c>
      <c r="N11" s="131"/>
      <c r="O11" s="13">
        <v>51.0</v>
      </c>
      <c r="P11" s="131"/>
      <c r="Q11" s="132"/>
    </row>
    <row r="12" ht="15.75" customHeight="1">
      <c r="A12" s="10"/>
      <c r="B12" s="135"/>
      <c r="C12" s="13"/>
      <c r="D12" s="13"/>
      <c r="E12" s="28"/>
      <c r="G12" s="10"/>
      <c r="H12" s="109" t="s">
        <v>6486</v>
      </c>
      <c r="N12" s="131"/>
      <c r="P12" s="131"/>
      <c r="Q12" s="132"/>
    </row>
    <row r="13" ht="42.75" customHeight="1">
      <c r="A13" s="10"/>
      <c r="B13" s="135">
        <v>4.0</v>
      </c>
      <c r="C13" s="13">
        <v>5.0</v>
      </c>
      <c r="D13" s="13">
        <v>2.0</v>
      </c>
      <c r="E13" s="28">
        <v>0.10694444444444444</v>
      </c>
      <c r="F13" s="28">
        <v>0.14375</v>
      </c>
      <c r="G13" s="213" t="s">
        <v>6487</v>
      </c>
      <c r="H13" s="10" t="s">
        <v>6488</v>
      </c>
      <c r="I13" s="13">
        <v>67.0</v>
      </c>
      <c r="J13" s="13">
        <v>25.0</v>
      </c>
      <c r="K13" s="13">
        <v>18.0</v>
      </c>
      <c r="L13" s="13">
        <v>23.0</v>
      </c>
      <c r="M13" s="13">
        <v>42.0</v>
      </c>
      <c r="N13" s="131"/>
      <c r="O13" s="13">
        <v>8.0</v>
      </c>
      <c r="P13" s="131"/>
      <c r="Q13" s="132"/>
    </row>
    <row r="14" ht="30.0" customHeight="1">
      <c r="A14" s="10"/>
      <c r="B14" s="135">
        <v>3.0</v>
      </c>
      <c r="C14" s="13">
        <v>5.0</v>
      </c>
      <c r="D14" s="13">
        <v>2.0</v>
      </c>
      <c r="E14" s="28">
        <v>0.14722222222222223</v>
      </c>
      <c r="F14" s="28">
        <v>0.18888888888888888</v>
      </c>
      <c r="G14" s="213" t="s">
        <v>6487</v>
      </c>
      <c r="H14" s="10" t="s">
        <v>6489</v>
      </c>
      <c r="I14" s="13">
        <v>117.0</v>
      </c>
      <c r="J14" s="13">
        <v>20.0</v>
      </c>
      <c r="K14" s="13">
        <v>58.0</v>
      </c>
      <c r="L14" s="13">
        <v>38.0</v>
      </c>
      <c r="M14" s="13">
        <v>17.0</v>
      </c>
      <c r="N14" s="131"/>
      <c r="O14" s="13">
        <v>72.0</v>
      </c>
      <c r="P14" s="131"/>
      <c r="Q14" s="132"/>
    </row>
    <row r="15" ht="15.75" customHeight="1">
      <c r="A15" s="10"/>
      <c r="B15" s="135"/>
      <c r="G15" s="10"/>
      <c r="H15" s="10"/>
      <c r="N15" s="131"/>
      <c r="P15" s="131"/>
      <c r="Q15" s="132"/>
    </row>
    <row r="16" ht="15.75" customHeight="1">
      <c r="A16" s="27">
        <v>45182.0</v>
      </c>
      <c r="B16" s="135">
        <v>3.0</v>
      </c>
      <c r="C16" s="13">
        <v>6.0</v>
      </c>
      <c r="D16" s="13">
        <v>1.0</v>
      </c>
      <c r="E16" s="28">
        <v>0.39791666666666664</v>
      </c>
      <c r="F16" s="28">
        <v>0.42986111111111114</v>
      </c>
      <c r="G16" s="213" t="s">
        <v>6490</v>
      </c>
      <c r="H16" s="10" t="s">
        <v>6491</v>
      </c>
      <c r="I16" s="13">
        <v>83.0</v>
      </c>
      <c r="J16" s="13">
        <v>47.0</v>
      </c>
      <c r="K16" s="13">
        <v>35.0</v>
      </c>
      <c r="L16" s="13">
        <v>1.0</v>
      </c>
      <c r="M16" s="13">
        <v>10.0</v>
      </c>
      <c r="N16" s="131"/>
      <c r="O16" s="13">
        <v>74.0</v>
      </c>
      <c r="P16" s="131"/>
      <c r="Q16" s="132"/>
    </row>
    <row r="17" ht="15.75" customHeight="1">
      <c r="A17" s="10"/>
      <c r="B17" s="135">
        <v>4.0</v>
      </c>
      <c r="C17" s="13">
        <v>6.0</v>
      </c>
      <c r="D17" s="13">
        <v>1.0</v>
      </c>
      <c r="E17" s="28">
        <v>0.43472222222222223</v>
      </c>
      <c r="F17" s="28">
        <v>0.4798611111111111</v>
      </c>
      <c r="G17" s="213" t="s">
        <v>6490</v>
      </c>
      <c r="H17" s="10" t="s">
        <v>6492</v>
      </c>
      <c r="I17" s="13">
        <v>84.0</v>
      </c>
      <c r="J17" s="13">
        <v>30.0</v>
      </c>
      <c r="K17" s="13">
        <v>32.0</v>
      </c>
      <c r="L17" s="13">
        <v>21.0</v>
      </c>
      <c r="M17" s="13">
        <v>34.0</v>
      </c>
      <c r="N17" s="131"/>
      <c r="O17" s="13">
        <v>32.0</v>
      </c>
      <c r="P17" s="131"/>
      <c r="Q17" s="132"/>
    </row>
    <row r="18" ht="15.75" customHeight="1">
      <c r="A18" s="10"/>
      <c r="B18" s="135">
        <v>3.0</v>
      </c>
      <c r="C18" s="13">
        <v>7.0</v>
      </c>
      <c r="D18" s="13">
        <v>2.0</v>
      </c>
      <c r="E18" s="28">
        <v>0.4861111111111111</v>
      </c>
      <c r="F18" s="28">
        <v>0.5291666666666667</v>
      </c>
      <c r="G18" s="213" t="s">
        <v>6490</v>
      </c>
      <c r="H18" s="10" t="s">
        <v>6493</v>
      </c>
      <c r="I18" s="13">
        <v>52.0</v>
      </c>
      <c r="J18" s="13">
        <v>22.0</v>
      </c>
      <c r="K18" s="13">
        <v>29.0</v>
      </c>
      <c r="L18" s="13">
        <v>0.0</v>
      </c>
      <c r="M18" s="13">
        <v>4.0</v>
      </c>
      <c r="N18" s="131"/>
      <c r="O18" s="13">
        <v>49.0</v>
      </c>
      <c r="P18" s="131"/>
      <c r="Q18" s="132"/>
    </row>
    <row r="19" ht="15.75" customHeight="1">
      <c r="A19" s="10"/>
      <c r="B19" s="135">
        <v>4.0</v>
      </c>
      <c r="C19" s="13">
        <v>7.0</v>
      </c>
      <c r="D19" s="13">
        <v>2.0</v>
      </c>
      <c r="E19" s="28">
        <v>0.5354166666666667</v>
      </c>
      <c r="F19" s="28">
        <v>0.08055555555555556</v>
      </c>
      <c r="G19" s="213" t="s">
        <v>6490</v>
      </c>
      <c r="H19" s="10" t="s">
        <v>6494</v>
      </c>
      <c r="I19" s="13">
        <v>56.0</v>
      </c>
      <c r="J19" s="13">
        <v>30.0</v>
      </c>
      <c r="K19" s="13">
        <v>18.0</v>
      </c>
      <c r="L19" s="13">
        <v>7.0</v>
      </c>
      <c r="M19" s="13">
        <v>7.0</v>
      </c>
      <c r="N19" s="131"/>
      <c r="O19" s="13">
        <f>126-83</f>
        <v>43</v>
      </c>
      <c r="P19" s="131"/>
      <c r="Q19" s="132"/>
    </row>
    <row r="20" ht="15.75" customHeight="1">
      <c r="A20" s="10"/>
      <c r="B20" s="135">
        <v>3.0</v>
      </c>
      <c r="C20" s="13">
        <v>8.0</v>
      </c>
      <c r="D20" s="13">
        <v>3.0</v>
      </c>
      <c r="E20" s="28">
        <v>0.1111111111111111</v>
      </c>
      <c r="F20" s="28">
        <v>0.13194444444444445</v>
      </c>
      <c r="G20" s="155" t="s">
        <v>6495</v>
      </c>
      <c r="H20" s="10" t="s">
        <v>2775</v>
      </c>
      <c r="I20" s="13">
        <v>36.0</v>
      </c>
      <c r="J20" s="13">
        <v>13.0</v>
      </c>
      <c r="K20" s="13">
        <v>17.0</v>
      </c>
      <c r="L20" s="13">
        <v>1.0</v>
      </c>
      <c r="M20" s="13">
        <v>2.0</v>
      </c>
      <c r="N20" s="214">
        <v>4.0</v>
      </c>
      <c r="O20" s="13">
        <v>29.0</v>
      </c>
      <c r="P20" s="131"/>
      <c r="Q20" s="132"/>
    </row>
    <row r="21" ht="15.75" customHeight="1">
      <c r="A21" s="10"/>
      <c r="B21" s="135">
        <v>4.0</v>
      </c>
      <c r="C21" s="13">
        <v>8.0</v>
      </c>
      <c r="D21" s="13">
        <v>3.0</v>
      </c>
      <c r="E21" s="28">
        <v>0.13541666666666666</v>
      </c>
      <c r="F21" s="28">
        <v>0.16666666666666666</v>
      </c>
      <c r="G21" s="213" t="s">
        <v>6490</v>
      </c>
      <c r="H21" s="10" t="s">
        <v>6496</v>
      </c>
      <c r="I21" s="13">
        <v>26.0</v>
      </c>
      <c r="J21" s="13">
        <v>8.0</v>
      </c>
      <c r="K21" s="13">
        <v>13.0</v>
      </c>
      <c r="L21" s="13">
        <v>5.0</v>
      </c>
      <c r="M21" s="13">
        <v>5.0</v>
      </c>
      <c r="N21" s="214">
        <v>0.0</v>
      </c>
      <c r="O21" s="13">
        <v>18.0</v>
      </c>
      <c r="P21" s="131"/>
      <c r="Q21" s="132"/>
    </row>
    <row r="22" ht="15.75" customHeight="1">
      <c r="A22" s="10"/>
      <c r="B22" s="135"/>
      <c r="G22" s="10"/>
      <c r="H22" s="10"/>
      <c r="N22" s="214"/>
      <c r="P22" s="131"/>
      <c r="Q22" s="132"/>
    </row>
    <row r="23" ht="15.75" customHeight="1">
      <c r="A23" s="27">
        <v>45183.0</v>
      </c>
      <c r="B23" s="135">
        <v>3.0</v>
      </c>
      <c r="C23" s="13">
        <v>9.0</v>
      </c>
      <c r="D23" s="13">
        <v>1.0</v>
      </c>
      <c r="E23" s="28">
        <v>0.4076388888888889</v>
      </c>
      <c r="F23" s="28">
        <v>0.44166666666666665</v>
      </c>
      <c r="G23" s="155" t="s">
        <v>6497</v>
      </c>
      <c r="H23" s="10" t="s">
        <v>6498</v>
      </c>
      <c r="I23" s="13">
        <v>78.0</v>
      </c>
      <c r="J23" s="13">
        <v>13.0</v>
      </c>
      <c r="K23" s="13">
        <v>43.0</v>
      </c>
      <c r="L23" s="13">
        <v>9.0</v>
      </c>
      <c r="M23" s="13">
        <v>7.0</v>
      </c>
      <c r="N23" s="214">
        <v>10.0</v>
      </c>
      <c r="O23" s="13">
        <v>52.0</v>
      </c>
      <c r="P23" s="131"/>
      <c r="Q23" s="132"/>
    </row>
    <row r="24" ht="15.75" customHeight="1">
      <c r="A24" s="10"/>
      <c r="B24" s="135">
        <v>4.0</v>
      </c>
      <c r="C24" s="13">
        <v>9.0</v>
      </c>
      <c r="D24" s="13">
        <v>1.0</v>
      </c>
      <c r="E24" s="28">
        <v>0.45208333333333334</v>
      </c>
      <c r="F24" s="28">
        <v>0.4965277777777778</v>
      </c>
      <c r="G24" s="213" t="s">
        <v>6490</v>
      </c>
      <c r="H24" s="10" t="s">
        <v>6499</v>
      </c>
      <c r="I24" s="13">
        <v>75.0</v>
      </c>
      <c r="J24" s="13">
        <v>43.0</v>
      </c>
      <c r="K24" s="13">
        <v>30.0</v>
      </c>
      <c r="L24" s="13">
        <v>2.0</v>
      </c>
      <c r="M24" s="13">
        <v>10.0</v>
      </c>
      <c r="N24" s="214">
        <v>0.0</v>
      </c>
      <c r="O24" s="13">
        <v>66.0</v>
      </c>
      <c r="P24" s="131"/>
      <c r="Q24" s="132"/>
    </row>
    <row r="25" ht="15.75" customHeight="1">
      <c r="A25" s="10"/>
      <c r="B25" s="135">
        <v>3.0</v>
      </c>
      <c r="C25" s="13">
        <v>10.0</v>
      </c>
      <c r="D25" s="13">
        <v>2.0</v>
      </c>
      <c r="E25" s="28">
        <v>0.5069444444444444</v>
      </c>
      <c r="F25" s="28">
        <v>0.059027777777777776</v>
      </c>
      <c r="G25" s="155" t="s">
        <v>6500</v>
      </c>
      <c r="H25" s="10" t="s">
        <v>6501</v>
      </c>
      <c r="I25" s="13">
        <v>89.0</v>
      </c>
      <c r="J25" s="13">
        <v>36.0</v>
      </c>
      <c r="K25" s="13">
        <v>38.0</v>
      </c>
      <c r="L25" s="13">
        <v>6.0</v>
      </c>
      <c r="M25" s="13">
        <v>3.0</v>
      </c>
      <c r="N25" s="214">
        <v>9.0</v>
      </c>
      <c r="O25" s="13">
        <v>72.0</v>
      </c>
      <c r="P25" s="131"/>
      <c r="Q25" s="132"/>
    </row>
    <row r="26" ht="15.75" customHeight="1">
      <c r="A26" s="10"/>
      <c r="B26" s="135">
        <v>4.0</v>
      </c>
      <c r="C26" s="13">
        <v>10.0</v>
      </c>
      <c r="D26" s="13">
        <v>2.0</v>
      </c>
      <c r="E26" s="28">
        <v>0.06319444444444444</v>
      </c>
      <c r="F26" s="28">
        <v>0.1076388888888889</v>
      </c>
      <c r="G26" s="155" t="s">
        <v>6502</v>
      </c>
      <c r="H26" s="10" t="s">
        <v>2775</v>
      </c>
      <c r="I26" s="13">
        <v>54.0</v>
      </c>
      <c r="J26" s="13">
        <v>20.0</v>
      </c>
      <c r="K26" s="13">
        <v>31.0</v>
      </c>
      <c r="L26" s="13">
        <v>2.0</v>
      </c>
      <c r="M26" s="13">
        <v>9.0</v>
      </c>
      <c r="N26" s="214">
        <v>1.0</v>
      </c>
      <c r="O26" s="13">
        <v>47.0</v>
      </c>
      <c r="P26" s="131"/>
      <c r="Q26" s="132"/>
    </row>
    <row r="27" ht="15.75" customHeight="1">
      <c r="A27" s="10"/>
      <c r="B27" s="135">
        <v>3.0</v>
      </c>
      <c r="C27" s="13">
        <v>11.0</v>
      </c>
      <c r="D27" s="13">
        <v>3.0</v>
      </c>
      <c r="E27" s="28">
        <v>0.1111111111111111</v>
      </c>
      <c r="F27" s="28">
        <v>0.15625</v>
      </c>
      <c r="G27" s="155" t="s">
        <v>6503</v>
      </c>
      <c r="H27" s="10" t="s">
        <v>6504</v>
      </c>
      <c r="I27" s="13">
        <v>41.0</v>
      </c>
      <c r="J27" s="13">
        <v>19.0</v>
      </c>
      <c r="K27" s="13">
        <v>17.0</v>
      </c>
      <c r="L27" s="13">
        <v>1.0</v>
      </c>
      <c r="M27" s="13">
        <v>6.0</v>
      </c>
      <c r="N27" s="214">
        <v>3.0</v>
      </c>
      <c r="O27" s="13">
        <v>33.0</v>
      </c>
      <c r="P27" s="131"/>
      <c r="Q27" s="132"/>
    </row>
    <row r="28" ht="15.75" customHeight="1">
      <c r="A28" s="10"/>
      <c r="B28" s="135">
        <v>4.0</v>
      </c>
      <c r="C28" s="13">
        <v>11.0</v>
      </c>
      <c r="D28" s="13">
        <v>3.0</v>
      </c>
      <c r="E28" s="28">
        <v>0.16319444444444445</v>
      </c>
      <c r="F28" s="28">
        <v>0.20208333333333334</v>
      </c>
      <c r="G28" s="155" t="s">
        <v>6505</v>
      </c>
      <c r="H28" s="10" t="s">
        <v>6506</v>
      </c>
      <c r="I28" s="13">
        <v>29.0</v>
      </c>
      <c r="J28" s="13">
        <v>17.0</v>
      </c>
      <c r="K28" s="13">
        <v>11.0</v>
      </c>
      <c r="L28" s="13">
        <v>0.0</v>
      </c>
      <c r="M28" s="13">
        <v>2.0</v>
      </c>
      <c r="N28" s="214">
        <v>1.0</v>
      </c>
      <c r="O28" s="13">
        <v>27.0</v>
      </c>
      <c r="P28" s="131"/>
      <c r="Q28" s="132"/>
    </row>
    <row r="29" ht="15.75" customHeight="1">
      <c r="A29" s="10"/>
      <c r="B29" s="135"/>
      <c r="G29" s="10"/>
      <c r="H29" s="10"/>
      <c r="N29" s="214"/>
      <c r="P29" s="131"/>
      <c r="Q29" s="132"/>
    </row>
    <row r="30" ht="15.75" customHeight="1">
      <c r="A30" s="27">
        <v>45184.0</v>
      </c>
      <c r="B30" s="135">
        <v>3.0</v>
      </c>
      <c r="C30" s="13">
        <v>12.0</v>
      </c>
      <c r="D30" s="13">
        <v>1.0</v>
      </c>
      <c r="E30" s="28">
        <v>0.41597222222222224</v>
      </c>
      <c r="F30" s="28">
        <v>0.4479166666666667</v>
      </c>
      <c r="G30" s="155" t="s">
        <v>6507</v>
      </c>
      <c r="H30" s="10" t="s">
        <v>6508</v>
      </c>
      <c r="I30" s="13">
        <v>71.0</v>
      </c>
      <c r="J30" s="13">
        <v>15.0</v>
      </c>
      <c r="K30" s="13">
        <v>32.0</v>
      </c>
      <c r="L30" s="13">
        <v>6.0</v>
      </c>
      <c r="M30" s="13">
        <v>5.0</v>
      </c>
      <c r="N30" s="214">
        <v>16.0</v>
      </c>
      <c r="O30" s="13">
        <v>44.0</v>
      </c>
      <c r="P30" s="131"/>
      <c r="Q30" s="132"/>
    </row>
    <row r="31" ht="15.75" customHeight="1">
      <c r="A31" s="10"/>
      <c r="B31" s="135">
        <v>4.0</v>
      </c>
      <c r="C31" s="13">
        <v>12.0</v>
      </c>
      <c r="D31" s="13">
        <v>1.0</v>
      </c>
      <c r="E31" s="28">
        <v>0.45694444444444443</v>
      </c>
      <c r="F31" s="28">
        <v>0.4930555555555556</v>
      </c>
      <c r="G31" s="155" t="s">
        <v>6509</v>
      </c>
      <c r="H31" s="10" t="s">
        <v>6510</v>
      </c>
      <c r="I31" s="13">
        <v>83.0</v>
      </c>
      <c r="J31" s="13">
        <v>40.0</v>
      </c>
      <c r="K31" s="13">
        <v>31.0</v>
      </c>
      <c r="L31" s="13">
        <v>2.0</v>
      </c>
      <c r="M31" s="13">
        <v>2.0</v>
      </c>
      <c r="N31" s="214">
        <v>10.0</v>
      </c>
      <c r="O31" s="13">
        <v>69.0</v>
      </c>
      <c r="P31" s="131"/>
      <c r="Q31" s="132"/>
    </row>
    <row r="32" ht="15.75" customHeight="1">
      <c r="A32" s="10"/>
      <c r="B32" s="135">
        <v>3.0</v>
      </c>
      <c r="C32" s="13">
        <v>13.0</v>
      </c>
      <c r="D32" s="13">
        <v>2.0</v>
      </c>
      <c r="E32" s="28">
        <v>0.49722222222222223</v>
      </c>
      <c r="F32" s="28">
        <v>0.5333333333333333</v>
      </c>
      <c r="G32" s="155" t="s">
        <v>6511</v>
      </c>
      <c r="H32" s="10" t="s">
        <v>6508</v>
      </c>
      <c r="I32" s="13">
        <v>57.0</v>
      </c>
      <c r="J32" s="13">
        <v>20.0</v>
      </c>
      <c r="K32" s="13">
        <v>30.0</v>
      </c>
      <c r="L32" s="13">
        <v>3.0</v>
      </c>
      <c r="M32" s="13">
        <v>2.0</v>
      </c>
      <c r="N32" s="214">
        <v>4.0</v>
      </c>
      <c r="O32" s="13">
        <v>49.0</v>
      </c>
      <c r="P32" s="131"/>
      <c r="Q32" s="132"/>
    </row>
    <row r="33" ht="15.75" customHeight="1">
      <c r="A33" s="10"/>
      <c r="B33" s="135">
        <v>4.0</v>
      </c>
      <c r="C33" s="13">
        <v>13.0</v>
      </c>
      <c r="D33" s="13">
        <v>2.0</v>
      </c>
      <c r="E33" s="28">
        <v>0.5375</v>
      </c>
      <c r="F33" s="28">
        <v>0.0798611111111111</v>
      </c>
      <c r="G33" s="155" t="s">
        <v>6512</v>
      </c>
      <c r="H33" s="10" t="s">
        <v>6513</v>
      </c>
      <c r="I33" s="13">
        <v>16.0</v>
      </c>
      <c r="J33" s="13">
        <v>6.0</v>
      </c>
      <c r="K33" s="13">
        <v>6.0</v>
      </c>
      <c r="L33" s="13">
        <v>0.0</v>
      </c>
      <c r="M33" s="13">
        <v>4.0</v>
      </c>
      <c r="N33" s="214">
        <v>3.0</v>
      </c>
      <c r="O33" s="13">
        <v>11.0</v>
      </c>
      <c r="P33" s="131"/>
      <c r="Q33" s="132"/>
    </row>
    <row r="34" ht="15.75" customHeight="1">
      <c r="A34" s="10"/>
      <c r="B34" s="135">
        <v>3.0</v>
      </c>
      <c r="C34" s="13">
        <v>14.0</v>
      </c>
      <c r="D34" s="13">
        <v>3.0</v>
      </c>
      <c r="E34" s="28">
        <v>0.08680555555555555</v>
      </c>
      <c r="F34" s="28">
        <v>0.12638888888888888</v>
      </c>
      <c r="G34" s="155" t="s">
        <v>6514</v>
      </c>
      <c r="H34" s="10" t="s">
        <v>6508</v>
      </c>
      <c r="I34" s="13">
        <v>63.0</v>
      </c>
      <c r="J34" s="13">
        <v>18.0</v>
      </c>
      <c r="K34" s="13">
        <v>28.0</v>
      </c>
      <c r="L34" s="13">
        <v>5.0</v>
      </c>
      <c r="M34" s="13">
        <v>0.0</v>
      </c>
      <c r="N34" s="214">
        <v>11.0</v>
      </c>
      <c r="O34" s="13">
        <v>46.0</v>
      </c>
      <c r="P34" s="131"/>
      <c r="Q34" s="132"/>
    </row>
    <row r="35" ht="15.75" customHeight="1">
      <c r="A35" s="10"/>
      <c r="B35" s="135">
        <v>4.0</v>
      </c>
      <c r="C35" s="13">
        <v>14.0</v>
      </c>
      <c r="D35" s="13">
        <v>3.0</v>
      </c>
      <c r="E35" s="28">
        <v>0.13055555555555556</v>
      </c>
      <c r="F35" s="28">
        <v>0.16666666666666666</v>
      </c>
      <c r="G35" s="155" t="s">
        <v>6515</v>
      </c>
      <c r="H35" s="10" t="s">
        <v>6516</v>
      </c>
      <c r="I35" s="13">
        <v>32.0</v>
      </c>
      <c r="J35" s="13">
        <v>10.0</v>
      </c>
      <c r="K35" s="13">
        <v>11.0</v>
      </c>
      <c r="L35" s="13">
        <v>2.0</v>
      </c>
      <c r="M35" s="13">
        <v>1.0</v>
      </c>
      <c r="N35" s="214">
        <v>8.0</v>
      </c>
      <c r="O35" s="13">
        <v>21.0</v>
      </c>
      <c r="P35" s="131"/>
      <c r="Q35" s="132"/>
    </row>
    <row r="36" ht="15.75" customHeight="1">
      <c r="A36" s="10"/>
      <c r="B36" s="135"/>
      <c r="G36" s="10"/>
      <c r="H36" s="10"/>
      <c r="N36" s="214"/>
      <c r="P36" s="131"/>
      <c r="Q36" s="132"/>
    </row>
    <row r="37" ht="15.75" customHeight="1">
      <c r="A37" s="27">
        <v>45187.0</v>
      </c>
      <c r="B37" s="135">
        <v>3.0</v>
      </c>
      <c r="C37" s="13">
        <v>15.0</v>
      </c>
      <c r="D37" s="13">
        <v>1.0</v>
      </c>
      <c r="E37" s="28">
        <v>0.4013888888888889</v>
      </c>
      <c r="F37" s="28">
        <v>0.4444444444444444</v>
      </c>
      <c r="G37" s="155" t="s">
        <v>6517</v>
      </c>
      <c r="H37" s="10" t="s">
        <v>6518</v>
      </c>
      <c r="I37" s="13">
        <v>101.0</v>
      </c>
      <c r="J37" s="13">
        <v>43.0</v>
      </c>
      <c r="K37" s="13">
        <v>32.0</v>
      </c>
      <c r="L37" s="13">
        <v>8.0</v>
      </c>
      <c r="M37" s="13">
        <v>9.0</v>
      </c>
      <c r="N37" s="214">
        <v>15.0</v>
      </c>
      <c r="O37" s="13">
        <v>69.0</v>
      </c>
      <c r="P37" s="131"/>
      <c r="Q37" s="132"/>
    </row>
    <row r="38" ht="15.75" customHeight="1">
      <c r="A38" s="10"/>
      <c r="B38" s="135">
        <v>4.0</v>
      </c>
      <c r="C38" s="13">
        <v>15.0</v>
      </c>
      <c r="D38" s="13">
        <v>1.0</v>
      </c>
      <c r="E38" s="28">
        <v>0.45</v>
      </c>
      <c r="F38" s="28">
        <v>0.5</v>
      </c>
      <c r="G38" s="155" t="s">
        <v>6519</v>
      </c>
      <c r="H38" s="10" t="s">
        <v>6520</v>
      </c>
      <c r="I38" s="13">
        <v>62.0</v>
      </c>
      <c r="J38" s="13">
        <v>20.0</v>
      </c>
      <c r="K38" s="13">
        <v>27.0</v>
      </c>
      <c r="L38" s="13">
        <v>2.0</v>
      </c>
      <c r="M38" s="13">
        <v>6.0</v>
      </c>
      <c r="N38" s="214">
        <v>12.0</v>
      </c>
      <c r="O38" s="13">
        <v>41.0</v>
      </c>
      <c r="P38" s="131"/>
      <c r="Q38" s="132"/>
    </row>
    <row r="39" ht="15.75" customHeight="1">
      <c r="A39" s="10"/>
      <c r="B39" s="135">
        <v>3.0</v>
      </c>
      <c r="C39" s="13">
        <v>16.0</v>
      </c>
      <c r="D39" s="13">
        <v>2.0</v>
      </c>
      <c r="E39" s="28">
        <v>0.5034722222222222</v>
      </c>
      <c r="F39" s="28">
        <v>0.04375</v>
      </c>
      <c r="G39" s="155" t="s">
        <v>6521</v>
      </c>
      <c r="H39" s="10" t="s">
        <v>6508</v>
      </c>
      <c r="I39" s="13">
        <v>74.0</v>
      </c>
      <c r="J39" s="13">
        <v>27.0</v>
      </c>
      <c r="K39" s="13">
        <v>38.0</v>
      </c>
      <c r="L39" s="13">
        <v>1.0</v>
      </c>
      <c r="M39" s="13">
        <v>6.0</v>
      </c>
      <c r="N39" s="214">
        <v>8.0</v>
      </c>
      <c r="O39" s="13">
        <v>60.0</v>
      </c>
      <c r="P39" s="131"/>
      <c r="Q39" s="132"/>
    </row>
    <row r="40" ht="15.75" customHeight="1">
      <c r="A40" s="10"/>
      <c r="B40" s="135">
        <v>4.0</v>
      </c>
      <c r="C40" s="13">
        <v>16.0</v>
      </c>
      <c r="D40" s="13">
        <v>2.0</v>
      </c>
      <c r="E40" s="28">
        <v>0.050694444444444445</v>
      </c>
      <c r="F40" s="28">
        <v>0.08680555555555555</v>
      </c>
      <c r="G40" s="155" t="s">
        <v>6522</v>
      </c>
      <c r="H40" s="10" t="s">
        <v>2730</v>
      </c>
      <c r="I40" s="13">
        <v>68.0</v>
      </c>
      <c r="J40" s="13">
        <v>26.0</v>
      </c>
      <c r="K40" s="13">
        <v>24.0</v>
      </c>
      <c r="L40" s="13">
        <v>2.0</v>
      </c>
      <c r="M40" s="13">
        <v>6.0</v>
      </c>
      <c r="N40" s="214">
        <v>14.0</v>
      </c>
      <c r="O40" s="13">
        <v>45.0</v>
      </c>
      <c r="P40" s="131"/>
      <c r="Q40" s="132"/>
    </row>
    <row r="41" ht="15.75" customHeight="1">
      <c r="A41" s="10"/>
      <c r="B41" s="135">
        <v>3.0</v>
      </c>
      <c r="C41" s="13">
        <v>17.0</v>
      </c>
      <c r="D41" s="13">
        <v>3.0</v>
      </c>
      <c r="E41" s="28">
        <v>0.09166666666666666</v>
      </c>
      <c r="F41" s="28">
        <v>0.13333333333333333</v>
      </c>
      <c r="G41" s="155" t="s">
        <v>6523</v>
      </c>
      <c r="H41" s="10" t="s">
        <v>6524</v>
      </c>
      <c r="I41" s="13">
        <v>73.0</v>
      </c>
      <c r="J41" s="13">
        <v>21.0</v>
      </c>
      <c r="K41" s="13">
        <v>20.0</v>
      </c>
      <c r="L41" s="13">
        <v>3.0</v>
      </c>
      <c r="M41" s="13">
        <v>1.0</v>
      </c>
      <c r="N41" s="214">
        <v>27.0</v>
      </c>
      <c r="O41" s="13">
        <v>41.0</v>
      </c>
      <c r="P41" s="131"/>
      <c r="Q41" s="132"/>
    </row>
    <row r="42" ht="15.75" customHeight="1">
      <c r="A42" s="10"/>
      <c r="B42" s="135">
        <v>4.0</v>
      </c>
      <c r="C42" s="13">
        <v>17.0</v>
      </c>
      <c r="D42" s="13">
        <v>3.0</v>
      </c>
      <c r="E42" s="28">
        <v>0.14027777777777778</v>
      </c>
      <c r="F42" s="28">
        <v>0.18263888888888888</v>
      </c>
      <c r="G42" s="155" t="s">
        <v>6525</v>
      </c>
      <c r="H42" s="10" t="s">
        <v>6526</v>
      </c>
      <c r="I42" s="13">
        <v>48.0</v>
      </c>
      <c r="J42" s="13">
        <v>16.0</v>
      </c>
      <c r="K42" s="13">
        <v>19.0</v>
      </c>
      <c r="L42" s="13">
        <v>2.0</v>
      </c>
      <c r="M42" s="13">
        <v>5.0</v>
      </c>
      <c r="N42" s="214">
        <v>10.0</v>
      </c>
      <c r="O42" s="13">
        <v>30.0</v>
      </c>
      <c r="P42" s="131"/>
      <c r="Q42" s="132"/>
    </row>
    <row r="43" ht="15.75" customHeight="1">
      <c r="A43" s="10"/>
      <c r="B43" s="135"/>
      <c r="G43" s="10"/>
      <c r="H43" s="10"/>
      <c r="N43" s="214"/>
      <c r="P43" s="131"/>
      <c r="Q43" s="132"/>
    </row>
    <row r="44" ht="15.75" customHeight="1">
      <c r="A44" s="27">
        <v>45188.0</v>
      </c>
      <c r="B44" s="135">
        <v>3.0</v>
      </c>
      <c r="C44" s="13">
        <v>18.0</v>
      </c>
      <c r="D44" s="13">
        <v>1.0</v>
      </c>
      <c r="E44" s="28">
        <v>0.3909722222222222</v>
      </c>
      <c r="F44" s="28">
        <v>0.4305555555555556</v>
      </c>
      <c r="G44" s="155" t="s">
        <v>6527</v>
      </c>
      <c r="H44" s="10" t="s">
        <v>6528</v>
      </c>
      <c r="I44" s="13">
        <v>91.0</v>
      </c>
      <c r="J44" s="13">
        <v>14.0</v>
      </c>
      <c r="K44" s="13">
        <v>13.0</v>
      </c>
      <c r="L44" s="13">
        <v>2.0</v>
      </c>
      <c r="M44" s="13">
        <v>6.0</v>
      </c>
      <c r="N44" s="214">
        <v>56.0</v>
      </c>
      <c r="O44" s="13">
        <v>27.0</v>
      </c>
      <c r="P44" s="131"/>
      <c r="Q44" s="132"/>
    </row>
    <row r="45" ht="15.75" customHeight="1">
      <c r="A45" s="10"/>
      <c r="B45" s="135">
        <v>4.0</v>
      </c>
      <c r="C45" s="13">
        <v>18.0</v>
      </c>
      <c r="D45" s="13">
        <v>1.0</v>
      </c>
      <c r="E45" s="28">
        <v>0.4361111111111111</v>
      </c>
      <c r="F45" s="28">
        <v>0.48194444444444445</v>
      </c>
      <c r="G45" s="155" t="s">
        <v>6529</v>
      </c>
      <c r="H45" s="10" t="s">
        <v>6530</v>
      </c>
      <c r="I45" s="13">
        <v>87.0</v>
      </c>
      <c r="J45" s="13">
        <v>24.0</v>
      </c>
      <c r="K45" s="13">
        <v>35.0</v>
      </c>
      <c r="L45" s="13">
        <v>5.0</v>
      </c>
      <c r="M45" s="13">
        <v>3.0</v>
      </c>
      <c r="N45" s="214">
        <v>23.0</v>
      </c>
      <c r="O45" s="13">
        <v>56.0</v>
      </c>
      <c r="P45" s="131"/>
      <c r="Q45" s="132"/>
    </row>
    <row r="46" ht="15.75" customHeight="1">
      <c r="A46" s="10"/>
      <c r="B46" s="135">
        <v>3.0</v>
      </c>
      <c r="C46" s="13">
        <v>19.0</v>
      </c>
      <c r="D46" s="13">
        <v>2.0</v>
      </c>
      <c r="E46" s="28">
        <v>0.4861111111111111</v>
      </c>
      <c r="F46" s="28">
        <v>0.53125</v>
      </c>
      <c r="G46" s="155" t="s">
        <v>6531</v>
      </c>
      <c r="H46" s="10" t="s">
        <v>6532</v>
      </c>
      <c r="I46" s="13">
        <v>110.0</v>
      </c>
      <c r="J46" s="13">
        <v>37.0</v>
      </c>
      <c r="K46" s="13">
        <v>33.0</v>
      </c>
      <c r="L46" s="13">
        <v>8.0</v>
      </c>
      <c r="M46" s="13">
        <v>4.0</v>
      </c>
      <c r="N46" s="214">
        <v>32.0</v>
      </c>
      <c r="O46" s="13">
        <v>69.0</v>
      </c>
      <c r="P46" s="131"/>
      <c r="Q46" s="132"/>
    </row>
    <row r="47" ht="27.0" customHeight="1">
      <c r="A47" s="10"/>
      <c r="B47" s="135">
        <v>4.0</v>
      </c>
      <c r="C47" s="13">
        <v>19.0</v>
      </c>
      <c r="D47" s="13">
        <v>2.0</v>
      </c>
      <c r="E47" s="28">
        <v>0.5381944444444444</v>
      </c>
      <c r="F47" s="28">
        <v>0.0763888888888889</v>
      </c>
      <c r="G47" s="155" t="s">
        <v>6533</v>
      </c>
      <c r="H47" s="10" t="s">
        <v>6508</v>
      </c>
      <c r="I47" s="13">
        <v>68.0</v>
      </c>
      <c r="J47" s="13">
        <v>27.0</v>
      </c>
      <c r="K47" s="13">
        <v>23.0</v>
      </c>
      <c r="L47" s="13">
        <v>0.0</v>
      </c>
      <c r="M47" s="13">
        <v>5.0</v>
      </c>
      <c r="N47" s="214">
        <v>17.0</v>
      </c>
      <c r="O47" s="13">
        <v>45.0</v>
      </c>
      <c r="P47" s="131"/>
      <c r="Q47" s="132"/>
    </row>
    <row r="48" ht="15.75" customHeight="1">
      <c r="A48" s="10"/>
      <c r="B48" s="135">
        <v>3.0</v>
      </c>
      <c r="C48" s="13">
        <v>20.0</v>
      </c>
      <c r="D48" s="13">
        <v>3.0</v>
      </c>
      <c r="E48" s="28">
        <v>0.08333333333333333</v>
      </c>
      <c r="F48" s="28">
        <v>0.12361111111111112</v>
      </c>
      <c r="G48" s="155" t="s">
        <v>6534</v>
      </c>
      <c r="H48" s="10" t="s">
        <v>6535</v>
      </c>
      <c r="I48" s="13">
        <v>78.0</v>
      </c>
      <c r="J48" s="13">
        <v>17.0</v>
      </c>
      <c r="K48" s="13">
        <v>13.0</v>
      </c>
      <c r="L48" s="13">
        <v>1.0</v>
      </c>
      <c r="M48" s="13">
        <v>4.0</v>
      </c>
      <c r="N48" s="214">
        <v>46.0</v>
      </c>
      <c r="O48" s="13">
        <v>29.0</v>
      </c>
      <c r="P48" s="131"/>
      <c r="Q48" s="132"/>
    </row>
    <row r="49" ht="15.75" customHeight="1">
      <c r="A49" s="10"/>
      <c r="B49" s="135">
        <v>4.0</v>
      </c>
      <c r="C49" s="13">
        <v>20.0</v>
      </c>
      <c r="D49" s="13">
        <v>3.0</v>
      </c>
      <c r="E49" s="28">
        <v>0.1284722222222222</v>
      </c>
      <c r="F49" s="28">
        <v>0.16319444444444445</v>
      </c>
      <c r="G49" s="155" t="s">
        <v>6536</v>
      </c>
      <c r="H49" s="10" t="s">
        <v>6537</v>
      </c>
      <c r="I49" s="13">
        <v>22.0</v>
      </c>
      <c r="J49" s="13">
        <v>9.0</v>
      </c>
      <c r="K49" s="13">
        <v>4.0</v>
      </c>
      <c r="L49" s="13">
        <v>0.0</v>
      </c>
      <c r="M49" s="13">
        <v>6.0</v>
      </c>
      <c r="N49" s="214">
        <v>3.0</v>
      </c>
      <c r="O49" s="13">
        <v>10.0</v>
      </c>
      <c r="P49" s="131"/>
      <c r="Q49" s="132"/>
    </row>
    <row r="50" ht="15.75" customHeight="1">
      <c r="A50" s="10"/>
      <c r="B50" s="135"/>
      <c r="G50" s="10"/>
      <c r="H50" s="10"/>
      <c r="N50" s="214"/>
      <c r="P50" s="131"/>
      <c r="Q50" s="132"/>
    </row>
    <row r="51" ht="15.75" customHeight="1">
      <c r="A51" s="27">
        <v>45190.0</v>
      </c>
      <c r="B51" s="135">
        <v>3.0</v>
      </c>
      <c r="C51" s="13">
        <v>21.0</v>
      </c>
      <c r="D51" s="13">
        <v>1.0</v>
      </c>
      <c r="E51" s="28">
        <v>0.39444444444444443</v>
      </c>
      <c r="F51" s="28">
        <v>0.44166666666666665</v>
      </c>
      <c r="G51" s="84" t="s">
        <v>6538</v>
      </c>
      <c r="H51" s="10" t="s">
        <v>6539</v>
      </c>
      <c r="I51" s="13">
        <v>122.0</v>
      </c>
      <c r="J51" s="13">
        <v>22.0</v>
      </c>
      <c r="K51" s="13">
        <v>38.0</v>
      </c>
      <c r="L51" s="13">
        <v>11.0</v>
      </c>
      <c r="M51" s="13">
        <v>7.0</v>
      </c>
      <c r="N51" s="214">
        <v>54.0</v>
      </c>
      <c r="O51" s="13">
        <v>39.0</v>
      </c>
      <c r="P51" s="123"/>
      <c r="Q51" s="132"/>
    </row>
    <row r="52" ht="15.75" customHeight="1">
      <c r="A52" s="10"/>
      <c r="B52" s="135">
        <v>4.0</v>
      </c>
      <c r="C52" s="13">
        <v>21.0</v>
      </c>
      <c r="D52" s="13">
        <v>1.0</v>
      </c>
      <c r="E52" s="28">
        <v>0.4444444444444444</v>
      </c>
      <c r="F52" s="28">
        <v>0.48819444444444443</v>
      </c>
      <c r="G52" s="84" t="s">
        <v>6540</v>
      </c>
      <c r="H52" s="10" t="s">
        <v>6541</v>
      </c>
      <c r="I52" s="13">
        <v>116.0</v>
      </c>
      <c r="J52" s="13">
        <v>34.0</v>
      </c>
      <c r="K52" s="13">
        <v>30.0</v>
      </c>
      <c r="L52" s="13">
        <v>4.0</v>
      </c>
      <c r="M52" s="13">
        <v>17.0</v>
      </c>
      <c r="N52" s="214">
        <v>48.0</v>
      </c>
      <c r="O52" s="13">
        <v>13.0</v>
      </c>
      <c r="P52" s="123">
        <v>35.0</v>
      </c>
      <c r="Q52" s="132"/>
    </row>
    <row r="53" ht="15.75" customHeight="1">
      <c r="A53" s="10"/>
      <c r="B53" s="135">
        <v>3.0</v>
      </c>
      <c r="C53" s="13">
        <v>22.0</v>
      </c>
      <c r="D53" s="13">
        <v>2.0</v>
      </c>
      <c r="E53" s="28">
        <v>0.4930555555555556</v>
      </c>
      <c r="F53" s="28">
        <v>0.5402777777777777</v>
      </c>
      <c r="G53" s="84" t="s">
        <v>6542</v>
      </c>
      <c r="H53" s="10" t="s">
        <v>6543</v>
      </c>
      <c r="I53" s="13">
        <v>108.0</v>
      </c>
      <c r="J53" s="13">
        <v>41.0</v>
      </c>
      <c r="K53" s="13">
        <v>43.0</v>
      </c>
      <c r="L53" s="13">
        <v>9.0</v>
      </c>
      <c r="M53" s="13">
        <v>15.0</v>
      </c>
      <c r="N53" s="214">
        <v>13.0</v>
      </c>
      <c r="O53" s="13">
        <v>57.0</v>
      </c>
      <c r="P53" s="123">
        <v>13.0</v>
      </c>
      <c r="Q53" s="132"/>
    </row>
    <row r="54" ht="15.75" customHeight="1">
      <c r="A54" s="10"/>
      <c r="B54" s="135">
        <v>4.0</v>
      </c>
      <c r="C54" s="13">
        <v>22.0</v>
      </c>
      <c r="D54" s="13">
        <v>2.0</v>
      </c>
      <c r="E54" s="28">
        <v>0.04652777777777778</v>
      </c>
      <c r="F54" s="28">
        <v>0.08680555555555555</v>
      </c>
      <c r="G54" s="84" t="s">
        <v>6544</v>
      </c>
      <c r="H54" s="10" t="s">
        <v>6545</v>
      </c>
      <c r="I54" s="13">
        <v>122.0</v>
      </c>
      <c r="J54" s="13">
        <v>48.0</v>
      </c>
      <c r="K54" s="13">
        <v>40.0</v>
      </c>
      <c r="L54" s="13">
        <v>10.0</v>
      </c>
      <c r="M54" s="13">
        <v>15.0</v>
      </c>
      <c r="N54" s="214">
        <v>24.0</v>
      </c>
      <c r="O54" s="13">
        <v>51.0</v>
      </c>
      <c r="P54" s="123">
        <v>22.0</v>
      </c>
      <c r="Q54" s="132"/>
    </row>
    <row r="55" ht="15.75" customHeight="1">
      <c r="A55" s="10"/>
      <c r="B55" s="135">
        <v>3.0</v>
      </c>
      <c r="C55" s="13">
        <v>23.0</v>
      </c>
      <c r="D55" s="13">
        <v>3.0</v>
      </c>
      <c r="E55" s="28">
        <v>0.09027777777777778</v>
      </c>
      <c r="F55" s="28">
        <v>0.12986111111111112</v>
      </c>
      <c r="G55" s="84" t="s">
        <v>6546</v>
      </c>
      <c r="H55" s="10" t="s">
        <v>6547</v>
      </c>
      <c r="I55" s="13">
        <v>65.0</v>
      </c>
      <c r="J55" s="13">
        <v>18.0</v>
      </c>
      <c r="K55" s="13">
        <v>34.0</v>
      </c>
      <c r="L55" s="13">
        <v>4.0</v>
      </c>
      <c r="M55" s="13">
        <v>17.0</v>
      </c>
      <c r="N55" s="214">
        <v>8.0</v>
      </c>
      <c r="O55" s="13">
        <v>19.0</v>
      </c>
      <c r="P55" s="123">
        <v>17.0</v>
      </c>
      <c r="Q55" s="132"/>
    </row>
    <row r="56" ht="15.75" customHeight="1">
      <c r="A56" s="10"/>
      <c r="B56" s="135">
        <v>4.0</v>
      </c>
      <c r="C56" s="13">
        <v>23.0</v>
      </c>
      <c r="D56" s="13">
        <v>3.0</v>
      </c>
      <c r="E56" s="28">
        <v>0.13541666666666666</v>
      </c>
      <c r="F56" s="28">
        <v>0.1736111111111111</v>
      </c>
      <c r="G56" s="84" t="s">
        <v>6548</v>
      </c>
      <c r="H56" s="10" t="s">
        <v>6549</v>
      </c>
      <c r="I56" s="13">
        <v>85.0</v>
      </c>
      <c r="J56" s="13">
        <v>30.0</v>
      </c>
      <c r="K56" s="13">
        <v>34.0</v>
      </c>
      <c r="L56" s="13">
        <v>1.0</v>
      </c>
      <c r="M56" s="13">
        <v>29.0</v>
      </c>
      <c r="N56" s="214">
        <v>19.0</v>
      </c>
      <c r="O56" s="13">
        <v>16.0</v>
      </c>
      <c r="P56" s="123">
        <v>19.0</v>
      </c>
      <c r="Q56" s="132"/>
    </row>
    <row r="57" ht="15.75" customHeight="1">
      <c r="A57" s="10"/>
      <c r="B57" s="135"/>
      <c r="G57" s="10"/>
      <c r="H57" s="10"/>
      <c r="N57" s="214"/>
      <c r="P57" s="123"/>
      <c r="Q57" s="132"/>
    </row>
    <row r="58" ht="15.75" customHeight="1">
      <c r="A58" s="27">
        <v>45191.0</v>
      </c>
      <c r="B58" s="135">
        <v>3.0</v>
      </c>
      <c r="C58" s="13">
        <v>24.0</v>
      </c>
      <c r="D58" s="13">
        <v>1.0</v>
      </c>
      <c r="E58" s="28">
        <v>0.5083333333333333</v>
      </c>
      <c r="F58" s="28">
        <v>0.4673611111111111</v>
      </c>
      <c r="G58" s="84" t="s">
        <v>6550</v>
      </c>
      <c r="H58" s="10" t="s">
        <v>6551</v>
      </c>
      <c r="I58" s="13">
        <v>97.0</v>
      </c>
      <c r="J58" s="13">
        <v>18.0</v>
      </c>
      <c r="K58" s="13">
        <v>39.0</v>
      </c>
      <c r="L58" s="13">
        <v>4.0</v>
      </c>
      <c r="M58" s="13">
        <v>5.0</v>
      </c>
      <c r="N58" s="214">
        <v>35.0</v>
      </c>
      <c r="O58" s="13">
        <v>40.0</v>
      </c>
      <c r="P58" s="123">
        <v>12.0</v>
      </c>
      <c r="Q58" s="132"/>
    </row>
    <row r="59" ht="15.75" customHeight="1">
      <c r="A59" s="10"/>
      <c r="B59" s="135">
        <v>4.0</v>
      </c>
      <c r="C59" s="13">
        <v>24.0</v>
      </c>
      <c r="D59" s="13">
        <v>1.0</v>
      </c>
      <c r="E59" s="28">
        <v>0.05694444444444444</v>
      </c>
      <c r="F59" s="28">
        <v>0.09930555555555555</v>
      </c>
      <c r="G59" s="84" t="s">
        <v>6550</v>
      </c>
      <c r="H59" s="10" t="s">
        <v>6552</v>
      </c>
      <c r="I59" s="13">
        <v>102.0</v>
      </c>
      <c r="J59" s="13">
        <v>45.0</v>
      </c>
      <c r="K59" s="13">
        <v>45.0</v>
      </c>
      <c r="L59" s="13">
        <v>2.0</v>
      </c>
      <c r="M59" s="13">
        <v>14.0</v>
      </c>
      <c r="N59" s="214">
        <v>10.0</v>
      </c>
      <c r="O59" s="13">
        <v>47.0</v>
      </c>
      <c r="P59" s="123">
        <v>28.0</v>
      </c>
      <c r="Q59" s="132"/>
    </row>
    <row r="60" ht="15.75" customHeight="1">
      <c r="A60" s="10"/>
      <c r="B60" s="135">
        <v>3.0</v>
      </c>
      <c r="C60" s="13">
        <v>25.0</v>
      </c>
      <c r="D60" s="13">
        <v>2.0</v>
      </c>
      <c r="E60" s="28">
        <v>0.10208333333333333</v>
      </c>
      <c r="F60" s="28">
        <v>0.14444444444444443</v>
      </c>
      <c r="G60" s="84" t="s">
        <v>6550</v>
      </c>
      <c r="H60" s="10" t="s">
        <v>6553</v>
      </c>
      <c r="I60" s="13">
        <v>91.0</v>
      </c>
      <c r="J60" s="13">
        <v>25.0</v>
      </c>
      <c r="K60" s="13">
        <v>24.0</v>
      </c>
      <c r="L60" s="13">
        <v>3.0</v>
      </c>
      <c r="M60" s="13">
        <v>2.0</v>
      </c>
      <c r="N60" s="214">
        <v>39.0</v>
      </c>
      <c r="O60" s="13">
        <v>18.0</v>
      </c>
      <c r="P60" s="123">
        <v>29.0</v>
      </c>
      <c r="Q60" s="132"/>
    </row>
    <row r="61" ht="15.75" customHeight="1">
      <c r="A61" s="10"/>
      <c r="B61" s="135">
        <v>4.0</v>
      </c>
      <c r="C61" s="13">
        <v>25.0</v>
      </c>
      <c r="D61" s="13">
        <v>2.0</v>
      </c>
      <c r="E61" s="28">
        <v>0.14791666666666667</v>
      </c>
      <c r="F61" s="28">
        <v>0.19027777777777777</v>
      </c>
      <c r="G61" s="84" t="s">
        <v>6550</v>
      </c>
      <c r="H61" s="10" t="s">
        <v>6554</v>
      </c>
      <c r="I61" s="13">
        <v>73.0</v>
      </c>
      <c r="J61" s="13">
        <v>32.0</v>
      </c>
      <c r="K61" s="13">
        <v>33.0</v>
      </c>
      <c r="L61" s="13">
        <v>1.0</v>
      </c>
      <c r="M61" s="13">
        <v>17.0</v>
      </c>
      <c r="N61" s="214">
        <v>5.0</v>
      </c>
      <c r="O61" s="13">
        <v>27.0</v>
      </c>
      <c r="P61" s="123">
        <v>23.0</v>
      </c>
      <c r="Q61" s="132"/>
    </row>
    <row r="62" ht="15.75" customHeight="1">
      <c r="A62" s="10"/>
      <c r="B62" s="135"/>
      <c r="G62" s="10"/>
      <c r="H62" s="10"/>
      <c r="N62" s="214"/>
      <c r="P62" s="123"/>
      <c r="Q62" s="132"/>
    </row>
    <row r="63" ht="15.75" customHeight="1">
      <c r="A63" s="27">
        <v>45194.0</v>
      </c>
      <c r="B63" s="135">
        <v>3.0</v>
      </c>
      <c r="C63" s="13">
        <v>26.0</v>
      </c>
      <c r="D63" s="13">
        <v>1.0</v>
      </c>
      <c r="E63" s="28">
        <v>0.3951388888888889</v>
      </c>
      <c r="F63" s="28">
        <v>0.4409722222222222</v>
      </c>
      <c r="G63" s="84" t="s">
        <v>6550</v>
      </c>
      <c r="H63" s="10" t="s">
        <v>6555</v>
      </c>
      <c r="I63" s="13">
        <v>97.0</v>
      </c>
      <c r="J63" s="13">
        <v>44.0</v>
      </c>
      <c r="K63" s="13">
        <v>33.0</v>
      </c>
      <c r="L63" s="13">
        <v>2.0</v>
      </c>
      <c r="M63" s="13">
        <v>5.0</v>
      </c>
      <c r="N63" s="214">
        <v>17.0</v>
      </c>
      <c r="O63" s="13">
        <v>40.0</v>
      </c>
      <c r="P63" s="123">
        <v>32.0</v>
      </c>
      <c r="Q63" s="132"/>
    </row>
    <row r="64" ht="15.75" customHeight="1">
      <c r="A64" s="10"/>
      <c r="B64" s="135">
        <v>4.0</v>
      </c>
      <c r="C64" s="13">
        <v>26.0</v>
      </c>
      <c r="D64" s="13">
        <v>1.0</v>
      </c>
      <c r="E64" s="28">
        <v>0.44375</v>
      </c>
      <c r="F64" s="28">
        <v>0.48541666666666666</v>
      </c>
      <c r="G64" s="84" t="s">
        <v>6550</v>
      </c>
      <c r="H64" s="10" t="s">
        <v>6556</v>
      </c>
      <c r="I64" s="13">
        <v>100.0</v>
      </c>
      <c r="J64" s="13">
        <v>48.0</v>
      </c>
      <c r="K64" s="13">
        <v>47.0</v>
      </c>
      <c r="L64" s="13">
        <v>3.0</v>
      </c>
      <c r="M64" s="13">
        <v>11.0</v>
      </c>
      <c r="N64" s="214">
        <v>2.0</v>
      </c>
      <c r="O64" s="13">
        <v>55.0</v>
      </c>
      <c r="P64" s="123">
        <v>31.0</v>
      </c>
      <c r="Q64" s="132"/>
    </row>
    <row r="65" ht="15.75" customHeight="1">
      <c r="A65" s="10"/>
      <c r="B65" s="135">
        <v>3.0</v>
      </c>
      <c r="C65" s="13">
        <v>27.0</v>
      </c>
      <c r="D65" s="13">
        <v>2.0</v>
      </c>
      <c r="E65" s="28">
        <v>0.4895833333333333</v>
      </c>
      <c r="F65" s="28">
        <v>0.53125</v>
      </c>
      <c r="G65" s="84" t="s">
        <v>6557</v>
      </c>
      <c r="H65" s="10" t="s">
        <v>6558</v>
      </c>
      <c r="I65" s="13">
        <v>91.0</v>
      </c>
      <c r="J65" s="13">
        <v>36.0</v>
      </c>
      <c r="K65" s="13">
        <v>35.0</v>
      </c>
      <c r="L65" s="13">
        <v>1.0</v>
      </c>
      <c r="M65" s="13">
        <v>6.0</v>
      </c>
      <c r="N65" s="214">
        <v>18.0</v>
      </c>
      <c r="O65" s="13">
        <v>30.0</v>
      </c>
      <c r="P65" s="123">
        <v>35.0</v>
      </c>
      <c r="Q65" s="132"/>
    </row>
    <row r="66" ht="15.75" customHeight="1">
      <c r="A66" s="10"/>
      <c r="B66" s="135">
        <v>4.0</v>
      </c>
      <c r="C66" s="13">
        <v>27.0</v>
      </c>
      <c r="D66" s="13">
        <v>2.0</v>
      </c>
      <c r="E66" s="28">
        <v>0.5361111111111111</v>
      </c>
      <c r="F66" s="28">
        <v>0.07847222222222222</v>
      </c>
      <c r="G66" s="84" t="s">
        <v>6559</v>
      </c>
      <c r="H66" s="10" t="s">
        <v>6560</v>
      </c>
      <c r="I66" s="13">
        <v>73.0</v>
      </c>
      <c r="J66" s="13">
        <v>35.0</v>
      </c>
      <c r="K66" s="13">
        <v>37.0</v>
      </c>
      <c r="L66" s="13">
        <v>0.0</v>
      </c>
      <c r="M66" s="13">
        <v>11.0</v>
      </c>
      <c r="N66" s="214">
        <v>1.0</v>
      </c>
      <c r="O66" s="13">
        <v>21.0</v>
      </c>
      <c r="P66" s="123">
        <v>41.0</v>
      </c>
      <c r="Q66" s="132"/>
    </row>
    <row r="67" ht="15.75" customHeight="1">
      <c r="A67" s="10"/>
      <c r="B67" s="135">
        <v>3.0</v>
      </c>
      <c r="C67" s="13">
        <v>28.0</v>
      </c>
      <c r="D67" s="13">
        <v>3.0</v>
      </c>
      <c r="E67" s="28">
        <v>0.08125</v>
      </c>
      <c r="F67" s="28">
        <v>0.12569444444444444</v>
      </c>
      <c r="G67" s="84" t="s">
        <v>6561</v>
      </c>
      <c r="H67" s="10" t="s">
        <v>6562</v>
      </c>
      <c r="I67" s="13">
        <v>83.0</v>
      </c>
      <c r="J67" s="13">
        <v>24.0</v>
      </c>
      <c r="K67" s="13">
        <v>26.0</v>
      </c>
      <c r="L67" s="13">
        <v>0.0</v>
      </c>
      <c r="M67" s="13">
        <v>8.0</v>
      </c>
      <c r="N67" s="214">
        <v>32.0</v>
      </c>
      <c r="O67" s="13">
        <v>7.0</v>
      </c>
      <c r="P67" s="123">
        <v>35.0</v>
      </c>
      <c r="Q67" s="132"/>
    </row>
    <row r="68" ht="15.75" customHeight="1">
      <c r="A68" s="10"/>
      <c r="B68" s="135">
        <v>4.0</v>
      </c>
      <c r="C68" s="13">
        <v>28.0</v>
      </c>
      <c r="D68" s="13">
        <v>3.0</v>
      </c>
      <c r="E68" s="28">
        <v>0.13055555555555556</v>
      </c>
      <c r="F68" s="28">
        <v>0.1798611111111111</v>
      </c>
      <c r="G68" s="84" t="s">
        <v>6563</v>
      </c>
      <c r="H68" s="10" t="s">
        <v>6564</v>
      </c>
      <c r="I68" s="13">
        <v>60.0</v>
      </c>
      <c r="J68" s="13">
        <v>25.0</v>
      </c>
      <c r="K68" s="13">
        <v>34.0</v>
      </c>
      <c r="L68" s="13">
        <v>0.0</v>
      </c>
      <c r="M68" s="13">
        <v>14.0</v>
      </c>
      <c r="N68" s="214">
        <v>1.0</v>
      </c>
      <c r="O68" s="13">
        <v>17.0</v>
      </c>
      <c r="P68" s="123">
        <v>30.0</v>
      </c>
      <c r="Q68" s="132"/>
    </row>
    <row r="69" ht="15.75" customHeight="1">
      <c r="A69" s="10"/>
      <c r="B69" s="135"/>
      <c r="G69" s="10"/>
      <c r="H69" s="10"/>
      <c r="N69" s="214"/>
      <c r="P69" s="123"/>
      <c r="Q69" s="132"/>
    </row>
    <row r="70" ht="15.75" customHeight="1">
      <c r="A70" s="27">
        <v>45195.0</v>
      </c>
      <c r="B70" s="135">
        <v>3.0</v>
      </c>
      <c r="C70" s="13">
        <v>29.0</v>
      </c>
      <c r="D70" s="13">
        <v>1.0</v>
      </c>
      <c r="E70" s="28">
        <v>0.3958333333333333</v>
      </c>
      <c r="F70" s="28">
        <v>0.4444444444444444</v>
      </c>
      <c r="G70" s="84" t="s">
        <v>6565</v>
      </c>
      <c r="H70" s="10" t="s">
        <v>6566</v>
      </c>
      <c r="I70" s="13">
        <v>102.0</v>
      </c>
      <c r="J70" s="13">
        <v>17.0</v>
      </c>
      <c r="K70" s="13">
        <v>27.0</v>
      </c>
      <c r="L70" s="13">
        <v>2.0</v>
      </c>
      <c r="M70" s="13">
        <v>4.0</v>
      </c>
      <c r="N70" s="214">
        <v>55.0</v>
      </c>
      <c r="O70" s="13">
        <v>16.0</v>
      </c>
      <c r="P70" s="123">
        <v>24.0</v>
      </c>
      <c r="Q70" s="132"/>
    </row>
    <row r="71" ht="15.75" customHeight="1">
      <c r="A71" s="10"/>
      <c r="B71" s="135">
        <v>4.0</v>
      </c>
      <c r="C71" s="13">
        <v>29.0</v>
      </c>
      <c r="D71" s="13">
        <v>1.0</v>
      </c>
      <c r="E71" s="28">
        <v>0.45</v>
      </c>
      <c r="F71" s="28">
        <v>0.4909722222222222</v>
      </c>
      <c r="G71" s="84" t="s">
        <v>6567</v>
      </c>
      <c r="H71" s="10" t="s">
        <v>6568</v>
      </c>
      <c r="I71" s="13">
        <v>98.0</v>
      </c>
      <c r="J71" s="13">
        <v>41.0</v>
      </c>
      <c r="K71" s="13">
        <v>38.0</v>
      </c>
      <c r="L71" s="13">
        <v>2.0</v>
      </c>
      <c r="M71" s="13">
        <v>12.0</v>
      </c>
      <c r="N71" s="214">
        <v>15.0</v>
      </c>
      <c r="O71" s="13">
        <v>45.0</v>
      </c>
      <c r="P71" s="123">
        <v>24.0</v>
      </c>
      <c r="Q71" s="132"/>
    </row>
    <row r="72" ht="15.75" customHeight="1">
      <c r="A72" s="10"/>
      <c r="B72" s="135">
        <v>3.0</v>
      </c>
      <c r="C72" s="13">
        <v>30.0</v>
      </c>
      <c r="D72" s="13">
        <v>2.0</v>
      </c>
      <c r="E72" s="28">
        <v>0.49583333333333335</v>
      </c>
      <c r="F72" s="28">
        <v>0.5381944444444444</v>
      </c>
      <c r="G72" s="84" t="s">
        <v>6569</v>
      </c>
      <c r="H72" s="10" t="s">
        <v>6570</v>
      </c>
      <c r="I72" s="13">
        <v>84.0</v>
      </c>
      <c r="J72" s="13">
        <v>17.0</v>
      </c>
      <c r="K72" s="13">
        <v>16.0</v>
      </c>
      <c r="L72" s="13">
        <v>1.0</v>
      </c>
      <c r="M72" s="13">
        <v>1.0</v>
      </c>
      <c r="N72" s="214">
        <v>50.0</v>
      </c>
      <c r="O72" s="13">
        <v>13.0</v>
      </c>
      <c r="P72" s="123">
        <v>19.0</v>
      </c>
      <c r="Q72" s="132"/>
    </row>
    <row r="73" ht="15.75" customHeight="1">
      <c r="A73" s="10"/>
      <c r="B73" s="135">
        <v>4.0</v>
      </c>
      <c r="C73" s="13">
        <v>30.0</v>
      </c>
      <c r="D73" s="13">
        <v>2.0</v>
      </c>
      <c r="E73" s="28">
        <v>0.04375</v>
      </c>
      <c r="F73" s="28">
        <v>0.08263888888888889</v>
      </c>
      <c r="G73" s="86" t="s">
        <v>6571</v>
      </c>
      <c r="H73" s="10" t="s">
        <v>6572</v>
      </c>
      <c r="I73" s="13">
        <v>76.0</v>
      </c>
      <c r="J73" s="13">
        <v>33.0</v>
      </c>
      <c r="K73" s="13">
        <v>20.0</v>
      </c>
      <c r="L73" s="13">
        <v>2.0</v>
      </c>
      <c r="M73" s="13">
        <v>7.0</v>
      </c>
      <c r="N73" s="214">
        <v>21.0</v>
      </c>
      <c r="O73" s="13">
        <v>11.0</v>
      </c>
      <c r="P73" s="123">
        <v>34.0</v>
      </c>
      <c r="Q73" s="132"/>
    </row>
    <row r="74" ht="15.75" customHeight="1">
      <c r="A74" s="10"/>
      <c r="B74" s="135">
        <v>3.0</v>
      </c>
      <c r="C74" s="13">
        <v>31.0</v>
      </c>
      <c r="D74" s="13">
        <v>3.0</v>
      </c>
      <c r="E74" s="28">
        <v>0.11736111111111111</v>
      </c>
      <c r="F74" s="28">
        <v>0.16319444444444445</v>
      </c>
      <c r="G74" s="84" t="s">
        <v>6573</v>
      </c>
      <c r="H74" s="10" t="s">
        <v>6574</v>
      </c>
      <c r="I74" s="13">
        <v>121.0</v>
      </c>
      <c r="J74" s="13">
        <v>57.0</v>
      </c>
      <c r="K74" s="13">
        <v>55.0</v>
      </c>
      <c r="L74" s="13">
        <v>0.0</v>
      </c>
      <c r="M74" s="13">
        <v>13.0</v>
      </c>
      <c r="N74" s="214">
        <v>8.0</v>
      </c>
      <c r="O74" s="13">
        <v>40.0</v>
      </c>
      <c r="P74" s="123">
        <v>60.0</v>
      </c>
      <c r="Q74" s="132" t="s">
        <v>6575</v>
      </c>
    </row>
    <row r="75" ht="15.75" customHeight="1">
      <c r="A75" s="10"/>
      <c r="B75" s="135">
        <v>4.0</v>
      </c>
      <c r="C75" s="13">
        <v>31.0</v>
      </c>
      <c r="D75" s="13">
        <v>3.0</v>
      </c>
      <c r="E75" s="28">
        <v>0.17083333333333334</v>
      </c>
      <c r="F75" s="28">
        <v>0.21666666666666667</v>
      </c>
      <c r="G75" s="86" t="s">
        <v>6576</v>
      </c>
      <c r="H75" s="10" t="s">
        <v>6577</v>
      </c>
      <c r="I75" s="13">
        <v>103.0</v>
      </c>
      <c r="J75" s="13">
        <v>35.0</v>
      </c>
      <c r="K75" s="13">
        <v>28.0</v>
      </c>
      <c r="L75" s="13">
        <v>0.0</v>
      </c>
      <c r="M75" s="13">
        <v>8.0</v>
      </c>
      <c r="N75" s="123">
        <v>40.0</v>
      </c>
      <c r="O75" s="13">
        <v>20.0</v>
      </c>
      <c r="P75" s="123">
        <v>36.0</v>
      </c>
      <c r="Q75" s="132"/>
    </row>
    <row r="76" ht="15.75" customHeight="1">
      <c r="A76" s="10"/>
      <c r="B76" s="135"/>
      <c r="E76" s="28"/>
      <c r="F76" s="28"/>
      <c r="G76" s="20"/>
      <c r="H76" s="10"/>
      <c r="N76" s="123"/>
      <c r="P76" s="123"/>
      <c r="Q76" s="132"/>
    </row>
    <row r="77" ht="15.75" customHeight="1">
      <c r="A77" s="27">
        <v>45196.0</v>
      </c>
      <c r="B77" s="135">
        <v>3.0</v>
      </c>
      <c r="C77" s="13">
        <v>32.0</v>
      </c>
      <c r="D77" s="13">
        <v>1.0</v>
      </c>
      <c r="E77" s="28">
        <v>0.38819444444444445</v>
      </c>
      <c r="F77" s="28">
        <v>0.4305555555555556</v>
      </c>
      <c r="G77" s="86" t="s">
        <v>6578</v>
      </c>
      <c r="H77" s="10" t="s">
        <v>6579</v>
      </c>
      <c r="I77" s="13">
        <v>89.0</v>
      </c>
      <c r="J77" s="13">
        <v>40.0</v>
      </c>
      <c r="K77" s="13">
        <v>36.0</v>
      </c>
      <c r="L77" s="13">
        <v>1.0</v>
      </c>
      <c r="M77" s="13">
        <v>4.0</v>
      </c>
      <c r="N77" s="123">
        <v>11.0</v>
      </c>
      <c r="O77" s="13">
        <v>32.0</v>
      </c>
      <c r="P77" s="123">
        <v>40.0</v>
      </c>
      <c r="Q77" s="132"/>
    </row>
    <row r="78" ht="15.75" customHeight="1">
      <c r="A78" s="10"/>
      <c r="B78" s="135">
        <v>4.0</v>
      </c>
      <c r="C78" s="13">
        <v>32.0</v>
      </c>
      <c r="D78" s="13">
        <v>1.0</v>
      </c>
      <c r="E78" s="28">
        <v>0.4361111111111111</v>
      </c>
      <c r="F78" s="28">
        <v>0.4791666666666667</v>
      </c>
      <c r="G78" s="86" t="s">
        <v>6580</v>
      </c>
      <c r="H78" s="10" t="s">
        <v>6581</v>
      </c>
      <c r="I78" s="13">
        <v>68.0</v>
      </c>
      <c r="J78" s="13">
        <v>18.0</v>
      </c>
      <c r="K78" s="13">
        <v>17.0</v>
      </c>
      <c r="L78" s="13">
        <v>2.0</v>
      </c>
      <c r="M78" s="13">
        <v>7.0</v>
      </c>
      <c r="N78" s="123">
        <v>31.0</v>
      </c>
      <c r="O78" s="13">
        <v>4.0</v>
      </c>
      <c r="P78" s="123">
        <v>25.0</v>
      </c>
      <c r="Q78" s="132"/>
    </row>
    <row r="79" ht="15.75" customHeight="1">
      <c r="A79" s="10"/>
      <c r="B79" s="135">
        <v>3.0</v>
      </c>
      <c r="C79" s="13">
        <v>33.0</v>
      </c>
      <c r="D79" s="13">
        <v>2.0</v>
      </c>
      <c r="E79" s="28">
        <v>0.48194444444444445</v>
      </c>
      <c r="F79" s="28">
        <v>0.5298611111111111</v>
      </c>
      <c r="G79" s="86" t="s">
        <v>6582</v>
      </c>
      <c r="H79" s="10" t="s">
        <v>6583</v>
      </c>
      <c r="I79" s="13">
        <v>78.0</v>
      </c>
      <c r="J79" s="13">
        <v>35.0</v>
      </c>
      <c r="K79" s="13">
        <v>33.0</v>
      </c>
      <c r="L79" s="13">
        <v>1.0</v>
      </c>
      <c r="M79" s="13">
        <v>9.0</v>
      </c>
      <c r="N79" s="123">
        <v>9.0</v>
      </c>
      <c r="O79" s="13">
        <v>21.0</v>
      </c>
      <c r="P79" s="123">
        <v>39.0</v>
      </c>
      <c r="Q79" s="132"/>
    </row>
    <row r="80" ht="15.75" customHeight="1">
      <c r="A80" s="10"/>
      <c r="B80" s="135">
        <v>4.0</v>
      </c>
      <c r="C80" s="13">
        <v>33.0</v>
      </c>
      <c r="D80" s="13">
        <v>2.0</v>
      </c>
      <c r="E80" s="28">
        <v>0.5381944444444444</v>
      </c>
      <c r="F80" s="28">
        <v>0.08472222222222223</v>
      </c>
      <c r="G80" s="86" t="s">
        <v>6584</v>
      </c>
      <c r="H80" s="10" t="s">
        <v>6585</v>
      </c>
      <c r="I80" s="13">
        <v>112.0</v>
      </c>
      <c r="J80" s="13">
        <v>40.0</v>
      </c>
      <c r="K80" s="13">
        <v>35.0</v>
      </c>
      <c r="L80" s="13">
        <v>6.0</v>
      </c>
      <c r="M80" s="13">
        <v>12.0</v>
      </c>
      <c r="N80" s="123">
        <v>30.0</v>
      </c>
      <c r="O80" s="13">
        <v>27.0</v>
      </c>
      <c r="P80" s="123">
        <v>37.0</v>
      </c>
      <c r="Q80" s="132"/>
    </row>
    <row r="81" ht="15.75" customHeight="1">
      <c r="A81" s="10"/>
      <c r="B81" s="135">
        <v>3.0</v>
      </c>
      <c r="C81" s="13">
        <v>34.0</v>
      </c>
      <c r="D81" s="13">
        <v>3.0</v>
      </c>
      <c r="E81" s="28">
        <v>0.09097222222222222</v>
      </c>
      <c r="F81" s="28">
        <v>0.13541666666666666</v>
      </c>
      <c r="G81" s="86" t="s">
        <v>6586</v>
      </c>
      <c r="H81" s="10" t="s">
        <v>6587</v>
      </c>
      <c r="I81" s="13">
        <v>90.0</v>
      </c>
      <c r="J81" s="13">
        <v>30.0</v>
      </c>
      <c r="K81" s="13">
        <v>41.0</v>
      </c>
      <c r="L81" s="13">
        <v>0.0</v>
      </c>
      <c r="M81" s="13">
        <v>5.0</v>
      </c>
      <c r="N81" s="123">
        <v>18.0</v>
      </c>
      <c r="O81" s="13">
        <v>18.0</v>
      </c>
      <c r="P81" s="123">
        <v>49.0</v>
      </c>
      <c r="Q81" s="132"/>
    </row>
    <row r="82" ht="15.75" customHeight="1">
      <c r="A82" s="10"/>
      <c r="B82" s="135">
        <v>4.0</v>
      </c>
      <c r="C82" s="13">
        <v>34.0</v>
      </c>
      <c r="D82" s="13">
        <v>3.0</v>
      </c>
      <c r="E82" s="28">
        <v>0.1423611111111111</v>
      </c>
      <c r="F82" s="28">
        <v>0.18194444444444444</v>
      </c>
      <c r="G82" s="86" t="s">
        <v>6588</v>
      </c>
      <c r="H82" s="10" t="s">
        <v>6589</v>
      </c>
      <c r="I82" s="13">
        <v>51.0</v>
      </c>
      <c r="J82" s="13">
        <v>20.0</v>
      </c>
      <c r="K82" s="13">
        <v>16.0</v>
      </c>
      <c r="L82" s="13">
        <v>0.0</v>
      </c>
      <c r="M82" s="13">
        <v>6.0</v>
      </c>
      <c r="N82" s="123">
        <v>14.0</v>
      </c>
      <c r="O82" s="13">
        <v>4.0</v>
      </c>
      <c r="P82" s="123">
        <v>26.0</v>
      </c>
      <c r="Q82" s="132"/>
    </row>
    <row r="83" ht="15.75" customHeight="1">
      <c r="A83" s="10"/>
      <c r="B83" s="135"/>
      <c r="E83" s="28"/>
      <c r="F83" s="28"/>
      <c r="G83" s="20"/>
      <c r="H83" s="109" t="s">
        <v>6590</v>
      </c>
      <c r="N83" s="123"/>
      <c r="P83" s="123"/>
      <c r="Q83" s="132"/>
    </row>
    <row r="84" ht="15.75" customHeight="1">
      <c r="A84" s="27">
        <v>45197.0</v>
      </c>
      <c r="B84" s="135">
        <v>3.0</v>
      </c>
      <c r="C84" s="13">
        <v>35.0</v>
      </c>
      <c r="D84" s="13">
        <v>1.0</v>
      </c>
      <c r="E84" s="28">
        <v>0.4166666666666667</v>
      </c>
      <c r="F84" s="28">
        <v>0.4583333333333333</v>
      </c>
      <c r="G84" s="86" t="s">
        <v>6591</v>
      </c>
      <c r="H84" s="10"/>
      <c r="I84" s="13">
        <v>96.0</v>
      </c>
      <c r="J84" s="13">
        <v>36.0</v>
      </c>
      <c r="K84" s="13">
        <v>37.0</v>
      </c>
      <c r="L84" s="13">
        <v>2.0</v>
      </c>
      <c r="M84" s="13">
        <v>7.0</v>
      </c>
      <c r="N84" s="123">
        <v>20.0</v>
      </c>
      <c r="O84" s="13">
        <v>25.0</v>
      </c>
      <c r="P84" s="123">
        <v>41.0</v>
      </c>
      <c r="Q84" s="132"/>
    </row>
    <row r="85" ht="15.75" customHeight="1">
      <c r="A85" s="10"/>
      <c r="B85" s="135">
        <v>4.0</v>
      </c>
      <c r="C85" s="13">
        <v>35.0</v>
      </c>
      <c r="D85" s="13">
        <v>1.0</v>
      </c>
      <c r="E85" s="28">
        <v>0.4652777777777778</v>
      </c>
      <c r="F85" s="28">
        <v>0.5048611111111111</v>
      </c>
      <c r="G85" s="86" t="s">
        <v>6592</v>
      </c>
      <c r="H85" s="10" t="s">
        <v>6593</v>
      </c>
      <c r="I85" s="13">
        <v>77.0</v>
      </c>
      <c r="J85" s="13">
        <v>26.0</v>
      </c>
      <c r="K85" s="13">
        <v>27.0</v>
      </c>
      <c r="L85" s="13">
        <v>2.0</v>
      </c>
      <c r="M85" s="13">
        <v>19.0</v>
      </c>
      <c r="N85" s="123">
        <v>21.0</v>
      </c>
      <c r="O85" s="13">
        <v>2.0</v>
      </c>
      <c r="P85" s="123">
        <v>33.0</v>
      </c>
      <c r="Q85" s="132"/>
    </row>
    <row r="86" ht="15.75" customHeight="1">
      <c r="A86" s="10"/>
      <c r="B86" s="135">
        <v>3.0</v>
      </c>
      <c r="C86" s="13">
        <v>36.0</v>
      </c>
      <c r="D86" s="13">
        <v>2.0</v>
      </c>
      <c r="E86" s="28">
        <v>0.5069444444444444</v>
      </c>
      <c r="F86" s="28">
        <v>0.04861111111111111</v>
      </c>
      <c r="G86" s="86" t="s">
        <v>6594</v>
      </c>
      <c r="H86" s="10" t="s">
        <v>6595</v>
      </c>
      <c r="I86" s="13">
        <v>89.0</v>
      </c>
      <c r="J86" s="13">
        <v>33.0</v>
      </c>
      <c r="K86" s="13">
        <v>31.0</v>
      </c>
      <c r="L86" s="13">
        <v>4.0</v>
      </c>
      <c r="M86" s="13">
        <v>8.0</v>
      </c>
      <c r="N86" s="123">
        <v>20.0</v>
      </c>
      <c r="O86" s="13">
        <v>20.0</v>
      </c>
      <c r="P86" s="123">
        <v>37.0</v>
      </c>
      <c r="Q86" s="132"/>
    </row>
    <row r="87" ht="15.75" customHeight="1">
      <c r="A87" s="10"/>
      <c r="B87" s="135">
        <v>4.0</v>
      </c>
      <c r="C87" s="13">
        <v>36.0</v>
      </c>
      <c r="D87" s="13">
        <v>2.0</v>
      </c>
      <c r="E87" s="28">
        <v>0.052083333333333336</v>
      </c>
      <c r="F87" s="28">
        <v>0.09027777777777778</v>
      </c>
      <c r="G87" s="86" t="s">
        <v>6596</v>
      </c>
      <c r="H87" s="10" t="s">
        <v>6597</v>
      </c>
      <c r="I87" s="13">
        <v>64.0</v>
      </c>
      <c r="J87" s="13">
        <v>24.0</v>
      </c>
      <c r="K87" s="13">
        <v>21.0</v>
      </c>
      <c r="L87" s="13">
        <v>4.0</v>
      </c>
      <c r="M87" s="13">
        <v>14.0</v>
      </c>
      <c r="N87" s="123">
        <v>14.0</v>
      </c>
      <c r="O87" s="13">
        <v>4.0</v>
      </c>
      <c r="P87" s="123">
        <v>27.0</v>
      </c>
      <c r="Q87" s="132"/>
    </row>
    <row r="88" ht="15.75" customHeight="1">
      <c r="A88" s="10"/>
      <c r="B88" s="135">
        <v>3.0</v>
      </c>
      <c r="C88" s="13">
        <v>37.0</v>
      </c>
      <c r="D88" s="13">
        <v>3.0</v>
      </c>
      <c r="E88" s="28">
        <v>0.09375</v>
      </c>
      <c r="F88" s="28">
        <v>0.13472222222222222</v>
      </c>
      <c r="G88" s="86" t="s">
        <v>6598</v>
      </c>
      <c r="H88" s="10" t="s">
        <v>6599</v>
      </c>
      <c r="I88" s="13">
        <v>88.0</v>
      </c>
      <c r="J88" s="13">
        <v>37.0</v>
      </c>
      <c r="K88" s="13">
        <v>28.0</v>
      </c>
      <c r="L88" s="13">
        <v>2.0</v>
      </c>
      <c r="M88" s="13">
        <v>4.0</v>
      </c>
      <c r="N88" s="123">
        <v>20.0</v>
      </c>
      <c r="O88" s="13">
        <v>31.0</v>
      </c>
      <c r="P88" s="123">
        <v>30.0</v>
      </c>
      <c r="Q88" s="132"/>
    </row>
    <row r="89" ht="15.75" customHeight="1">
      <c r="A89" s="10"/>
      <c r="B89" s="135">
        <v>4.0</v>
      </c>
      <c r="C89" s="13">
        <v>37.0</v>
      </c>
      <c r="D89" s="13">
        <v>3.0</v>
      </c>
      <c r="E89" s="28">
        <v>0.14027777777777778</v>
      </c>
      <c r="F89" s="28">
        <v>0.18472222222222223</v>
      </c>
      <c r="G89" s="86" t="s">
        <v>6600</v>
      </c>
      <c r="H89" s="10" t="s">
        <v>6601</v>
      </c>
      <c r="I89" s="13">
        <v>68.0</v>
      </c>
      <c r="J89" s="13">
        <v>25.0</v>
      </c>
      <c r="K89" s="13">
        <v>23.0</v>
      </c>
      <c r="L89" s="13">
        <v>1.0</v>
      </c>
      <c r="M89" s="13">
        <v>22.0</v>
      </c>
      <c r="N89" s="123">
        <v>18.0</v>
      </c>
      <c r="O89" s="13">
        <v>3.0</v>
      </c>
      <c r="P89" s="123">
        <v>24.0</v>
      </c>
      <c r="Q89" s="132"/>
    </row>
    <row r="90" ht="15.75" customHeight="1">
      <c r="A90" s="10"/>
      <c r="B90" s="135"/>
      <c r="E90" s="28"/>
      <c r="F90" s="28"/>
      <c r="G90" s="20"/>
      <c r="H90" s="109" t="s">
        <v>6602</v>
      </c>
      <c r="N90" s="123"/>
      <c r="P90" s="123"/>
      <c r="Q90" s="132"/>
    </row>
    <row r="91" ht="15.75" customHeight="1">
      <c r="A91" s="27">
        <v>45198.0</v>
      </c>
      <c r="B91" s="135">
        <v>3.0</v>
      </c>
      <c r="C91" s="13">
        <v>38.0</v>
      </c>
      <c r="D91" s="13">
        <v>1.0</v>
      </c>
      <c r="E91" s="28">
        <v>0.38680555555555557</v>
      </c>
      <c r="F91" s="28">
        <v>0.3784722222222222</v>
      </c>
      <c r="G91" s="86" t="s">
        <v>6603</v>
      </c>
      <c r="H91" s="10" t="s">
        <v>6604</v>
      </c>
      <c r="I91" s="13">
        <v>67.0</v>
      </c>
      <c r="J91" s="13">
        <v>32.0</v>
      </c>
      <c r="K91" s="13">
        <v>31.0</v>
      </c>
      <c r="L91" s="13">
        <v>0.0</v>
      </c>
      <c r="M91" s="13">
        <v>16.0</v>
      </c>
      <c r="N91" s="123">
        <v>3.0</v>
      </c>
      <c r="O91" s="13">
        <v>16.0</v>
      </c>
      <c r="P91" s="123">
        <v>32.0</v>
      </c>
      <c r="Q91" s="132"/>
    </row>
    <row r="92" ht="15.75" customHeight="1">
      <c r="A92" s="10"/>
      <c r="B92" s="135">
        <v>4.0</v>
      </c>
      <c r="C92" s="13">
        <v>38.0</v>
      </c>
      <c r="D92" s="13">
        <v>1.0</v>
      </c>
      <c r="E92" s="28">
        <v>0.43472222222222223</v>
      </c>
      <c r="F92" s="28">
        <v>0.4701388888888889</v>
      </c>
      <c r="G92" s="84" t="s">
        <v>6605</v>
      </c>
      <c r="H92" s="10" t="s">
        <v>6606</v>
      </c>
      <c r="I92" s="13">
        <v>72.0</v>
      </c>
      <c r="J92" s="13">
        <v>24.0</v>
      </c>
      <c r="K92" s="13">
        <v>26.0</v>
      </c>
      <c r="L92" s="13">
        <v>0.0</v>
      </c>
      <c r="M92" s="13">
        <v>0.0</v>
      </c>
      <c r="N92" s="123">
        <v>21.0</v>
      </c>
      <c r="O92" s="13">
        <v>31.0</v>
      </c>
      <c r="P92" s="123">
        <v>19.0</v>
      </c>
      <c r="Q92" s="132"/>
    </row>
    <row r="93" ht="15.75" customHeight="1">
      <c r="A93" s="10"/>
      <c r="B93" s="135">
        <v>3.0</v>
      </c>
      <c r="C93" s="13">
        <v>39.0</v>
      </c>
      <c r="D93" s="13">
        <v>2.0</v>
      </c>
      <c r="E93" s="28">
        <v>0.4756944444444444</v>
      </c>
      <c r="F93" s="28">
        <v>0.5277777777777778</v>
      </c>
      <c r="G93" s="86" t="s">
        <v>6607</v>
      </c>
      <c r="H93" s="10" t="s">
        <v>6608</v>
      </c>
      <c r="I93" s="13">
        <v>103.0</v>
      </c>
      <c r="J93" s="13">
        <v>59.0</v>
      </c>
      <c r="K93" s="13">
        <v>39.0</v>
      </c>
      <c r="L93" s="13">
        <v>1.0</v>
      </c>
      <c r="M93" s="13">
        <v>3.0</v>
      </c>
      <c r="N93" s="123">
        <v>3.0</v>
      </c>
      <c r="O93" s="13">
        <v>46.0</v>
      </c>
      <c r="P93" s="123">
        <v>49.0</v>
      </c>
      <c r="Q93" s="132"/>
    </row>
    <row r="94" ht="15.75" customHeight="1">
      <c r="A94" s="10"/>
      <c r="B94" s="135">
        <v>4.0</v>
      </c>
      <c r="C94" s="13">
        <v>39.0</v>
      </c>
      <c r="D94" s="13">
        <v>2.0</v>
      </c>
      <c r="E94" s="28">
        <v>0.5340277777777778</v>
      </c>
      <c r="F94" s="28">
        <v>0.0763888888888889</v>
      </c>
      <c r="G94" s="86" t="s">
        <v>6609</v>
      </c>
      <c r="H94" s="10" t="s">
        <v>6610</v>
      </c>
      <c r="I94" s="13">
        <v>77.0</v>
      </c>
      <c r="J94" s="13">
        <v>33.0</v>
      </c>
      <c r="K94" s="13">
        <v>23.0</v>
      </c>
      <c r="L94" s="13">
        <v>1.0</v>
      </c>
      <c r="M94" s="13">
        <v>17.0</v>
      </c>
      <c r="N94" s="123">
        <v>19.0</v>
      </c>
      <c r="O94" s="13">
        <v>3.0</v>
      </c>
      <c r="P94" s="123">
        <v>36.0</v>
      </c>
      <c r="Q94" s="132"/>
    </row>
    <row r="95" ht="15.75" customHeight="1">
      <c r="A95" s="10"/>
      <c r="B95" s="135">
        <v>3.0</v>
      </c>
      <c r="C95" s="13">
        <v>40.0</v>
      </c>
      <c r="D95" s="13">
        <v>3.0</v>
      </c>
      <c r="E95" s="28">
        <v>0.0798611111111111</v>
      </c>
      <c r="F95" s="28">
        <v>0.12361111111111112</v>
      </c>
      <c r="G95" s="86" t="s">
        <v>6611</v>
      </c>
      <c r="H95" s="10" t="s">
        <v>6612</v>
      </c>
      <c r="I95" s="13">
        <v>66.0</v>
      </c>
      <c r="J95" s="13">
        <v>39.0</v>
      </c>
      <c r="K95" s="13">
        <v>25.0</v>
      </c>
      <c r="L95" s="13">
        <v>1.0</v>
      </c>
      <c r="M95" s="13">
        <v>5.0</v>
      </c>
      <c r="N95" s="123">
        <v>1.0</v>
      </c>
      <c r="O95" s="13">
        <v>16.0</v>
      </c>
      <c r="P95" s="123">
        <v>42.0</v>
      </c>
      <c r="Q95" s="132"/>
    </row>
    <row r="96" ht="15.75" customHeight="1">
      <c r="A96" s="10"/>
      <c r="B96" s="135">
        <v>4.0</v>
      </c>
      <c r="C96" s="13">
        <v>40.0</v>
      </c>
      <c r="D96" s="13">
        <v>3.0</v>
      </c>
      <c r="E96" s="28">
        <v>0.12777777777777777</v>
      </c>
      <c r="F96" s="28">
        <v>0.17708333333333334</v>
      </c>
      <c r="G96" s="86" t="s">
        <v>6613</v>
      </c>
      <c r="H96" s="10" t="s">
        <v>6614</v>
      </c>
      <c r="I96" s="13">
        <v>60.0</v>
      </c>
      <c r="J96" s="13">
        <v>21.0</v>
      </c>
      <c r="K96" s="13">
        <v>26.0</v>
      </c>
      <c r="L96" s="13">
        <v>0.0</v>
      </c>
      <c r="M96" s="13">
        <v>10.0</v>
      </c>
      <c r="N96" s="123">
        <v>13.0</v>
      </c>
      <c r="O96" s="13">
        <v>10.0</v>
      </c>
      <c r="P96" s="123">
        <v>27.0</v>
      </c>
      <c r="Q96" s="132"/>
    </row>
    <row r="97" ht="15.75" customHeight="1">
      <c r="A97" s="10"/>
      <c r="B97" s="135"/>
      <c r="E97" s="28"/>
      <c r="F97" s="28"/>
      <c r="G97" s="20"/>
      <c r="H97" s="10"/>
      <c r="N97" s="123"/>
      <c r="P97" s="123"/>
      <c r="Q97" s="132"/>
    </row>
    <row r="98" ht="15.75" customHeight="1">
      <c r="A98" s="27">
        <v>45201.0</v>
      </c>
      <c r="B98" s="135">
        <v>3.0</v>
      </c>
      <c r="C98" s="13">
        <v>41.0</v>
      </c>
      <c r="D98" s="13">
        <v>1.0</v>
      </c>
      <c r="E98" s="28">
        <v>0.40625</v>
      </c>
      <c r="F98" s="28">
        <v>0.4479166666666667</v>
      </c>
      <c r="G98" s="86" t="s">
        <v>6615</v>
      </c>
      <c r="H98" s="10" t="s">
        <v>6616</v>
      </c>
      <c r="I98" s="13">
        <v>96.0</v>
      </c>
      <c r="J98" s="13">
        <v>47.0</v>
      </c>
      <c r="K98" s="13">
        <v>48.0</v>
      </c>
      <c r="L98" s="13">
        <v>0.0</v>
      </c>
      <c r="M98" s="13">
        <v>14.0</v>
      </c>
      <c r="N98" s="123">
        <v>1.0</v>
      </c>
      <c r="O98" s="13">
        <v>21.0</v>
      </c>
      <c r="P98" s="123">
        <v>60.0</v>
      </c>
      <c r="Q98" s="132"/>
    </row>
    <row r="99" ht="15.75" customHeight="1">
      <c r="A99" s="10"/>
      <c r="B99" s="135">
        <v>4.0</v>
      </c>
      <c r="C99" s="13">
        <v>41.0</v>
      </c>
      <c r="D99" s="13">
        <v>1.0</v>
      </c>
      <c r="E99" s="28">
        <v>0.4527777777777778</v>
      </c>
      <c r="F99" s="28">
        <v>0.4986111111111111</v>
      </c>
      <c r="G99" s="86" t="s">
        <v>6617</v>
      </c>
      <c r="H99" s="10" t="s">
        <v>6618</v>
      </c>
      <c r="I99" s="13">
        <v>121.0</v>
      </c>
      <c r="J99" s="13">
        <v>51.0</v>
      </c>
      <c r="K99" s="13">
        <v>39.0</v>
      </c>
      <c r="L99" s="13">
        <v>1.0</v>
      </c>
      <c r="M99" s="13">
        <v>10.0</v>
      </c>
      <c r="N99" s="123">
        <v>30.0</v>
      </c>
      <c r="O99" s="13">
        <v>17.0</v>
      </c>
      <c r="P99" s="123">
        <v>64.0</v>
      </c>
      <c r="Q99" s="132"/>
    </row>
    <row r="100" ht="15.75" customHeight="1">
      <c r="A100" s="10"/>
      <c r="B100" s="135">
        <v>3.0</v>
      </c>
      <c r="C100" s="13">
        <v>42.0</v>
      </c>
      <c r="D100" s="13">
        <v>2.0</v>
      </c>
      <c r="E100" s="28">
        <v>0.5034722222222222</v>
      </c>
      <c r="F100" s="28">
        <v>0.04791666666666667</v>
      </c>
      <c r="G100" s="86" t="s">
        <v>6619</v>
      </c>
      <c r="H100" s="10" t="s">
        <v>6620</v>
      </c>
      <c r="I100" s="13">
        <v>101.0</v>
      </c>
      <c r="J100" s="13">
        <v>53.0</v>
      </c>
      <c r="K100" s="13">
        <v>46.0</v>
      </c>
      <c r="L100" s="13">
        <v>1.0</v>
      </c>
      <c r="M100" s="13">
        <v>5.0</v>
      </c>
      <c r="N100" s="123">
        <v>0.0</v>
      </c>
      <c r="O100" s="13">
        <v>33.0</v>
      </c>
      <c r="P100" s="123">
        <v>61.0</v>
      </c>
      <c r="Q100" s="132"/>
    </row>
    <row r="101" ht="15.75" customHeight="1">
      <c r="A101" s="10"/>
      <c r="B101" s="135">
        <v>4.0</v>
      </c>
      <c r="C101" s="13">
        <v>42.0</v>
      </c>
      <c r="D101" s="13">
        <v>2.0</v>
      </c>
      <c r="E101" s="28">
        <v>0.05277777777777778</v>
      </c>
      <c r="F101" s="28">
        <v>0.09166666666666666</v>
      </c>
      <c r="G101" s="86" t="s">
        <v>6621</v>
      </c>
      <c r="H101" s="10" t="s">
        <v>6622</v>
      </c>
      <c r="I101" s="13">
        <v>96.0</v>
      </c>
      <c r="J101" s="13">
        <v>38.0</v>
      </c>
      <c r="K101" s="13">
        <v>29.0</v>
      </c>
      <c r="L101" s="13">
        <v>0.0</v>
      </c>
      <c r="M101" s="13">
        <v>5.0</v>
      </c>
      <c r="N101" s="123">
        <v>28.0</v>
      </c>
      <c r="O101" s="13">
        <v>16.0</v>
      </c>
      <c r="P101" s="123">
        <v>46.0</v>
      </c>
      <c r="Q101" s="132"/>
    </row>
    <row r="102" ht="15.75" customHeight="1">
      <c r="A102" s="10"/>
      <c r="B102" s="135">
        <v>3.0</v>
      </c>
      <c r="C102" s="13">
        <v>43.0</v>
      </c>
      <c r="D102" s="13">
        <v>3.0</v>
      </c>
      <c r="E102" s="28">
        <v>0.09444444444444444</v>
      </c>
      <c r="F102" s="28">
        <v>0.13333333333333333</v>
      </c>
      <c r="G102" s="86" t="s">
        <v>6623</v>
      </c>
      <c r="H102" s="10" t="s">
        <v>6624</v>
      </c>
      <c r="I102" s="13">
        <v>78.0</v>
      </c>
      <c r="J102" s="13">
        <v>37.0</v>
      </c>
      <c r="K102" s="13">
        <v>38.0</v>
      </c>
      <c r="L102" s="13">
        <v>1.0</v>
      </c>
      <c r="M102" s="13">
        <v>3.0</v>
      </c>
      <c r="N102" s="123">
        <v>1.0</v>
      </c>
      <c r="O102" s="13">
        <v>41.0</v>
      </c>
      <c r="P102" s="123">
        <v>32.0</v>
      </c>
      <c r="Q102" s="132"/>
    </row>
    <row r="103" ht="15.75" customHeight="1">
      <c r="A103" s="10"/>
      <c r="B103" s="135">
        <v>4.0</v>
      </c>
      <c r="C103" s="13">
        <v>43.0</v>
      </c>
      <c r="D103" s="13">
        <v>3.0</v>
      </c>
      <c r="E103" s="28">
        <v>0.13819444444444445</v>
      </c>
      <c r="F103" s="28">
        <v>0.1909722222222222</v>
      </c>
      <c r="G103" s="86" t="s">
        <v>6625</v>
      </c>
      <c r="H103" s="10"/>
      <c r="I103" s="13">
        <v>108.0</v>
      </c>
      <c r="J103" s="13">
        <v>46.0</v>
      </c>
      <c r="K103" s="13">
        <v>36.0</v>
      </c>
      <c r="L103" s="13">
        <v>0.0</v>
      </c>
      <c r="M103" s="13">
        <v>6.0</v>
      </c>
      <c r="N103" s="123">
        <v>26.0</v>
      </c>
      <c r="O103" s="13">
        <v>31.0</v>
      </c>
      <c r="P103" s="123">
        <v>45.0</v>
      </c>
      <c r="Q103" s="132"/>
    </row>
    <row r="104" ht="15.75" customHeight="1">
      <c r="A104" s="10"/>
      <c r="B104" s="135"/>
      <c r="E104" s="28"/>
      <c r="F104" s="28"/>
      <c r="G104" s="20"/>
      <c r="H104" s="10"/>
      <c r="N104" s="123"/>
      <c r="P104" s="123"/>
      <c r="Q104" s="132"/>
    </row>
    <row r="105" ht="15.75" customHeight="1">
      <c r="A105" s="27">
        <v>45202.0</v>
      </c>
      <c r="B105" s="135">
        <v>3.0</v>
      </c>
      <c r="C105" s="13">
        <v>44.0</v>
      </c>
      <c r="D105" s="13">
        <v>1.0</v>
      </c>
      <c r="E105" s="28">
        <v>0.3819444444444444</v>
      </c>
      <c r="F105" s="28">
        <v>0.425</v>
      </c>
      <c r="G105" s="86" t="s">
        <v>6626</v>
      </c>
      <c r="H105" s="10" t="s">
        <v>6627</v>
      </c>
      <c r="I105" s="13">
        <v>88.0</v>
      </c>
      <c r="J105" s="13">
        <v>41.0</v>
      </c>
      <c r="K105" s="13">
        <v>38.0</v>
      </c>
      <c r="L105" s="13">
        <v>5.0</v>
      </c>
      <c r="M105" s="13">
        <v>5.0</v>
      </c>
      <c r="N105" s="123">
        <v>1.0</v>
      </c>
      <c r="O105" s="13">
        <v>43.0</v>
      </c>
      <c r="P105" s="123">
        <v>34.0</v>
      </c>
      <c r="Q105" s="132"/>
    </row>
    <row r="106" ht="15.75" customHeight="1">
      <c r="A106" s="10"/>
      <c r="B106" s="135">
        <v>4.0</v>
      </c>
      <c r="C106" s="13">
        <v>44.0</v>
      </c>
      <c r="D106" s="13">
        <v>1.0</v>
      </c>
      <c r="E106" s="28">
        <v>0.42916666666666664</v>
      </c>
      <c r="F106" s="28">
        <v>0.4701388888888889</v>
      </c>
      <c r="G106" s="86" t="s">
        <v>6628</v>
      </c>
      <c r="H106" s="10" t="s">
        <v>6629</v>
      </c>
      <c r="I106" s="13">
        <v>99.0</v>
      </c>
      <c r="J106" s="13">
        <v>37.0</v>
      </c>
      <c r="K106" s="13">
        <v>41.0</v>
      </c>
      <c r="L106" s="13">
        <v>0.0</v>
      </c>
      <c r="M106" s="13">
        <v>9.0</v>
      </c>
      <c r="N106" s="123">
        <v>20.0</v>
      </c>
      <c r="O106" s="13">
        <v>31.0</v>
      </c>
      <c r="P106" s="123">
        <v>39.0</v>
      </c>
      <c r="Q106" s="132"/>
    </row>
    <row r="107" ht="15.75" customHeight="1">
      <c r="A107" s="10"/>
      <c r="B107" s="135">
        <v>3.0</v>
      </c>
      <c r="C107" s="13">
        <v>45.0</v>
      </c>
      <c r="D107" s="13">
        <v>2.0</v>
      </c>
      <c r="E107" s="28">
        <v>0.4736111111111111</v>
      </c>
      <c r="F107" s="28">
        <v>0.5333333333333333</v>
      </c>
      <c r="G107" s="86" t="s">
        <v>6630</v>
      </c>
      <c r="H107" s="10" t="s">
        <v>6631</v>
      </c>
      <c r="I107" s="13">
        <v>85.0</v>
      </c>
      <c r="J107" s="13">
        <v>42.0</v>
      </c>
      <c r="K107" s="13">
        <v>40.0</v>
      </c>
      <c r="L107" s="13">
        <v>1.0</v>
      </c>
      <c r="M107" s="13">
        <v>10.0</v>
      </c>
      <c r="N107" s="123">
        <v>1.0</v>
      </c>
      <c r="O107" s="13">
        <v>46.0</v>
      </c>
      <c r="P107" s="123">
        <v>28.0</v>
      </c>
      <c r="Q107" s="132"/>
    </row>
    <row r="108" ht="15.75" customHeight="1">
      <c r="A108" s="10"/>
      <c r="B108" s="135">
        <v>4.0</v>
      </c>
      <c r="C108" s="13">
        <v>45.0</v>
      </c>
      <c r="D108" s="13">
        <v>2.0</v>
      </c>
      <c r="E108" s="28">
        <v>0.5402777777777777</v>
      </c>
      <c r="F108" s="28">
        <v>0.08541666666666667</v>
      </c>
      <c r="G108" s="86" t="s">
        <v>6632</v>
      </c>
      <c r="H108" s="10" t="s">
        <v>6633</v>
      </c>
      <c r="I108" s="13">
        <v>92.0</v>
      </c>
      <c r="J108" s="13">
        <v>42.0</v>
      </c>
      <c r="K108" s="13">
        <v>40.0</v>
      </c>
      <c r="L108" s="13">
        <v>0.0</v>
      </c>
      <c r="M108" s="13">
        <v>10.0</v>
      </c>
      <c r="N108" s="123">
        <v>10.0</v>
      </c>
      <c r="O108" s="13">
        <v>30.0</v>
      </c>
      <c r="P108" s="123">
        <v>42.0</v>
      </c>
      <c r="Q108" s="132"/>
    </row>
    <row r="109" ht="15.75" customHeight="1">
      <c r="A109" s="10"/>
      <c r="B109" s="135">
        <v>3.0</v>
      </c>
      <c r="C109" s="13">
        <v>46.0</v>
      </c>
      <c r="D109" s="13">
        <v>3.0</v>
      </c>
      <c r="E109" s="28">
        <v>0.08958333333333333</v>
      </c>
      <c r="F109" s="28">
        <v>0.13194444444444445</v>
      </c>
      <c r="G109" s="86" t="s">
        <v>6634</v>
      </c>
      <c r="H109" s="10"/>
      <c r="I109" s="13">
        <v>82.0</v>
      </c>
      <c r="J109" s="13">
        <v>41.0</v>
      </c>
      <c r="K109" s="13">
        <v>39.0</v>
      </c>
      <c r="L109" s="13">
        <v>1.0</v>
      </c>
      <c r="M109" s="13">
        <v>7.0</v>
      </c>
      <c r="N109" s="123">
        <v>0.0</v>
      </c>
      <c r="O109" s="13">
        <v>37.0</v>
      </c>
      <c r="P109" s="123">
        <v>36.0</v>
      </c>
      <c r="Q109" s="132"/>
    </row>
    <row r="110" ht="15.75" customHeight="1">
      <c r="A110" s="10"/>
      <c r="B110" s="135">
        <v>4.0</v>
      </c>
      <c r="C110" s="13">
        <v>46.0</v>
      </c>
      <c r="D110" s="13">
        <v>3.0</v>
      </c>
      <c r="E110" s="28">
        <v>0.13819444444444445</v>
      </c>
      <c r="F110" s="28">
        <v>0.1840277777777778</v>
      </c>
      <c r="G110" s="86" t="s">
        <v>6635</v>
      </c>
      <c r="H110" s="10" t="s">
        <v>6636</v>
      </c>
      <c r="I110" s="13">
        <v>58.0</v>
      </c>
      <c r="J110" s="13">
        <v>29.0</v>
      </c>
      <c r="K110" s="13">
        <v>26.0</v>
      </c>
      <c r="L110" s="13">
        <v>0.0</v>
      </c>
      <c r="M110" s="13">
        <v>3.0</v>
      </c>
      <c r="N110" s="123">
        <v>3.0</v>
      </c>
      <c r="O110" s="13">
        <v>30.0</v>
      </c>
      <c r="P110" s="123">
        <v>23.0</v>
      </c>
      <c r="Q110" s="132"/>
    </row>
    <row r="111" ht="15.75" customHeight="1">
      <c r="A111" s="10"/>
      <c r="B111" s="135"/>
      <c r="E111" s="28"/>
      <c r="F111" s="28"/>
      <c r="G111" s="20"/>
      <c r="H111" s="10"/>
      <c r="N111" s="123"/>
      <c r="P111" s="123"/>
      <c r="Q111" s="132"/>
    </row>
    <row r="112" ht="15.75" customHeight="1">
      <c r="A112" s="27">
        <v>45203.0</v>
      </c>
      <c r="B112" s="135">
        <v>3.0</v>
      </c>
      <c r="C112" s="13">
        <v>47.0</v>
      </c>
      <c r="D112" s="13">
        <v>1.0</v>
      </c>
      <c r="E112" s="28">
        <v>0.3854166666666667</v>
      </c>
      <c r="F112" s="28">
        <v>0.42777777777777776</v>
      </c>
      <c r="G112" s="86" t="s">
        <v>6637</v>
      </c>
      <c r="H112" s="10" t="s">
        <v>6638</v>
      </c>
      <c r="I112" s="13">
        <v>86.0</v>
      </c>
      <c r="J112" s="13">
        <v>40.0</v>
      </c>
      <c r="K112" s="13">
        <v>43.0</v>
      </c>
      <c r="L112" s="13">
        <v>0.0</v>
      </c>
      <c r="M112" s="13">
        <v>10.0</v>
      </c>
      <c r="N112" s="123">
        <v>1.0</v>
      </c>
      <c r="O112" s="13">
        <v>36.0</v>
      </c>
      <c r="P112" s="123">
        <v>39.0</v>
      </c>
      <c r="Q112" s="132"/>
    </row>
    <row r="113" ht="15.75" customHeight="1">
      <c r="A113" s="10"/>
      <c r="B113" s="135">
        <v>4.0</v>
      </c>
      <c r="C113" s="13">
        <v>47.0</v>
      </c>
      <c r="D113" s="13">
        <v>1.0</v>
      </c>
      <c r="E113" s="28">
        <v>0.4326388888888889</v>
      </c>
      <c r="F113" s="28">
        <v>0.4951388888888889</v>
      </c>
      <c r="G113" s="86" t="s">
        <v>6639</v>
      </c>
      <c r="H113" s="10" t="s">
        <v>6640</v>
      </c>
      <c r="I113" s="13">
        <v>117.0</v>
      </c>
      <c r="J113" s="13">
        <v>41.0</v>
      </c>
      <c r="K113" s="13">
        <v>57.0</v>
      </c>
      <c r="L113" s="13">
        <v>0.0</v>
      </c>
      <c r="M113" s="13">
        <v>31.0</v>
      </c>
      <c r="N113" s="123">
        <v>18.0</v>
      </c>
      <c r="O113" s="13">
        <v>31.0</v>
      </c>
      <c r="P113" s="123">
        <v>39.0</v>
      </c>
      <c r="Q113" s="132"/>
    </row>
    <row r="114" ht="15.75" customHeight="1">
      <c r="A114" s="10"/>
      <c r="B114" s="135">
        <v>3.0</v>
      </c>
      <c r="C114" s="13">
        <v>48.0</v>
      </c>
      <c r="D114" s="13">
        <v>2.0</v>
      </c>
      <c r="E114" s="28">
        <v>0.5</v>
      </c>
      <c r="F114" s="28">
        <v>0.04861111111111111</v>
      </c>
      <c r="G114" s="86" t="s">
        <v>6641</v>
      </c>
      <c r="H114" s="10" t="s">
        <v>6642</v>
      </c>
      <c r="I114" s="13">
        <v>84.0</v>
      </c>
      <c r="J114" s="13">
        <v>36.0</v>
      </c>
      <c r="K114" s="13">
        <v>45.0</v>
      </c>
      <c r="L114" s="13">
        <v>1.0</v>
      </c>
      <c r="M114" s="13">
        <v>10.0</v>
      </c>
      <c r="N114" s="123">
        <v>2.0</v>
      </c>
      <c r="O114" s="13">
        <v>33.0</v>
      </c>
      <c r="P114" s="123">
        <v>38.0</v>
      </c>
      <c r="Q114" s="132"/>
    </row>
    <row r="115" ht="15.75" customHeight="1">
      <c r="A115" s="10"/>
      <c r="B115" s="135">
        <v>4.0</v>
      </c>
      <c r="C115" s="13">
        <v>48.0</v>
      </c>
      <c r="D115" s="13">
        <v>2.0</v>
      </c>
      <c r="E115" s="28">
        <v>0.05416666666666667</v>
      </c>
      <c r="F115" s="28">
        <v>0.10277777777777777</v>
      </c>
      <c r="G115" s="86" t="s">
        <v>6643</v>
      </c>
      <c r="H115" s="10"/>
      <c r="I115" s="13">
        <v>65.0</v>
      </c>
      <c r="J115" s="13">
        <v>25.0</v>
      </c>
      <c r="K115" s="13">
        <v>31.0</v>
      </c>
      <c r="L115" s="13">
        <v>1.0</v>
      </c>
      <c r="M115" s="13">
        <v>5.0</v>
      </c>
      <c r="N115" s="123">
        <v>8.0</v>
      </c>
      <c r="O115" s="13">
        <v>31.0</v>
      </c>
      <c r="P115" s="123">
        <v>20.0</v>
      </c>
      <c r="Q115" s="132"/>
    </row>
    <row r="116" ht="15.75" customHeight="1">
      <c r="A116" s="10"/>
      <c r="B116" s="135">
        <v>3.0</v>
      </c>
      <c r="C116" s="13">
        <v>49.0</v>
      </c>
      <c r="D116" s="13">
        <v>3.0</v>
      </c>
      <c r="E116" s="28">
        <v>0.1076388888888889</v>
      </c>
      <c r="F116" s="28">
        <v>0.1486111111111111</v>
      </c>
      <c r="G116" s="86" t="s">
        <v>6644</v>
      </c>
      <c r="H116" s="10" t="s">
        <v>6645</v>
      </c>
      <c r="I116" s="13">
        <v>74.0</v>
      </c>
      <c r="J116" s="13">
        <v>33.0</v>
      </c>
      <c r="K116" s="13">
        <v>39.0</v>
      </c>
      <c r="L116" s="13">
        <v>1.0</v>
      </c>
      <c r="M116" s="13">
        <v>15.0</v>
      </c>
      <c r="N116" s="123">
        <v>1.0</v>
      </c>
      <c r="O116" s="13">
        <v>17.0</v>
      </c>
      <c r="P116" s="123">
        <v>40.0</v>
      </c>
      <c r="Q116" s="132"/>
    </row>
    <row r="117" ht="15.75" customHeight="1">
      <c r="A117" s="10"/>
      <c r="B117" s="135">
        <v>4.0</v>
      </c>
      <c r="C117" s="13">
        <v>49.0</v>
      </c>
      <c r="D117" s="13">
        <v>3.0</v>
      </c>
      <c r="E117" s="28">
        <v>0.15347222222222223</v>
      </c>
      <c r="F117" s="28">
        <v>0.1763888888888889</v>
      </c>
      <c r="G117" s="86" t="s">
        <v>6646</v>
      </c>
      <c r="H117" s="10" t="s">
        <v>6647</v>
      </c>
      <c r="I117" s="13">
        <v>14.0</v>
      </c>
      <c r="J117" s="13">
        <v>6.0</v>
      </c>
      <c r="K117" s="13">
        <v>8.0</v>
      </c>
      <c r="L117" s="13">
        <v>0.0</v>
      </c>
      <c r="M117" s="13">
        <v>3.0</v>
      </c>
      <c r="N117" s="123">
        <v>0.0</v>
      </c>
      <c r="O117" s="13">
        <v>2.0</v>
      </c>
      <c r="P117" s="123">
        <v>9.0</v>
      </c>
      <c r="Q117" s="132"/>
    </row>
    <row r="118" ht="15.75" customHeight="1">
      <c r="A118" s="10"/>
      <c r="B118" s="135"/>
      <c r="E118" s="28"/>
      <c r="F118" s="28"/>
      <c r="G118" s="20"/>
      <c r="H118" s="10"/>
      <c r="N118" s="123"/>
      <c r="P118" s="123"/>
      <c r="Q118" s="132"/>
    </row>
    <row r="119" ht="15.75" customHeight="1">
      <c r="A119" s="27">
        <v>45204.0</v>
      </c>
      <c r="B119" s="135">
        <v>3.0</v>
      </c>
      <c r="C119" s="13">
        <v>50.0</v>
      </c>
      <c r="D119" s="13">
        <v>1.0</v>
      </c>
      <c r="E119" s="28">
        <v>0.3729166666666667</v>
      </c>
      <c r="F119" s="28">
        <v>0.41805555555555557</v>
      </c>
      <c r="G119" s="86" t="s">
        <v>6648</v>
      </c>
      <c r="H119" s="10"/>
      <c r="I119" s="13">
        <v>74.0</v>
      </c>
      <c r="J119" s="13">
        <v>23.0</v>
      </c>
      <c r="K119" s="13">
        <v>42.0</v>
      </c>
      <c r="L119" s="13">
        <v>1.0</v>
      </c>
      <c r="M119" s="13">
        <v>5.0</v>
      </c>
      <c r="N119" s="123">
        <v>8.0</v>
      </c>
      <c r="O119" s="13">
        <v>31.0</v>
      </c>
      <c r="P119" s="123">
        <v>28.0</v>
      </c>
      <c r="Q119" s="132"/>
    </row>
    <row r="120" ht="15.75" customHeight="1">
      <c r="A120" s="10"/>
      <c r="B120" s="135">
        <v>4.0</v>
      </c>
      <c r="C120" s="13">
        <v>50.0</v>
      </c>
      <c r="D120" s="13">
        <v>1.0</v>
      </c>
      <c r="E120" s="28">
        <v>0.4222222222222222</v>
      </c>
      <c r="F120" s="28">
        <v>0.46805555555555556</v>
      </c>
      <c r="G120" s="86" t="s">
        <v>6649</v>
      </c>
      <c r="H120" s="10" t="s">
        <v>6650</v>
      </c>
      <c r="I120" s="13">
        <v>92.0</v>
      </c>
      <c r="J120" s="13">
        <v>28.0</v>
      </c>
      <c r="K120" s="13">
        <v>26.0</v>
      </c>
      <c r="L120" s="13">
        <v>2.0</v>
      </c>
      <c r="M120" s="13">
        <v>4.0</v>
      </c>
      <c r="N120" s="123">
        <v>36.0</v>
      </c>
      <c r="O120" s="13">
        <v>18.0</v>
      </c>
      <c r="P120" s="123">
        <v>31.0</v>
      </c>
      <c r="Q120" s="132"/>
    </row>
    <row r="121" ht="15.75" customHeight="1">
      <c r="A121" s="10"/>
      <c r="B121" s="135">
        <v>3.0</v>
      </c>
      <c r="C121" s="13">
        <v>51.0</v>
      </c>
      <c r="D121" s="13">
        <v>2.0</v>
      </c>
      <c r="E121" s="28">
        <v>0.4708333333333333</v>
      </c>
      <c r="F121" s="28">
        <v>0.5125</v>
      </c>
      <c r="G121" s="86" t="s">
        <v>6651</v>
      </c>
      <c r="H121" s="10" t="s">
        <v>6652</v>
      </c>
      <c r="N121" s="123"/>
      <c r="P121" s="123"/>
      <c r="Q121" s="132"/>
    </row>
    <row r="122" ht="15.75" customHeight="1">
      <c r="A122" s="10"/>
      <c r="B122" s="135">
        <v>4.0</v>
      </c>
      <c r="C122" s="13">
        <v>51.0</v>
      </c>
      <c r="D122" s="13">
        <v>2.0</v>
      </c>
      <c r="E122" s="28">
        <v>0.5173611111111112</v>
      </c>
      <c r="F122" s="28">
        <v>0.0625</v>
      </c>
      <c r="G122" s="86" t="s">
        <v>6653</v>
      </c>
      <c r="H122" s="10" t="s">
        <v>6654</v>
      </c>
      <c r="I122" s="13">
        <v>81.0</v>
      </c>
      <c r="J122" s="13">
        <v>28.0</v>
      </c>
      <c r="K122" s="13">
        <v>24.0</v>
      </c>
      <c r="L122" s="13">
        <v>1.0</v>
      </c>
      <c r="M122" s="13">
        <v>0.0</v>
      </c>
      <c r="N122" s="123">
        <v>28.0</v>
      </c>
      <c r="O122" s="13">
        <v>30.0</v>
      </c>
      <c r="P122" s="123">
        <v>22.0</v>
      </c>
      <c r="Q122" s="132"/>
    </row>
    <row r="123" ht="15.75" customHeight="1">
      <c r="A123" s="10"/>
      <c r="B123" s="135">
        <v>3.0</v>
      </c>
      <c r="C123" s="13">
        <v>52.0</v>
      </c>
      <c r="D123" s="13">
        <v>3.0</v>
      </c>
      <c r="E123" s="28">
        <v>0.06666666666666667</v>
      </c>
      <c r="F123" s="28">
        <v>0.07083333333333333</v>
      </c>
      <c r="G123" s="86" t="s">
        <v>6655</v>
      </c>
      <c r="H123" s="10"/>
      <c r="I123" s="13">
        <v>55.0</v>
      </c>
      <c r="J123" s="13">
        <v>26.0</v>
      </c>
      <c r="K123" s="13">
        <v>28.0</v>
      </c>
      <c r="L123" s="13">
        <v>1.0</v>
      </c>
      <c r="M123" s="13">
        <v>5.0</v>
      </c>
      <c r="N123" s="123">
        <v>0.0</v>
      </c>
      <c r="O123" s="13">
        <v>21.0</v>
      </c>
      <c r="P123" s="123">
        <v>28.0</v>
      </c>
      <c r="Q123" s="132"/>
    </row>
    <row r="124" ht="15.75" customHeight="1">
      <c r="A124" s="10"/>
      <c r="B124" s="135">
        <v>4.0</v>
      </c>
      <c r="C124" s="13">
        <v>52.0</v>
      </c>
      <c r="D124" s="13">
        <v>3.0</v>
      </c>
      <c r="E124" s="28">
        <v>0.11944444444444445</v>
      </c>
      <c r="F124" s="28">
        <v>0.1597222222222222</v>
      </c>
      <c r="G124" s="86" t="s">
        <v>6656</v>
      </c>
      <c r="H124" s="10" t="s">
        <v>6657</v>
      </c>
      <c r="I124" s="13">
        <v>11.0</v>
      </c>
      <c r="J124" s="13">
        <v>4.0</v>
      </c>
      <c r="K124" s="13">
        <v>5.0</v>
      </c>
      <c r="L124" s="13">
        <v>1.0</v>
      </c>
      <c r="M124" s="13">
        <v>2.0</v>
      </c>
      <c r="N124" s="123">
        <v>1.0</v>
      </c>
      <c r="O124" s="13">
        <v>1.0</v>
      </c>
      <c r="P124" s="123">
        <v>6.0</v>
      </c>
      <c r="Q124" s="132"/>
    </row>
    <row r="125" ht="15.75" customHeight="1">
      <c r="A125" s="10"/>
      <c r="B125" s="135"/>
      <c r="E125" s="28"/>
      <c r="F125" s="28"/>
      <c r="H125" s="109" t="s">
        <v>6658</v>
      </c>
      <c r="N125" s="123"/>
      <c r="P125" s="123"/>
      <c r="Q125" s="132"/>
    </row>
    <row r="126" ht="15.75" customHeight="1">
      <c r="A126" s="27">
        <v>45205.0</v>
      </c>
      <c r="B126" s="135">
        <v>3.0</v>
      </c>
      <c r="C126" s="13">
        <v>53.0</v>
      </c>
      <c r="D126" s="13">
        <v>1.0</v>
      </c>
      <c r="E126" s="28">
        <v>0.4083333333333333</v>
      </c>
      <c r="F126" s="28">
        <v>0.45</v>
      </c>
      <c r="G126" s="86" t="s">
        <v>6659</v>
      </c>
      <c r="H126" s="10"/>
      <c r="I126" s="13">
        <v>87.0</v>
      </c>
      <c r="J126" s="13">
        <v>44.0</v>
      </c>
      <c r="K126" s="13">
        <v>40.0</v>
      </c>
      <c r="L126" s="13">
        <v>0.0</v>
      </c>
      <c r="M126" s="13">
        <v>12.0</v>
      </c>
      <c r="N126" s="123">
        <v>2.0</v>
      </c>
      <c r="O126" s="13">
        <v>31.0</v>
      </c>
      <c r="P126" s="123">
        <v>41.0</v>
      </c>
      <c r="Q126" s="132"/>
    </row>
    <row r="127" ht="15.75" customHeight="1">
      <c r="A127" s="10"/>
      <c r="B127" s="135">
        <v>4.0</v>
      </c>
      <c r="C127" s="13">
        <v>53.0</v>
      </c>
      <c r="D127" s="13">
        <v>1.0</v>
      </c>
      <c r="E127" s="28">
        <v>0.45416666666666666</v>
      </c>
      <c r="F127" s="28">
        <v>0.49722222222222223</v>
      </c>
      <c r="G127" s="86" t="s">
        <v>6660</v>
      </c>
      <c r="H127" s="10" t="s">
        <v>6661</v>
      </c>
      <c r="I127" s="13">
        <v>94.0</v>
      </c>
      <c r="J127" s="13">
        <v>27.0</v>
      </c>
      <c r="K127" s="13">
        <v>27.0</v>
      </c>
      <c r="L127" s="13">
        <v>0.0</v>
      </c>
      <c r="M127" s="13">
        <v>7.0</v>
      </c>
      <c r="N127" s="123">
        <v>39.0</v>
      </c>
      <c r="O127" s="13">
        <v>19.0</v>
      </c>
      <c r="P127" s="123">
        <v>28.0</v>
      </c>
      <c r="Q127" s="132"/>
    </row>
    <row r="128" ht="15.75" customHeight="1">
      <c r="A128" s="10"/>
      <c r="B128" s="135">
        <v>3.0</v>
      </c>
      <c r="C128" s="13">
        <v>54.0</v>
      </c>
      <c r="D128" s="13">
        <v>2.0</v>
      </c>
      <c r="E128" s="28">
        <v>0.5</v>
      </c>
      <c r="F128" s="28">
        <v>0.5402777777777777</v>
      </c>
      <c r="G128" s="86" t="s">
        <v>6662</v>
      </c>
      <c r="H128" s="10"/>
      <c r="I128" s="13">
        <v>80.0</v>
      </c>
      <c r="J128" s="13">
        <v>43.0</v>
      </c>
      <c r="K128" s="13">
        <v>37.0</v>
      </c>
      <c r="L128" s="13">
        <v>0.0</v>
      </c>
      <c r="M128" s="13">
        <v>8.0</v>
      </c>
      <c r="N128" s="123">
        <v>0.0</v>
      </c>
      <c r="O128" s="13">
        <v>39.0</v>
      </c>
      <c r="P128" s="123">
        <v>32.0</v>
      </c>
      <c r="Q128" s="132"/>
    </row>
    <row r="129" ht="15.75" customHeight="1">
      <c r="A129" s="10"/>
      <c r="B129" s="135">
        <v>4.0</v>
      </c>
      <c r="C129" s="13">
        <v>54.0</v>
      </c>
      <c r="D129" s="13">
        <v>2.0</v>
      </c>
      <c r="E129" s="28">
        <v>0.044444444444444446</v>
      </c>
      <c r="F129" s="28">
        <v>0.08333333333333333</v>
      </c>
      <c r="G129" s="86" t="s">
        <v>6663</v>
      </c>
      <c r="H129" s="10" t="s">
        <v>2730</v>
      </c>
      <c r="I129" s="13">
        <v>98.0</v>
      </c>
      <c r="J129" s="13">
        <v>50.0</v>
      </c>
      <c r="K129" s="13">
        <v>36.0</v>
      </c>
      <c r="L129" s="13">
        <v>1.0</v>
      </c>
      <c r="M129" s="13">
        <v>6.0</v>
      </c>
      <c r="N129" s="123">
        <v>11.0</v>
      </c>
      <c r="O129" s="13">
        <v>37.0</v>
      </c>
      <c r="P129" s="123">
        <v>42.0</v>
      </c>
      <c r="Q129" s="132"/>
    </row>
    <row r="130" ht="15.75" customHeight="1">
      <c r="A130" s="10"/>
      <c r="B130" s="135">
        <v>3.0</v>
      </c>
      <c r="C130" s="13">
        <v>55.0</v>
      </c>
      <c r="D130" s="13">
        <v>3.0</v>
      </c>
      <c r="E130" s="28">
        <v>0.08680555555555555</v>
      </c>
      <c r="F130" s="28">
        <v>0.13194444444444445</v>
      </c>
      <c r="G130" s="86" t="s">
        <v>6664</v>
      </c>
      <c r="H130" s="10" t="s">
        <v>6665</v>
      </c>
      <c r="I130" s="13">
        <v>82.0</v>
      </c>
      <c r="J130" s="13">
        <v>44.0</v>
      </c>
      <c r="K130" s="13">
        <v>34.0</v>
      </c>
      <c r="L130" s="13">
        <v>1.0</v>
      </c>
      <c r="M130" s="13">
        <v>5.0</v>
      </c>
      <c r="N130" s="123">
        <v>2.0</v>
      </c>
      <c r="O130" s="13">
        <v>44.0</v>
      </c>
      <c r="P130" s="123">
        <v>30.0</v>
      </c>
      <c r="Q130" s="132"/>
    </row>
    <row r="131" ht="15.75" customHeight="1">
      <c r="A131" s="10"/>
      <c r="B131" s="135">
        <v>4.0</v>
      </c>
      <c r="C131" s="13">
        <v>55.0</v>
      </c>
      <c r="D131" s="13">
        <v>3.0</v>
      </c>
      <c r="E131" s="28">
        <v>0.13680555555555557</v>
      </c>
      <c r="F131" s="28">
        <v>0.18125</v>
      </c>
      <c r="G131" s="86" t="s">
        <v>6666</v>
      </c>
      <c r="H131" s="10" t="s">
        <v>6667</v>
      </c>
      <c r="I131" s="13">
        <v>59.0</v>
      </c>
      <c r="J131" s="13">
        <v>26.0</v>
      </c>
      <c r="K131" s="13">
        <v>26.0</v>
      </c>
      <c r="L131" s="13">
        <v>0.0</v>
      </c>
      <c r="M131" s="13">
        <v>6.0</v>
      </c>
      <c r="N131" s="123">
        <v>1.0</v>
      </c>
      <c r="O131" s="13">
        <v>31.0</v>
      </c>
      <c r="P131" s="123">
        <v>16.0</v>
      </c>
      <c r="Q131" s="132"/>
    </row>
    <row r="132" ht="15.75" customHeight="1">
      <c r="A132" s="10"/>
      <c r="B132" s="135"/>
      <c r="E132" s="28"/>
      <c r="F132" s="28"/>
      <c r="G132" s="20"/>
      <c r="H132" s="10"/>
      <c r="N132" s="123"/>
      <c r="P132" s="123"/>
      <c r="Q132" s="132"/>
    </row>
    <row r="133" ht="15.75" customHeight="1">
      <c r="A133" s="27">
        <v>45208.0</v>
      </c>
      <c r="B133" s="135">
        <v>3.0</v>
      </c>
      <c r="C133" s="13">
        <v>56.0</v>
      </c>
      <c r="D133" s="13">
        <v>1.0</v>
      </c>
      <c r="E133" s="28">
        <v>0.38055555555555554</v>
      </c>
      <c r="F133" s="28">
        <v>0.41805555555555557</v>
      </c>
      <c r="G133" s="86" t="s">
        <v>6668</v>
      </c>
      <c r="H133" s="10" t="s">
        <v>6669</v>
      </c>
      <c r="I133" s="13">
        <v>82.0</v>
      </c>
      <c r="J133" s="13">
        <v>28.0</v>
      </c>
      <c r="K133" s="13">
        <v>22.0</v>
      </c>
      <c r="L133" s="13">
        <v>1.0</v>
      </c>
      <c r="M133" s="13">
        <v>6.0</v>
      </c>
      <c r="N133" s="123">
        <v>30.0</v>
      </c>
      <c r="O133" s="13">
        <v>29.0</v>
      </c>
      <c r="P133" s="123">
        <v>16.0</v>
      </c>
      <c r="Q133" s="132"/>
    </row>
    <row r="134" ht="15.75" customHeight="1">
      <c r="A134" s="10"/>
      <c r="B134" s="135">
        <v>4.0</v>
      </c>
      <c r="C134" s="13">
        <v>56.0</v>
      </c>
      <c r="D134" s="13">
        <v>1.0</v>
      </c>
      <c r="E134" s="28">
        <v>0.4236111111111111</v>
      </c>
      <c r="F134" s="28">
        <v>0.4652777777777778</v>
      </c>
      <c r="G134" s="86" t="s">
        <v>6670</v>
      </c>
      <c r="H134" s="10" t="s">
        <v>6671</v>
      </c>
      <c r="I134" s="13">
        <v>101.0</v>
      </c>
      <c r="J134" s="13">
        <v>35.0</v>
      </c>
      <c r="K134" s="13">
        <v>26.0</v>
      </c>
      <c r="L134" s="13">
        <v>3.0</v>
      </c>
      <c r="M134" s="13">
        <v>8.0</v>
      </c>
      <c r="N134" s="123">
        <v>36.0</v>
      </c>
      <c r="O134" s="13">
        <v>15.0</v>
      </c>
      <c r="P134" s="123">
        <v>38.0</v>
      </c>
      <c r="Q134" s="132"/>
    </row>
    <row r="135" ht="15.75" customHeight="1">
      <c r="A135" s="10"/>
      <c r="B135" s="135">
        <v>3.0</v>
      </c>
      <c r="C135" s="13">
        <v>57.0</v>
      </c>
      <c r="D135" s="13">
        <v>2.0</v>
      </c>
      <c r="E135" s="28">
        <v>0.46944444444444444</v>
      </c>
      <c r="F135" s="28">
        <v>0.5152777777777777</v>
      </c>
      <c r="G135" s="86" t="s">
        <v>6672</v>
      </c>
      <c r="H135" s="10" t="s">
        <v>6673</v>
      </c>
      <c r="I135" s="13">
        <v>100.0</v>
      </c>
      <c r="J135" s="13">
        <v>55.0</v>
      </c>
      <c r="K135" s="13">
        <v>39.0</v>
      </c>
      <c r="L135" s="13">
        <v>1.0</v>
      </c>
      <c r="M135" s="13">
        <v>9.0</v>
      </c>
      <c r="N135" s="123">
        <v>3.0</v>
      </c>
      <c r="O135" s="13">
        <v>45.0</v>
      </c>
      <c r="P135" s="123">
        <v>42.0</v>
      </c>
      <c r="Q135" s="132"/>
    </row>
    <row r="136" ht="15.75" customHeight="1">
      <c r="A136" s="10"/>
      <c r="B136" s="135">
        <v>4.0</v>
      </c>
      <c r="C136" s="13">
        <v>57.0</v>
      </c>
      <c r="D136" s="13">
        <v>2.0</v>
      </c>
      <c r="E136" s="28">
        <v>0.5215277777777778</v>
      </c>
      <c r="F136" s="28">
        <v>0.06319444444444444</v>
      </c>
      <c r="G136" s="86" t="s">
        <v>6674</v>
      </c>
      <c r="H136" s="10" t="s">
        <v>6675</v>
      </c>
      <c r="I136" s="13">
        <v>110.0</v>
      </c>
      <c r="J136" s="13">
        <v>36.0</v>
      </c>
      <c r="K136" s="13">
        <v>40.0</v>
      </c>
      <c r="L136" s="13">
        <v>1.0</v>
      </c>
      <c r="M136" s="13">
        <v>4.0</v>
      </c>
      <c r="N136" s="123">
        <v>33.0</v>
      </c>
      <c r="O136" s="13">
        <v>22.0</v>
      </c>
      <c r="P136" s="123">
        <v>50.0</v>
      </c>
      <c r="Q136" s="132"/>
    </row>
    <row r="137" ht="15.75" customHeight="1">
      <c r="A137" s="10"/>
      <c r="B137" s="135">
        <v>3.0</v>
      </c>
      <c r="C137" s="13">
        <v>58.0</v>
      </c>
      <c r="D137" s="13">
        <v>3.0</v>
      </c>
      <c r="E137" s="28">
        <v>0.06805555555555555</v>
      </c>
      <c r="F137" s="28">
        <v>0.10972222222222222</v>
      </c>
      <c r="G137" s="86" t="s">
        <v>6676</v>
      </c>
      <c r="H137" s="10" t="s">
        <v>6677</v>
      </c>
      <c r="I137" s="13">
        <v>72.0</v>
      </c>
      <c r="J137" s="13">
        <v>34.0</v>
      </c>
      <c r="K137" s="13">
        <v>35.0</v>
      </c>
      <c r="L137" s="13">
        <v>0.0</v>
      </c>
      <c r="M137" s="13">
        <v>12.0</v>
      </c>
      <c r="N137" s="123">
        <v>2.0</v>
      </c>
      <c r="O137" s="13">
        <v>17.0</v>
      </c>
      <c r="P137" s="123">
        <v>41.0</v>
      </c>
      <c r="Q137" s="132"/>
    </row>
    <row r="138" ht="15.75" customHeight="1">
      <c r="A138" s="10"/>
      <c r="B138" s="135">
        <v>4.0</v>
      </c>
      <c r="C138" s="13">
        <v>58.0</v>
      </c>
      <c r="D138" s="13">
        <v>3.0</v>
      </c>
      <c r="E138" s="28">
        <v>0.11458333333333333</v>
      </c>
      <c r="F138" s="28">
        <v>0.15902777777777777</v>
      </c>
      <c r="G138" s="86" t="s">
        <v>6678</v>
      </c>
      <c r="H138" s="10" t="s">
        <v>6679</v>
      </c>
      <c r="I138" s="13">
        <v>115.0</v>
      </c>
      <c r="J138" s="13">
        <v>52.0</v>
      </c>
      <c r="K138" s="13">
        <v>37.0</v>
      </c>
      <c r="L138" s="13">
        <v>1.0</v>
      </c>
      <c r="M138" s="13">
        <v>5.0</v>
      </c>
      <c r="N138" s="123">
        <v>25.0</v>
      </c>
      <c r="O138" s="13">
        <v>31.0</v>
      </c>
      <c r="P138" s="123">
        <v>52.0</v>
      </c>
      <c r="Q138" s="132"/>
    </row>
    <row r="139" ht="15.75" customHeight="1">
      <c r="A139" s="10"/>
      <c r="B139" s="135"/>
      <c r="E139" s="28"/>
      <c r="F139" s="28"/>
      <c r="G139" s="20"/>
      <c r="H139" s="10"/>
      <c r="N139" s="123"/>
      <c r="P139" s="123"/>
      <c r="Q139" s="132"/>
    </row>
    <row r="140" ht="15.75" customHeight="1">
      <c r="A140" s="136">
        <v>45209.0</v>
      </c>
      <c r="B140" s="135">
        <v>3.0</v>
      </c>
      <c r="C140" s="123">
        <v>59.0</v>
      </c>
      <c r="D140" s="123">
        <v>1.0</v>
      </c>
      <c r="E140" s="137">
        <v>0.37916666666666665</v>
      </c>
      <c r="F140" s="137">
        <v>0.41875</v>
      </c>
      <c r="G140" s="86" t="s">
        <v>6680</v>
      </c>
      <c r="H140" s="10" t="s">
        <v>6681</v>
      </c>
      <c r="I140" s="123">
        <v>82.0</v>
      </c>
      <c r="J140" s="123">
        <v>27.0</v>
      </c>
      <c r="K140" s="123">
        <v>29.0</v>
      </c>
      <c r="L140" s="123">
        <v>0.0</v>
      </c>
      <c r="M140" s="123">
        <v>14.0</v>
      </c>
      <c r="N140" s="123">
        <v>25.0</v>
      </c>
      <c r="O140" s="123">
        <v>5.0</v>
      </c>
      <c r="P140" s="123">
        <v>38.0</v>
      </c>
      <c r="Q140" s="125"/>
      <c r="R140" s="123"/>
      <c r="S140" s="123"/>
      <c r="T140" s="123"/>
      <c r="U140" s="123"/>
      <c r="V140" s="123"/>
      <c r="W140" s="123"/>
      <c r="X140" s="123"/>
      <c r="Y140" s="123"/>
      <c r="Z140" s="123"/>
      <c r="AA140" s="123"/>
    </row>
    <row r="141" ht="15.75" customHeight="1">
      <c r="A141" s="123"/>
      <c r="B141" s="135">
        <v>4.0</v>
      </c>
      <c r="C141" s="123">
        <v>59.0</v>
      </c>
      <c r="D141" s="123">
        <v>1.0</v>
      </c>
      <c r="E141" s="137">
        <v>0.4222222222222222</v>
      </c>
      <c r="F141" s="137">
        <v>0.4618055555555556</v>
      </c>
      <c r="G141" s="86" t="s">
        <v>6682</v>
      </c>
      <c r="H141" s="10" t="s">
        <v>6683</v>
      </c>
      <c r="I141" s="123">
        <v>93.0</v>
      </c>
      <c r="J141" s="123">
        <v>39.0</v>
      </c>
      <c r="K141" s="123">
        <v>32.0</v>
      </c>
      <c r="L141" s="123">
        <v>2.0</v>
      </c>
      <c r="M141" s="123">
        <v>6.0</v>
      </c>
      <c r="N141" s="123">
        <v>19.0</v>
      </c>
      <c r="O141" s="123">
        <v>30.0</v>
      </c>
      <c r="P141" s="123">
        <v>35.0</v>
      </c>
      <c r="Q141" s="125"/>
      <c r="R141" s="123"/>
      <c r="S141" s="123"/>
      <c r="T141" s="123"/>
      <c r="U141" s="123"/>
      <c r="V141" s="123"/>
      <c r="W141" s="123"/>
      <c r="X141" s="123"/>
      <c r="Y141" s="123"/>
      <c r="Z141" s="123"/>
      <c r="AA141" s="123"/>
    </row>
    <row r="142" ht="15.75" customHeight="1">
      <c r="A142" s="123"/>
      <c r="B142" s="135">
        <v>3.0</v>
      </c>
      <c r="C142" s="123">
        <v>60.0</v>
      </c>
      <c r="D142" s="123">
        <v>2.0</v>
      </c>
      <c r="E142" s="137">
        <v>0.46458333333333335</v>
      </c>
      <c r="F142" s="137">
        <v>0.5069444444444444</v>
      </c>
      <c r="G142" s="86" t="s">
        <v>6684</v>
      </c>
      <c r="H142" s="10" t="s">
        <v>6685</v>
      </c>
      <c r="I142" s="123">
        <v>82.0</v>
      </c>
      <c r="J142" s="123">
        <v>26.0</v>
      </c>
      <c r="K142" s="123">
        <v>19.0</v>
      </c>
      <c r="L142" s="123">
        <v>1.0</v>
      </c>
      <c r="M142" s="123">
        <v>3.0</v>
      </c>
      <c r="N142" s="123">
        <v>36.0</v>
      </c>
      <c r="O142" s="123">
        <v>18.0</v>
      </c>
      <c r="P142" s="123">
        <v>25.0</v>
      </c>
      <c r="Q142" s="125"/>
      <c r="R142" s="123"/>
      <c r="S142" s="123"/>
      <c r="T142" s="123"/>
      <c r="U142" s="123"/>
      <c r="V142" s="123"/>
      <c r="W142" s="123"/>
      <c r="X142" s="123"/>
      <c r="Y142" s="123"/>
      <c r="Z142" s="123"/>
      <c r="AA142" s="123"/>
    </row>
    <row r="143" ht="15.75" customHeight="1">
      <c r="A143" s="123"/>
      <c r="B143" s="135">
        <v>4.0</v>
      </c>
      <c r="C143" s="123">
        <v>60.0</v>
      </c>
      <c r="D143" s="123">
        <v>2.0</v>
      </c>
      <c r="E143" s="137">
        <v>0.5118055555555555</v>
      </c>
      <c r="F143" s="137">
        <v>0.050694444444444445</v>
      </c>
      <c r="G143" s="86" t="s">
        <v>6686</v>
      </c>
      <c r="H143" s="10" t="s">
        <v>6687</v>
      </c>
      <c r="I143" s="123">
        <v>96.0</v>
      </c>
      <c r="J143" s="123">
        <v>33.0</v>
      </c>
      <c r="K143" s="123">
        <v>39.0</v>
      </c>
      <c r="L143" s="123">
        <v>0.0</v>
      </c>
      <c r="M143" s="123">
        <v>3.0</v>
      </c>
      <c r="N143" s="123">
        <v>23.0</v>
      </c>
      <c r="O143" s="123">
        <v>45.0</v>
      </c>
      <c r="P143" s="123">
        <v>24.0</v>
      </c>
      <c r="Q143" s="125"/>
      <c r="R143" s="123"/>
      <c r="S143" s="123"/>
      <c r="T143" s="123"/>
      <c r="U143" s="123"/>
      <c r="V143" s="123"/>
      <c r="W143" s="123"/>
      <c r="X143" s="123"/>
      <c r="Y143" s="123"/>
      <c r="Z143" s="123"/>
      <c r="AA143" s="123"/>
    </row>
    <row r="144" ht="15.75" customHeight="1">
      <c r="A144" s="123"/>
      <c r="B144" s="135">
        <v>3.0</v>
      </c>
      <c r="C144" s="123">
        <v>61.0</v>
      </c>
      <c r="D144" s="123">
        <v>3.0</v>
      </c>
      <c r="E144" s="137">
        <v>0.05486111111111111</v>
      </c>
      <c r="F144" s="137">
        <v>0.10069444444444445</v>
      </c>
      <c r="G144" s="86" t="s">
        <v>6688</v>
      </c>
      <c r="H144" s="123" t="s">
        <v>6689</v>
      </c>
      <c r="I144" s="123">
        <v>85.0</v>
      </c>
      <c r="J144" s="123">
        <v>18.0</v>
      </c>
      <c r="K144" s="123">
        <v>20.0</v>
      </c>
      <c r="L144" s="123">
        <v>0.0</v>
      </c>
      <c r="M144" s="123">
        <v>4.0</v>
      </c>
      <c r="N144" s="123">
        <v>46.0</v>
      </c>
      <c r="O144" s="123">
        <v>2.0</v>
      </c>
      <c r="P144" s="123">
        <v>32.0</v>
      </c>
      <c r="Q144" s="125"/>
      <c r="R144" s="123"/>
      <c r="S144" s="123"/>
      <c r="T144" s="123"/>
      <c r="U144" s="123"/>
      <c r="V144" s="123"/>
      <c r="W144" s="123"/>
      <c r="X144" s="123"/>
      <c r="Y144" s="123"/>
      <c r="Z144" s="123"/>
      <c r="AA144" s="123"/>
    </row>
    <row r="145" ht="15.75" customHeight="1">
      <c r="A145" s="123"/>
      <c r="B145" s="135">
        <v>4.0</v>
      </c>
      <c r="C145" s="123">
        <v>61.0</v>
      </c>
      <c r="D145" s="123">
        <v>3.0</v>
      </c>
      <c r="E145" s="137">
        <v>0.10694444444444444</v>
      </c>
      <c r="F145" s="137">
        <v>0.14930555555555555</v>
      </c>
      <c r="G145" s="86" t="s">
        <v>6690</v>
      </c>
      <c r="H145" s="123" t="s">
        <v>6691</v>
      </c>
      <c r="I145" s="123">
        <v>90.0</v>
      </c>
      <c r="J145" s="123">
        <v>42.0</v>
      </c>
      <c r="K145" s="123">
        <v>37.0</v>
      </c>
      <c r="L145" s="123">
        <v>0.0</v>
      </c>
      <c r="M145" s="123">
        <v>7.0</v>
      </c>
      <c r="N145" s="123">
        <v>11.0</v>
      </c>
      <c r="O145" s="123">
        <v>40.0</v>
      </c>
      <c r="P145" s="123">
        <v>32.0</v>
      </c>
      <c r="Q145" s="125"/>
      <c r="R145" s="123"/>
      <c r="S145" s="123"/>
      <c r="T145" s="123"/>
      <c r="U145" s="123"/>
      <c r="V145" s="123"/>
      <c r="W145" s="123"/>
      <c r="X145" s="123"/>
      <c r="Y145" s="123"/>
      <c r="Z145" s="123"/>
      <c r="AA145" s="123"/>
    </row>
    <row r="146" ht="15.75" customHeight="1">
      <c r="A146" s="10"/>
      <c r="B146" s="135"/>
      <c r="E146" s="28"/>
      <c r="F146" s="28"/>
      <c r="G146" s="20"/>
      <c r="H146" s="10"/>
      <c r="N146" s="123"/>
      <c r="P146" s="123"/>
      <c r="Q146" s="132"/>
    </row>
    <row r="147" ht="15.75" customHeight="1">
      <c r="A147" s="27">
        <v>45210.0</v>
      </c>
      <c r="B147" s="135">
        <v>3.0</v>
      </c>
      <c r="C147" s="13">
        <v>62.0</v>
      </c>
      <c r="D147" s="13">
        <v>1.0</v>
      </c>
      <c r="E147" s="28">
        <v>0.39652777777777776</v>
      </c>
      <c r="F147" s="28">
        <v>0.4375</v>
      </c>
      <c r="G147" s="86" t="s">
        <v>6692</v>
      </c>
      <c r="H147" s="10" t="s">
        <v>6693</v>
      </c>
      <c r="I147" s="13">
        <v>81.0</v>
      </c>
      <c r="J147" s="13">
        <v>13.0</v>
      </c>
      <c r="K147" s="13">
        <v>17.0</v>
      </c>
      <c r="L147" s="13">
        <v>0.0</v>
      </c>
      <c r="M147" s="13">
        <v>3.0</v>
      </c>
      <c r="N147" s="123">
        <v>50.0</v>
      </c>
      <c r="O147" s="13">
        <v>5.0</v>
      </c>
      <c r="P147" s="123">
        <v>22.0</v>
      </c>
      <c r="Q147" s="132"/>
    </row>
    <row r="148" ht="15.75" customHeight="1">
      <c r="A148" s="10"/>
      <c r="B148" s="135">
        <v>4.0</v>
      </c>
      <c r="C148" s="13">
        <v>62.0</v>
      </c>
      <c r="D148" s="13">
        <v>1.0</v>
      </c>
      <c r="E148" s="28">
        <v>0.4409722222222222</v>
      </c>
      <c r="F148" s="28">
        <v>0.48125</v>
      </c>
      <c r="G148" s="86" t="s">
        <v>6694</v>
      </c>
      <c r="H148" s="10" t="s">
        <v>6695</v>
      </c>
      <c r="I148" s="13">
        <v>96.0</v>
      </c>
      <c r="J148" s="13">
        <v>40.0</v>
      </c>
      <c r="K148" s="13">
        <v>39.0</v>
      </c>
      <c r="L148" s="13">
        <v>2.0</v>
      </c>
      <c r="M148" s="13">
        <v>9.0</v>
      </c>
      <c r="N148" s="123">
        <v>14.0</v>
      </c>
      <c r="O148" s="13">
        <v>30.0</v>
      </c>
      <c r="P148" s="123">
        <v>40.0</v>
      </c>
      <c r="Q148" s="132"/>
    </row>
    <row r="149" ht="15.75" customHeight="1">
      <c r="A149" s="10"/>
      <c r="B149" s="135">
        <v>3.0</v>
      </c>
      <c r="C149" s="13">
        <v>63.0</v>
      </c>
      <c r="D149" s="13">
        <v>2.0</v>
      </c>
      <c r="E149" s="28">
        <v>0.4861111111111111</v>
      </c>
      <c r="F149" s="28">
        <v>0.5354166666666667</v>
      </c>
      <c r="G149" s="86" t="s">
        <v>6696</v>
      </c>
      <c r="H149" s="10" t="s">
        <v>6697</v>
      </c>
      <c r="I149" s="13">
        <v>94.0</v>
      </c>
      <c r="J149" s="13">
        <v>17.0</v>
      </c>
      <c r="K149" s="13">
        <v>15.0</v>
      </c>
      <c r="L149" s="13">
        <v>2.0</v>
      </c>
      <c r="M149" s="13">
        <v>3.0</v>
      </c>
      <c r="N149" s="123">
        <v>59.0</v>
      </c>
      <c r="O149" s="13">
        <v>15.0</v>
      </c>
      <c r="P149" s="123">
        <v>14.0</v>
      </c>
      <c r="Q149" s="132"/>
    </row>
    <row r="150" ht="15.75" customHeight="1">
      <c r="A150" s="10"/>
      <c r="B150" s="135">
        <v>4.0</v>
      </c>
      <c r="C150" s="13">
        <v>63.0</v>
      </c>
      <c r="D150" s="13">
        <v>2.0</v>
      </c>
      <c r="E150" s="28">
        <v>0.5381944444444444</v>
      </c>
      <c r="F150" s="28">
        <v>0.09027777777777778</v>
      </c>
      <c r="G150" s="86" t="s">
        <v>6698</v>
      </c>
      <c r="H150" s="10" t="s">
        <v>6699</v>
      </c>
      <c r="I150" s="13">
        <v>138.0</v>
      </c>
      <c r="J150" s="13">
        <v>53.0</v>
      </c>
      <c r="K150" s="13">
        <v>74.0</v>
      </c>
      <c r="L150" s="13">
        <v>1.0</v>
      </c>
      <c r="M150" s="13">
        <v>9.0</v>
      </c>
      <c r="N150" s="123">
        <v>9.0</v>
      </c>
      <c r="O150" s="13">
        <v>66.0</v>
      </c>
      <c r="P150" s="123">
        <v>52.0</v>
      </c>
      <c r="Q150" s="132"/>
    </row>
    <row r="151" ht="15.75" customHeight="1">
      <c r="A151" s="10"/>
      <c r="B151" s="135">
        <v>3.0</v>
      </c>
      <c r="C151" s="13">
        <v>64.0</v>
      </c>
      <c r="D151" s="13">
        <v>3.0</v>
      </c>
      <c r="E151" s="28">
        <v>0.09375</v>
      </c>
      <c r="F151" s="28">
        <v>0.14097222222222222</v>
      </c>
      <c r="G151" s="86" t="s">
        <v>6700</v>
      </c>
      <c r="H151" s="10" t="s">
        <v>6701</v>
      </c>
      <c r="I151" s="13">
        <v>91.0</v>
      </c>
      <c r="J151" s="13">
        <v>26.0</v>
      </c>
      <c r="K151" s="13">
        <v>23.0</v>
      </c>
      <c r="L151" s="13">
        <v>2.0</v>
      </c>
      <c r="M151" s="13">
        <v>2.0</v>
      </c>
      <c r="N151" s="123">
        <v>40.0</v>
      </c>
      <c r="O151" s="13">
        <v>15.0</v>
      </c>
      <c r="P151" s="123">
        <v>32.0</v>
      </c>
      <c r="Q151" s="132"/>
    </row>
    <row r="152" ht="15.75" customHeight="1">
      <c r="A152" s="10"/>
      <c r="B152" s="135">
        <v>4.0</v>
      </c>
      <c r="C152" s="13">
        <v>64.0</v>
      </c>
      <c r="D152" s="13">
        <v>3.0</v>
      </c>
      <c r="E152" s="28">
        <v>0.14444444444444443</v>
      </c>
      <c r="F152" s="28">
        <v>0.19375</v>
      </c>
      <c r="G152" s="86" t="s">
        <v>6702</v>
      </c>
      <c r="H152" s="10" t="s">
        <v>6703</v>
      </c>
      <c r="I152" s="13">
        <v>93.0</v>
      </c>
      <c r="J152" s="13">
        <v>40.0</v>
      </c>
      <c r="K152" s="13">
        <v>37.0</v>
      </c>
      <c r="L152" s="13">
        <v>4.0</v>
      </c>
      <c r="M152" s="13">
        <v>7.0</v>
      </c>
      <c r="N152" s="123">
        <v>11.0</v>
      </c>
      <c r="O152" s="13">
        <v>30.0</v>
      </c>
      <c r="P152" s="123">
        <v>40.0</v>
      </c>
      <c r="Q152" s="132"/>
    </row>
    <row r="153" ht="15.75" customHeight="1">
      <c r="A153" s="10"/>
      <c r="B153" s="135"/>
      <c r="E153" s="28"/>
      <c r="F153" s="28"/>
      <c r="G153" s="20"/>
      <c r="H153" s="10"/>
      <c r="N153" s="123"/>
      <c r="P153" s="123"/>
      <c r="Q153" s="132"/>
    </row>
    <row r="154" ht="15.75" customHeight="1">
      <c r="A154" s="27">
        <v>45211.0</v>
      </c>
      <c r="B154" s="135">
        <v>3.0</v>
      </c>
      <c r="C154" s="13">
        <v>65.0</v>
      </c>
      <c r="D154" s="13">
        <v>1.0</v>
      </c>
      <c r="E154" s="28">
        <v>0.3958333333333333</v>
      </c>
      <c r="F154" s="28">
        <v>0.43819444444444444</v>
      </c>
      <c r="G154" s="86" t="s">
        <v>6704</v>
      </c>
      <c r="H154" s="10" t="s">
        <v>6705</v>
      </c>
      <c r="I154" s="13">
        <v>81.0</v>
      </c>
      <c r="J154" s="13">
        <v>34.0</v>
      </c>
      <c r="K154" s="13">
        <v>30.0</v>
      </c>
      <c r="L154" s="13">
        <v>1.0</v>
      </c>
      <c r="M154" s="13">
        <v>13.0</v>
      </c>
      <c r="N154" s="123">
        <v>16.0</v>
      </c>
      <c r="O154" s="13">
        <v>24.0</v>
      </c>
      <c r="P154" s="123">
        <v>27.0</v>
      </c>
      <c r="Q154" s="132"/>
    </row>
    <row r="155" ht="15.75" customHeight="1">
      <c r="A155" s="10"/>
      <c r="B155" s="135">
        <v>4.0</v>
      </c>
      <c r="C155" s="13">
        <v>65.0</v>
      </c>
      <c r="D155" s="13">
        <v>1.0</v>
      </c>
      <c r="E155" s="28">
        <v>0.44166666666666665</v>
      </c>
      <c r="F155" s="28">
        <v>0.48125</v>
      </c>
      <c r="G155" s="86" t="s">
        <v>6706</v>
      </c>
      <c r="H155" s="10" t="s">
        <v>6693</v>
      </c>
      <c r="I155" s="13">
        <v>93.0</v>
      </c>
      <c r="J155" s="13">
        <v>42.0</v>
      </c>
      <c r="K155" s="13">
        <v>37.0</v>
      </c>
      <c r="L155" s="13">
        <v>6.0</v>
      </c>
      <c r="M155" s="13">
        <v>12.0</v>
      </c>
      <c r="N155" s="123">
        <v>8.0</v>
      </c>
      <c r="O155" s="13">
        <v>30.0</v>
      </c>
      <c r="P155" s="123">
        <v>36.0</v>
      </c>
      <c r="Q155" s="132"/>
    </row>
    <row r="156" ht="15.75" customHeight="1">
      <c r="A156" s="10"/>
      <c r="B156" s="135">
        <v>3.0</v>
      </c>
      <c r="C156" s="13">
        <v>66.0</v>
      </c>
      <c r="D156" s="13">
        <v>2.0</v>
      </c>
      <c r="E156" s="28">
        <v>0.4840277777777778</v>
      </c>
      <c r="F156" s="28">
        <v>0.5305555555555556</v>
      </c>
      <c r="G156" s="86" t="s">
        <v>6707</v>
      </c>
      <c r="H156" s="10" t="s">
        <v>6708</v>
      </c>
      <c r="I156" s="13">
        <v>85.0</v>
      </c>
      <c r="J156" s="13">
        <v>30.0</v>
      </c>
      <c r="K156" s="13">
        <v>37.0</v>
      </c>
      <c r="L156" s="13">
        <v>1.0</v>
      </c>
      <c r="M156" s="13">
        <v>7.0</v>
      </c>
      <c r="N156" s="123">
        <v>16.0</v>
      </c>
      <c r="O156" s="13">
        <v>33.0</v>
      </c>
      <c r="P156" s="123">
        <v>27.0</v>
      </c>
      <c r="Q156" s="132"/>
    </row>
    <row r="157" ht="15.75" customHeight="1">
      <c r="A157" s="10"/>
      <c r="B157" s="135">
        <v>4.0</v>
      </c>
      <c r="C157" s="13">
        <v>66.0</v>
      </c>
      <c r="D157" s="13">
        <v>2.0</v>
      </c>
      <c r="E157" s="28">
        <v>0.5354166666666667</v>
      </c>
      <c r="F157" s="28">
        <v>0.07708333333333334</v>
      </c>
      <c r="G157" s="86" t="s">
        <v>6709</v>
      </c>
      <c r="H157" s="10" t="s">
        <v>6710</v>
      </c>
      <c r="I157" s="13">
        <v>102.0</v>
      </c>
      <c r="J157" s="13">
        <v>42.0</v>
      </c>
      <c r="K157" s="13">
        <v>44.0</v>
      </c>
      <c r="L157" s="13">
        <v>1.0</v>
      </c>
      <c r="M157" s="13">
        <v>9.0</v>
      </c>
      <c r="N157" s="123">
        <v>15.0</v>
      </c>
      <c r="O157" s="13">
        <v>51.0</v>
      </c>
      <c r="P157" s="123">
        <v>26.0</v>
      </c>
      <c r="Q157" s="132"/>
    </row>
    <row r="158" ht="15.75" customHeight="1">
      <c r="A158" s="10"/>
      <c r="B158" s="135">
        <v>3.0</v>
      </c>
      <c r="C158" s="13">
        <v>67.0</v>
      </c>
      <c r="D158" s="13">
        <v>3.0</v>
      </c>
      <c r="E158" s="28">
        <v>0.08125</v>
      </c>
      <c r="F158" s="28">
        <v>0.12638888888888888</v>
      </c>
      <c r="G158" s="86" t="s">
        <v>6711</v>
      </c>
      <c r="H158" s="10" t="s">
        <v>6712</v>
      </c>
      <c r="I158" s="13">
        <v>88.0</v>
      </c>
      <c r="J158" s="13">
        <v>27.0</v>
      </c>
      <c r="K158" s="13">
        <v>35.0</v>
      </c>
      <c r="L158" s="13">
        <v>0.0</v>
      </c>
      <c r="M158" s="13">
        <v>7.0</v>
      </c>
      <c r="N158" s="123">
        <v>25.0</v>
      </c>
      <c r="O158" s="13">
        <v>1.0</v>
      </c>
      <c r="P158" s="123">
        <v>54.0</v>
      </c>
      <c r="Q158" s="132"/>
    </row>
    <row r="159" ht="15.75" customHeight="1">
      <c r="A159" s="10"/>
      <c r="B159" s="135">
        <v>4.0</v>
      </c>
      <c r="C159" s="13">
        <v>67.0</v>
      </c>
      <c r="D159" s="13">
        <v>3.0</v>
      </c>
      <c r="E159" s="28">
        <v>0.13194444444444445</v>
      </c>
      <c r="F159" s="28">
        <v>0.175</v>
      </c>
      <c r="G159" s="86" t="s">
        <v>6713</v>
      </c>
      <c r="H159" s="10" t="s">
        <v>6708</v>
      </c>
      <c r="I159" s="13">
        <v>21.0</v>
      </c>
      <c r="J159" s="13">
        <v>9.0</v>
      </c>
      <c r="K159" s="13">
        <v>10.0</v>
      </c>
      <c r="L159" s="13">
        <v>1.0</v>
      </c>
      <c r="M159" s="13">
        <v>5.0</v>
      </c>
      <c r="N159" s="123">
        <v>0.0</v>
      </c>
      <c r="O159" s="13">
        <v>1.0</v>
      </c>
      <c r="P159" s="123">
        <v>14.0</v>
      </c>
      <c r="Q159" s="132"/>
    </row>
    <row r="160" ht="15.75" customHeight="1">
      <c r="A160" s="10"/>
      <c r="B160" s="135"/>
      <c r="E160" s="28"/>
      <c r="F160" s="28"/>
      <c r="G160" s="20"/>
      <c r="H160" s="10"/>
      <c r="N160" s="123"/>
      <c r="P160" s="123"/>
      <c r="Q160" s="132"/>
    </row>
    <row r="161" ht="15.75" customHeight="1">
      <c r="A161" s="27">
        <v>45212.0</v>
      </c>
      <c r="B161" s="135">
        <v>3.0</v>
      </c>
      <c r="C161" s="13">
        <v>68.0</v>
      </c>
      <c r="D161" s="13">
        <v>1.0</v>
      </c>
      <c r="E161" s="28">
        <v>0.39652777777777776</v>
      </c>
      <c r="F161" s="28">
        <v>0.44513888888888886</v>
      </c>
      <c r="G161" s="86" t="s">
        <v>6714</v>
      </c>
      <c r="H161" s="10" t="s">
        <v>6715</v>
      </c>
      <c r="I161" s="13">
        <v>83.0</v>
      </c>
      <c r="J161" s="13">
        <v>32.0</v>
      </c>
      <c r="K161" s="13">
        <v>29.0</v>
      </c>
      <c r="L161" s="13">
        <v>0.0</v>
      </c>
      <c r="M161" s="13">
        <v>18.0</v>
      </c>
      <c r="N161" s="123">
        <v>21.0</v>
      </c>
      <c r="O161" s="13">
        <v>16.0</v>
      </c>
      <c r="P161" s="123">
        <v>27.0</v>
      </c>
      <c r="Q161" s="132"/>
    </row>
    <row r="162" ht="15.75" customHeight="1">
      <c r="A162" s="10"/>
      <c r="B162" s="135">
        <v>4.0</v>
      </c>
      <c r="C162" s="13">
        <v>68.0</v>
      </c>
      <c r="D162" s="13">
        <v>1.0</v>
      </c>
      <c r="E162" s="28">
        <v>0.4486111111111111</v>
      </c>
      <c r="F162" s="28">
        <v>0.4965277777777778</v>
      </c>
      <c r="G162" s="86" t="s">
        <v>6716</v>
      </c>
      <c r="H162" s="10" t="s">
        <v>6717</v>
      </c>
      <c r="I162" s="13">
        <v>110.0</v>
      </c>
      <c r="J162" s="13">
        <v>41.0</v>
      </c>
      <c r="K162" s="13">
        <v>27.0</v>
      </c>
      <c r="L162" s="13">
        <v>2.0</v>
      </c>
      <c r="M162" s="13">
        <v>3.0</v>
      </c>
      <c r="N162" s="123">
        <v>39.0</v>
      </c>
      <c r="O162" s="13">
        <v>35.0</v>
      </c>
      <c r="P162" s="123">
        <v>32.0</v>
      </c>
      <c r="Q162" s="132"/>
    </row>
    <row r="163" ht="15.75" customHeight="1">
      <c r="A163" s="10"/>
      <c r="B163" s="135">
        <v>3.0</v>
      </c>
      <c r="C163" s="13">
        <v>69.0</v>
      </c>
      <c r="D163" s="13">
        <v>2.0</v>
      </c>
      <c r="E163" s="28">
        <v>0.5013888888888889</v>
      </c>
      <c r="F163" s="28">
        <v>0.04236111111111111</v>
      </c>
      <c r="G163" s="86" t="s">
        <v>6718</v>
      </c>
      <c r="H163" s="10" t="s">
        <v>6719</v>
      </c>
      <c r="I163" s="13">
        <v>83.0</v>
      </c>
      <c r="J163" s="13">
        <v>28.0</v>
      </c>
      <c r="K163" s="13">
        <v>27.0</v>
      </c>
      <c r="L163" s="13">
        <v>1.0</v>
      </c>
      <c r="M163" s="13">
        <v>7.0</v>
      </c>
      <c r="N163" s="123">
        <v>26.0</v>
      </c>
      <c r="O163" s="13">
        <v>16.0</v>
      </c>
      <c r="P163" s="123">
        <v>32.0</v>
      </c>
      <c r="Q163" s="132"/>
    </row>
    <row r="164" ht="15.75" customHeight="1">
      <c r="A164" s="10"/>
      <c r="B164" s="135">
        <v>4.0</v>
      </c>
      <c r="C164" s="13">
        <v>69.0</v>
      </c>
      <c r="D164" s="13">
        <v>2.0</v>
      </c>
      <c r="E164" s="28">
        <v>0.04583333333333333</v>
      </c>
      <c r="F164" s="28">
        <v>0.08819444444444445</v>
      </c>
      <c r="G164" s="86" t="s">
        <v>6720</v>
      </c>
      <c r="H164" s="10" t="s">
        <v>6721</v>
      </c>
      <c r="I164" s="13">
        <v>81.0</v>
      </c>
      <c r="J164" s="13">
        <v>28.0</v>
      </c>
      <c r="K164" s="13">
        <v>24.0</v>
      </c>
      <c r="L164" s="13">
        <v>3.0</v>
      </c>
      <c r="M164" s="13">
        <v>3.0</v>
      </c>
      <c r="N164" s="123">
        <v>25.0</v>
      </c>
      <c r="O164" s="13">
        <v>29.0</v>
      </c>
      <c r="P164" s="123">
        <v>21.0</v>
      </c>
      <c r="Q164" s="132"/>
    </row>
    <row r="165" ht="15.75" customHeight="1">
      <c r="A165" s="10"/>
      <c r="B165" s="135">
        <v>3.0</v>
      </c>
      <c r="C165" s="13">
        <v>70.0</v>
      </c>
      <c r="D165" s="13">
        <v>3.0</v>
      </c>
      <c r="E165" s="28">
        <v>0.09166666666666666</v>
      </c>
      <c r="F165" s="28">
        <v>0.13055555555555556</v>
      </c>
      <c r="G165" s="86" t="s">
        <v>6722</v>
      </c>
      <c r="H165" s="10" t="s">
        <v>6723</v>
      </c>
      <c r="I165" s="13">
        <v>75.0</v>
      </c>
      <c r="J165" s="13">
        <v>32.0</v>
      </c>
      <c r="K165" s="13">
        <v>28.0</v>
      </c>
      <c r="L165" s="13">
        <v>2.0</v>
      </c>
      <c r="M165" s="13">
        <v>21.0</v>
      </c>
      <c r="N165" s="123">
        <v>3.0</v>
      </c>
      <c r="O165" s="13">
        <v>23.0</v>
      </c>
      <c r="P165" s="123">
        <v>26.0</v>
      </c>
      <c r="Q165" s="132"/>
    </row>
    <row r="166" ht="15.75" customHeight="1">
      <c r="A166" s="10"/>
      <c r="B166" s="135">
        <v>4.0</v>
      </c>
      <c r="C166" s="13">
        <v>70.0</v>
      </c>
      <c r="D166" s="13">
        <v>3.0</v>
      </c>
      <c r="E166" s="28">
        <v>0.13472222222222222</v>
      </c>
      <c r="F166" s="28">
        <v>0.17083333333333334</v>
      </c>
      <c r="G166" s="86" t="s">
        <v>6724</v>
      </c>
      <c r="H166" s="10" t="s">
        <v>6725</v>
      </c>
      <c r="I166" s="13">
        <v>44.0</v>
      </c>
      <c r="J166" s="13">
        <v>21.0</v>
      </c>
      <c r="K166" s="13">
        <v>22.0</v>
      </c>
      <c r="L166" s="13">
        <v>1.0</v>
      </c>
      <c r="M166" s="13">
        <v>7.0</v>
      </c>
      <c r="N166" s="123">
        <v>0.0</v>
      </c>
      <c r="O166" s="13">
        <v>18.0</v>
      </c>
      <c r="P166" s="123">
        <v>19.0</v>
      </c>
      <c r="Q166" s="132"/>
    </row>
    <row r="167" ht="15.75" customHeight="1">
      <c r="A167" s="10"/>
      <c r="B167" s="135"/>
      <c r="E167" s="28"/>
      <c r="F167" s="28"/>
      <c r="G167" s="20"/>
      <c r="H167" s="109" t="s">
        <v>6726</v>
      </c>
      <c r="N167" s="123"/>
      <c r="P167" s="123"/>
      <c r="Q167" s="132"/>
    </row>
    <row r="168" ht="15.75" customHeight="1">
      <c r="A168" s="10"/>
      <c r="B168" s="135"/>
      <c r="E168" s="28"/>
      <c r="F168" s="28"/>
      <c r="G168" s="20"/>
      <c r="H168" s="10"/>
      <c r="N168" s="123"/>
      <c r="P168" s="123"/>
      <c r="Q168" s="132"/>
    </row>
    <row r="169" ht="15.75" customHeight="1">
      <c r="A169" s="10"/>
      <c r="B169" s="135"/>
      <c r="E169" s="28"/>
      <c r="F169" s="28"/>
      <c r="G169" s="20"/>
      <c r="H169" s="10"/>
      <c r="N169" s="123"/>
      <c r="P169" s="123"/>
      <c r="Q169" s="132"/>
    </row>
    <row r="170" ht="15.75" customHeight="1">
      <c r="A170" s="10"/>
      <c r="B170" s="135"/>
      <c r="E170" s="28"/>
      <c r="F170" s="28"/>
      <c r="G170" s="20"/>
      <c r="H170" s="10"/>
      <c r="N170" s="123"/>
      <c r="P170" s="123"/>
      <c r="Q170" s="132"/>
    </row>
    <row r="171" ht="15.75" customHeight="1">
      <c r="A171" s="10"/>
      <c r="B171" s="135"/>
      <c r="C171" s="215"/>
      <c r="E171" s="28"/>
      <c r="F171" s="28"/>
      <c r="G171" s="130"/>
      <c r="H171" s="10"/>
      <c r="N171" s="131"/>
      <c r="P171" s="131"/>
      <c r="Q171" s="132"/>
    </row>
    <row r="172" ht="15.75" customHeight="1">
      <c r="A172" s="10"/>
      <c r="B172" s="135"/>
      <c r="G172" s="20"/>
      <c r="H172" s="10"/>
      <c r="N172" s="131"/>
      <c r="P172" s="131"/>
      <c r="Q172" s="132"/>
    </row>
    <row r="173" ht="15.75" customHeight="1">
      <c r="A173" s="27">
        <v>44241.0</v>
      </c>
      <c r="B173" s="135">
        <v>9.0</v>
      </c>
      <c r="C173" s="215">
        <v>5.0</v>
      </c>
      <c r="D173" s="13">
        <v>1.0</v>
      </c>
      <c r="E173" s="28">
        <v>0.4270833333333333</v>
      </c>
      <c r="F173" s="28">
        <v>0.4583333333333333</v>
      </c>
      <c r="G173" s="130" t="s">
        <v>6727</v>
      </c>
      <c r="H173" s="10"/>
      <c r="I173" s="13">
        <v>58.0</v>
      </c>
      <c r="J173" s="13">
        <v>25.0</v>
      </c>
      <c r="K173" s="13">
        <v>14.0</v>
      </c>
      <c r="L173" s="13">
        <v>17.0</v>
      </c>
      <c r="M173" s="13">
        <v>45.0</v>
      </c>
      <c r="N173" s="131"/>
      <c r="O173" s="13">
        <v>2.0</v>
      </c>
      <c r="P173" s="131"/>
      <c r="Q173" s="132"/>
    </row>
    <row r="174" ht="15.75" customHeight="1">
      <c r="A174" s="10"/>
      <c r="B174" s="135">
        <v>10.0</v>
      </c>
      <c r="C174" s="215">
        <v>5.0</v>
      </c>
      <c r="D174" s="13">
        <v>1.0</v>
      </c>
      <c r="E174" s="28">
        <v>0.46041666666666664</v>
      </c>
      <c r="F174" s="28">
        <v>0.4930555555555556</v>
      </c>
      <c r="G174" s="130" t="s">
        <v>6727</v>
      </c>
      <c r="H174" s="10"/>
      <c r="I174" s="13">
        <v>76.0</v>
      </c>
      <c r="J174" s="13">
        <v>29.0</v>
      </c>
      <c r="K174" s="13">
        <v>6.0</v>
      </c>
      <c r="L174" s="13">
        <v>39.0</v>
      </c>
      <c r="M174" s="13">
        <v>35.0</v>
      </c>
      <c r="N174" s="131">
        <v>1.0</v>
      </c>
      <c r="O174" s="13">
        <v>0.0</v>
      </c>
      <c r="P174" s="131"/>
      <c r="Q174" s="132"/>
    </row>
    <row r="175" ht="15.75" customHeight="1">
      <c r="A175" s="10"/>
      <c r="B175" s="135">
        <v>11.0</v>
      </c>
      <c r="C175" s="215">
        <v>5.0</v>
      </c>
      <c r="D175" s="13">
        <v>1.0</v>
      </c>
      <c r="E175" s="28">
        <v>0.49583333333333335</v>
      </c>
      <c r="F175" s="28">
        <v>0.5277777777777778</v>
      </c>
      <c r="G175" s="130" t="s">
        <v>6727</v>
      </c>
      <c r="H175" s="10"/>
      <c r="I175" s="13">
        <v>46.0</v>
      </c>
      <c r="J175" s="13">
        <v>24.0</v>
      </c>
      <c r="K175" s="13">
        <v>12.0</v>
      </c>
      <c r="L175" s="13">
        <v>10.0</v>
      </c>
      <c r="M175" s="13">
        <v>27.0</v>
      </c>
      <c r="N175" s="131"/>
      <c r="O175" s="13">
        <v>15.0</v>
      </c>
      <c r="P175" s="131"/>
      <c r="Q175" s="132"/>
    </row>
    <row r="176" ht="15.75" customHeight="1">
      <c r="A176" s="10"/>
      <c r="B176" s="135">
        <v>9.0</v>
      </c>
      <c r="C176" s="215">
        <v>6.0</v>
      </c>
      <c r="D176" s="13">
        <v>2.0</v>
      </c>
      <c r="E176" s="28">
        <v>0.06597222222222222</v>
      </c>
      <c r="F176" s="28">
        <v>0.1111111111111111</v>
      </c>
      <c r="G176" s="130" t="s">
        <v>6727</v>
      </c>
      <c r="H176" s="10" t="s">
        <v>6728</v>
      </c>
      <c r="I176" s="13">
        <v>75.0</v>
      </c>
      <c r="J176" s="13">
        <v>35.0</v>
      </c>
      <c r="K176" s="13">
        <v>25.0</v>
      </c>
      <c r="L176" s="13">
        <v>14.0</v>
      </c>
      <c r="M176" s="13">
        <v>63.0</v>
      </c>
      <c r="N176" s="131"/>
      <c r="O176" s="13">
        <v>1.0</v>
      </c>
      <c r="P176" s="131"/>
      <c r="Q176" s="132"/>
    </row>
    <row r="177" ht="15.75" customHeight="1">
      <c r="A177" s="10"/>
      <c r="B177" s="135">
        <v>10.0</v>
      </c>
      <c r="C177" s="215">
        <v>6.0</v>
      </c>
      <c r="D177" s="13">
        <v>2.0</v>
      </c>
      <c r="E177" s="28">
        <v>0.11458333333333333</v>
      </c>
      <c r="F177" s="28">
        <v>0.15833333333333333</v>
      </c>
      <c r="G177" s="130" t="s">
        <v>6727</v>
      </c>
      <c r="H177" s="10" t="s">
        <v>6728</v>
      </c>
      <c r="I177" s="13">
        <v>110.0</v>
      </c>
      <c r="J177" s="13">
        <v>51.0</v>
      </c>
      <c r="K177" s="13">
        <v>36.0</v>
      </c>
      <c r="L177" s="13">
        <v>22.0</v>
      </c>
      <c r="M177" s="13">
        <v>86.0</v>
      </c>
      <c r="N177" s="131"/>
      <c r="O177" s="13">
        <v>2.0</v>
      </c>
      <c r="P177" s="131"/>
      <c r="Q177" s="132"/>
    </row>
    <row r="178" ht="15.75" customHeight="1">
      <c r="A178" s="10"/>
      <c r="B178" s="135">
        <v>11.0</v>
      </c>
      <c r="C178" s="215">
        <v>6.0</v>
      </c>
      <c r="D178" s="13">
        <v>2.0</v>
      </c>
      <c r="E178" s="28">
        <v>0.1638888888888889</v>
      </c>
      <c r="F178" s="28">
        <v>0.20833333333333334</v>
      </c>
      <c r="G178" s="130" t="s">
        <v>6727</v>
      </c>
      <c r="H178" s="10" t="s">
        <v>6729</v>
      </c>
      <c r="I178" s="13">
        <v>70.0</v>
      </c>
      <c r="J178" s="13">
        <v>30.0</v>
      </c>
      <c r="K178" s="13">
        <v>33.0</v>
      </c>
      <c r="L178" s="13">
        <v>6.0</v>
      </c>
      <c r="M178" s="13">
        <v>27.0</v>
      </c>
      <c r="N178" s="131"/>
      <c r="O178" s="13">
        <v>47.0</v>
      </c>
      <c r="P178" s="131"/>
      <c r="Q178" s="132"/>
    </row>
    <row r="179" ht="15.75" customHeight="1">
      <c r="A179" s="10"/>
      <c r="B179" s="135"/>
      <c r="G179" s="10"/>
      <c r="H179" s="10"/>
      <c r="N179" s="131"/>
      <c r="P179" s="131"/>
      <c r="Q179" s="132"/>
    </row>
    <row r="180" ht="15.75" customHeight="1">
      <c r="A180" s="139">
        <v>44242.0</v>
      </c>
      <c r="B180" s="135">
        <v>9.0</v>
      </c>
      <c r="C180" s="215">
        <v>7.0</v>
      </c>
      <c r="D180" s="13">
        <v>1.0</v>
      </c>
      <c r="E180" s="28">
        <v>0.4083333333333333</v>
      </c>
      <c r="F180" s="28">
        <v>0.45069444444444445</v>
      </c>
      <c r="G180" s="130" t="s">
        <v>6727</v>
      </c>
      <c r="H180" s="10" t="s">
        <v>6730</v>
      </c>
      <c r="I180" s="13">
        <v>77.0</v>
      </c>
      <c r="J180" s="13">
        <v>43.0</v>
      </c>
      <c r="K180" s="13">
        <v>23.0</v>
      </c>
      <c r="L180" s="13">
        <v>10.0</v>
      </c>
      <c r="M180" s="13">
        <v>71.0</v>
      </c>
      <c r="N180" s="131"/>
      <c r="O180" s="13">
        <v>5.0</v>
      </c>
      <c r="P180" s="131"/>
      <c r="Q180" s="132"/>
    </row>
    <row r="181" ht="15.75" customHeight="1">
      <c r="A181" s="10" t="s">
        <v>6731</v>
      </c>
      <c r="B181" s="135">
        <v>10.0</v>
      </c>
      <c r="C181" s="215">
        <v>7.0</v>
      </c>
      <c r="D181" s="13">
        <v>1.0</v>
      </c>
      <c r="E181" s="28">
        <v>0.45416666666666666</v>
      </c>
      <c r="F181" s="28">
        <v>0.4965277777777778</v>
      </c>
      <c r="G181" s="130" t="s">
        <v>6732</v>
      </c>
      <c r="H181" s="10" t="s">
        <v>6733</v>
      </c>
      <c r="I181" s="13">
        <v>104.0</v>
      </c>
      <c r="J181" s="13">
        <v>51.0</v>
      </c>
      <c r="K181" s="13">
        <v>45.0</v>
      </c>
      <c r="L181" s="13">
        <v>8.0</v>
      </c>
      <c r="M181" s="13">
        <v>97.0</v>
      </c>
      <c r="N181" s="131"/>
      <c r="O181" s="13">
        <v>4.0</v>
      </c>
      <c r="P181" s="131"/>
      <c r="Q181" s="132"/>
    </row>
    <row r="182" ht="15.75" customHeight="1">
      <c r="A182" s="10"/>
      <c r="B182" s="135">
        <v>11.0</v>
      </c>
      <c r="C182" s="216">
        <v>1.0</v>
      </c>
      <c r="D182" s="13">
        <v>1.0</v>
      </c>
      <c r="E182" s="28">
        <v>0.5</v>
      </c>
      <c r="F182" s="28">
        <v>0.041666666666666664</v>
      </c>
      <c r="G182" s="155" t="s">
        <v>6734</v>
      </c>
      <c r="H182" s="10" t="s">
        <v>6735</v>
      </c>
      <c r="I182" s="13">
        <v>71.0</v>
      </c>
      <c r="J182" s="13">
        <v>24.0</v>
      </c>
      <c r="K182" s="13">
        <v>35.0</v>
      </c>
      <c r="L182" s="13">
        <v>12.0</v>
      </c>
      <c r="M182" s="13">
        <v>7.0</v>
      </c>
      <c r="N182" s="13">
        <v>0.0</v>
      </c>
      <c r="O182" s="13">
        <v>53.0</v>
      </c>
      <c r="P182" s="131"/>
      <c r="Q182" s="132">
        <f t="shared" ref="Q182:Q185" si="1">O182/I182</f>
        <v>0.7464788732</v>
      </c>
    </row>
    <row r="183" ht="15.75" customHeight="1">
      <c r="A183" s="10"/>
      <c r="B183" s="135">
        <v>9.0</v>
      </c>
      <c r="C183" s="215">
        <v>8.0</v>
      </c>
      <c r="D183" s="13">
        <v>2.0</v>
      </c>
      <c r="E183" s="28">
        <v>0.04861111111111111</v>
      </c>
      <c r="F183" s="28">
        <v>0.09027777777777778</v>
      </c>
      <c r="G183" s="130" t="s">
        <v>6732</v>
      </c>
      <c r="H183" s="10" t="s">
        <v>6736</v>
      </c>
      <c r="I183" s="13">
        <v>75.0</v>
      </c>
      <c r="J183" s="13">
        <v>36.0</v>
      </c>
      <c r="K183" s="13">
        <v>29.0</v>
      </c>
      <c r="L183" s="13">
        <v>8.0</v>
      </c>
      <c r="M183" s="13">
        <v>72.0</v>
      </c>
      <c r="N183" s="131"/>
      <c r="O183" s="13">
        <v>1.0</v>
      </c>
      <c r="P183" s="131"/>
      <c r="Q183" s="132">
        <f t="shared" si="1"/>
        <v>0.01333333333</v>
      </c>
    </row>
    <row r="184" ht="15.75" customHeight="1">
      <c r="A184" s="10"/>
      <c r="B184" s="135">
        <v>10.0</v>
      </c>
      <c r="C184" s="215">
        <v>8.0</v>
      </c>
      <c r="D184" s="13">
        <v>2.0</v>
      </c>
      <c r="E184" s="28">
        <v>0.09444444444444444</v>
      </c>
      <c r="F184" s="28">
        <v>0.13680555555555557</v>
      </c>
      <c r="G184" s="130" t="s">
        <v>6732</v>
      </c>
      <c r="H184" s="10" t="s">
        <v>6737</v>
      </c>
      <c r="I184" s="13">
        <v>96.0</v>
      </c>
      <c r="J184" s="13">
        <v>53.0</v>
      </c>
      <c r="K184" s="13">
        <v>20.0</v>
      </c>
      <c r="L184" s="13">
        <v>22.0</v>
      </c>
      <c r="M184" s="13">
        <v>61.0</v>
      </c>
      <c r="N184" s="131"/>
      <c r="O184" s="13">
        <v>24.0</v>
      </c>
      <c r="P184" s="131"/>
      <c r="Q184" s="132">
        <f t="shared" si="1"/>
        <v>0.25</v>
      </c>
    </row>
    <row r="185" ht="15.75" customHeight="1">
      <c r="A185" s="10"/>
      <c r="B185" s="135">
        <v>11.0</v>
      </c>
      <c r="C185" s="216">
        <v>2.0</v>
      </c>
      <c r="D185" s="13">
        <v>2.0</v>
      </c>
      <c r="E185" s="28">
        <v>0.14097222222222222</v>
      </c>
      <c r="F185" s="28">
        <v>0.18333333333333332</v>
      </c>
      <c r="G185" s="155" t="s">
        <v>6738</v>
      </c>
      <c r="H185" s="10" t="s">
        <v>6739</v>
      </c>
      <c r="I185" s="13">
        <v>61.0</v>
      </c>
      <c r="J185" s="13">
        <v>25.0</v>
      </c>
      <c r="K185" s="13">
        <v>32.0</v>
      </c>
      <c r="L185" s="13">
        <v>1.0</v>
      </c>
      <c r="M185" s="13">
        <v>14.0</v>
      </c>
      <c r="N185" s="13">
        <v>2.0</v>
      </c>
      <c r="O185" s="13">
        <v>51.0</v>
      </c>
      <c r="P185" s="131"/>
      <c r="Q185" s="132">
        <f t="shared" si="1"/>
        <v>0.8360655738</v>
      </c>
    </row>
    <row r="186" ht="15.75" customHeight="1">
      <c r="A186" s="10"/>
      <c r="B186" s="135"/>
      <c r="G186" s="10"/>
      <c r="H186" s="10"/>
      <c r="P186" s="131"/>
      <c r="Q186" s="132"/>
    </row>
    <row r="187" ht="15.75" customHeight="1">
      <c r="A187" s="139">
        <v>44243.0</v>
      </c>
      <c r="B187" s="135">
        <v>9.0</v>
      </c>
      <c r="C187" s="215">
        <v>9.0</v>
      </c>
      <c r="D187" s="13">
        <v>1.0</v>
      </c>
      <c r="E187" s="28">
        <v>0.4576388888888889</v>
      </c>
      <c r="F187" s="28">
        <v>0.5</v>
      </c>
      <c r="G187" s="130" t="s">
        <v>6732</v>
      </c>
      <c r="H187" s="10" t="s">
        <v>6740</v>
      </c>
      <c r="I187" s="13">
        <v>52.0</v>
      </c>
      <c r="J187" s="13">
        <v>30.0</v>
      </c>
      <c r="K187" s="13">
        <v>17.0</v>
      </c>
      <c r="L187" s="13">
        <v>3.0</v>
      </c>
      <c r="M187" s="13">
        <v>47.0</v>
      </c>
      <c r="N187" s="116"/>
      <c r="O187" s="13">
        <v>7.0</v>
      </c>
      <c r="P187" s="131"/>
      <c r="Q187" s="132">
        <f t="shared" ref="Q187:Q192" si="2">O187/I187</f>
        <v>0.1346153846</v>
      </c>
    </row>
    <row r="188" ht="15.75" customHeight="1">
      <c r="A188" s="10"/>
      <c r="B188" s="135">
        <v>10.0</v>
      </c>
      <c r="C188" s="215">
        <v>9.0</v>
      </c>
      <c r="D188" s="13">
        <v>1.0</v>
      </c>
      <c r="E188" s="28">
        <v>0.5041666666666667</v>
      </c>
      <c r="F188" s="28">
        <v>0.04861111111111111</v>
      </c>
      <c r="G188" s="130" t="s">
        <v>6732</v>
      </c>
      <c r="H188" s="10" t="s">
        <v>6741</v>
      </c>
      <c r="I188" s="13">
        <v>114.0</v>
      </c>
      <c r="J188" s="13">
        <v>57.0</v>
      </c>
      <c r="K188" s="13">
        <v>32.0</v>
      </c>
      <c r="L188" s="13">
        <v>24.0</v>
      </c>
      <c r="M188" s="13">
        <v>72.0</v>
      </c>
      <c r="N188" s="116"/>
      <c r="O188" s="13">
        <v>23.0</v>
      </c>
      <c r="P188" s="131"/>
      <c r="Q188" s="132">
        <f t="shared" si="2"/>
        <v>0.201754386</v>
      </c>
    </row>
    <row r="189" ht="15.75" customHeight="1">
      <c r="A189" s="10"/>
      <c r="B189" s="135">
        <v>11.0</v>
      </c>
      <c r="C189" s="216">
        <v>3.0</v>
      </c>
      <c r="D189" s="13">
        <v>1.0</v>
      </c>
      <c r="E189" s="28">
        <v>0.05416666666666667</v>
      </c>
      <c r="F189" s="28">
        <v>0.09722222222222222</v>
      </c>
      <c r="G189" s="155" t="s">
        <v>6742</v>
      </c>
      <c r="H189" s="10" t="s">
        <v>6743</v>
      </c>
      <c r="I189" s="13">
        <v>81.0</v>
      </c>
      <c r="J189" s="13">
        <v>38.0</v>
      </c>
      <c r="K189" s="13">
        <v>26.0</v>
      </c>
      <c r="L189" s="13">
        <v>5.0</v>
      </c>
      <c r="M189" s="13">
        <v>7.0</v>
      </c>
      <c r="N189" s="13">
        <v>12.0</v>
      </c>
      <c r="O189" s="13">
        <v>61.0</v>
      </c>
      <c r="P189" s="131"/>
      <c r="Q189" s="132">
        <f t="shared" si="2"/>
        <v>0.7530864198</v>
      </c>
    </row>
    <row r="190" ht="15.75" customHeight="1">
      <c r="A190" s="10"/>
      <c r="B190" s="135">
        <v>9.0</v>
      </c>
      <c r="C190" s="215">
        <v>10.0</v>
      </c>
      <c r="D190" s="13">
        <v>2.0</v>
      </c>
      <c r="E190" s="28">
        <v>0.14930555555555555</v>
      </c>
      <c r="F190" s="28">
        <v>0.19236111111111112</v>
      </c>
      <c r="G190" s="130" t="s">
        <v>6732</v>
      </c>
      <c r="H190" s="10" t="s">
        <v>6744</v>
      </c>
      <c r="I190" s="13">
        <v>111.0</v>
      </c>
      <c r="J190" s="13">
        <v>61.0</v>
      </c>
      <c r="K190" s="13">
        <v>42.0</v>
      </c>
      <c r="L190" s="13">
        <v>7.0</v>
      </c>
      <c r="M190" s="13">
        <v>60.0</v>
      </c>
      <c r="N190" s="116"/>
      <c r="O190" s="13">
        <v>51.0</v>
      </c>
      <c r="P190" s="131"/>
      <c r="Q190" s="132">
        <f t="shared" si="2"/>
        <v>0.4594594595</v>
      </c>
    </row>
    <row r="191" ht="15.75" customHeight="1">
      <c r="A191" s="10"/>
      <c r="B191" s="135">
        <v>10.0</v>
      </c>
      <c r="C191" s="215">
        <v>10.0</v>
      </c>
      <c r="D191" s="13">
        <v>2.0</v>
      </c>
      <c r="E191" s="28">
        <v>0.19652777777777777</v>
      </c>
      <c r="F191" s="28">
        <v>0.24027777777777778</v>
      </c>
      <c r="G191" s="130" t="s">
        <v>6732</v>
      </c>
      <c r="H191" s="10" t="s">
        <v>6745</v>
      </c>
      <c r="I191" s="13">
        <v>152.0</v>
      </c>
      <c r="J191" s="13">
        <v>77.0</v>
      </c>
      <c r="K191" s="13">
        <v>30.0</v>
      </c>
      <c r="L191" s="13">
        <v>44.0</v>
      </c>
      <c r="M191" s="13">
        <v>35.0</v>
      </c>
      <c r="N191" s="116"/>
      <c r="O191" s="13">
        <v>74.0</v>
      </c>
      <c r="P191" s="131"/>
      <c r="Q191" s="132">
        <f t="shared" si="2"/>
        <v>0.4868421053</v>
      </c>
    </row>
    <row r="192" ht="15.75" customHeight="1">
      <c r="A192" s="10"/>
      <c r="B192" s="135">
        <v>11.0</v>
      </c>
      <c r="C192" s="216">
        <v>4.0</v>
      </c>
      <c r="D192" s="13">
        <v>2.0</v>
      </c>
      <c r="E192" s="28">
        <v>0.24861111111111112</v>
      </c>
      <c r="F192" s="28">
        <v>0.29444444444444445</v>
      </c>
      <c r="G192" s="155" t="s">
        <v>6746</v>
      </c>
      <c r="H192" s="10" t="s">
        <v>6747</v>
      </c>
      <c r="I192" s="13">
        <v>88.0</v>
      </c>
      <c r="J192" s="13">
        <v>26.0</v>
      </c>
      <c r="K192" s="13">
        <v>28.0</v>
      </c>
      <c r="L192" s="13">
        <v>9.0</v>
      </c>
      <c r="M192" s="13">
        <v>7.0</v>
      </c>
      <c r="N192" s="13">
        <v>24.0</v>
      </c>
      <c r="O192" s="13">
        <v>48.0</v>
      </c>
      <c r="P192" s="131"/>
      <c r="Q192" s="132">
        <f t="shared" si="2"/>
        <v>0.5454545455</v>
      </c>
    </row>
    <row r="193" ht="15.75" customHeight="1">
      <c r="A193" s="10"/>
      <c r="B193" s="135"/>
      <c r="G193" s="10"/>
      <c r="H193" s="10"/>
      <c r="P193" s="131"/>
      <c r="Q193" s="132"/>
    </row>
    <row r="194" ht="15.75" customHeight="1">
      <c r="A194" s="139">
        <v>44244.0</v>
      </c>
      <c r="B194" s="135">
        <v>9.0</v>
      </c>
      <c r="C194" s="216">
        <v>1.0</v>
      </c>
      <c r="D194" s="13">
        <v>1.0</v>
      </c>
      <c r="E194" s="28">
        <v>0.41458333333333336</v>
      </c>
      <c r="F194" s="28">
        <v>0.45625</v>
      </c>
      <c r="G194" s="155" t="s">
        <v>6748</v>
      </c>
      <c r="H194" s="10" t="s">
        <v>6749</v>
      </c>
      <c r="I194" s="13">
        <v>110.0</v>
      </c>
      <c r="J194" s="13">
        <v>50.0</v>
      </c>
      <c r="K194" s="13">
        <v>23.0</v>
      </c>
      <c r="L194" s="13">
        <v>32.0</v>
      </c>
      <c r="M194" s="13">
        <v>24.0</v>
      </c>
      <c r="N194" s="13">
        <v>4.0</v>
      </c>
      <c r="O194" s="13">
        <v>52.0</v>
      </c>
      <c r="P194" s="131"/>
      <c r="Q194" s="132">
        <f t="shared" ref="Q194:Q200" si="3">O194/I194</f>
        <v>0.4727272727</v>
      </c>
    </row>
    <row r="195" ht="15.75" customHeight="1">
      <c r="A195" s="10" t="s">
        <v>6750</v>
      </c>
      <c r="B195" s="135">
        <v>10.0</v>
      </c>
      <c r="C195" s="216">
        <v>1.0</v>
      </c>
      <c r="D195" s="13">
        <v>1.0</v>
      </c>
      <c r="E195" s="28">
        <v>0.46319444444444446</v>
      </c>
      <c r="F195" s="28">
        <v>0.5048611111111111</v>
      </c>
      <c r="G195" s="155" t="s">
        <v>6751</v>
      </c>
      <c r="H195" s="10" t="s">
        <v>6752</v>
      </c>
      <c r="I195" s="13">
        <v>109.0</v>
      </c>
      <c r="J195" s="13">
        <v>50.0</v>
      </c>
      <c r="K195" s="13">
        <v>49.0</v>
      </c>
      <c r="L195" s="13">
        <v>5.0</v>
      </c>
      <c r="M195" s="13">
        <v>18.0</v>
      </c>
      <c r="N195" s="13">
        <v>5.0</v>
      </c>
      <c r="O195" s="13">
        <v>85.0</v>
      </c>
      <c r="P195" s="131"/>
      <c r="Q195" s="132">
        <f t="shared" si="3"/>
        <v>0.7798165138</v>
      </c>
    </row>
    <row r="196" ht="15.75" customHeight="1">
      <c r="A196" s="10"/>
      <c r="B196" s="135">
        <v>11.0</v>
      </c>
      <c r="C196" s="216">
        <v>5.0</v>
      </c>
      <c r="D196" s="13">
        <v>1.0</v>
      </c>
      <c r="E196" s="28">
        <v>0.5111111111111111</v>
      </c>
      <c r="F196" s="28">
        <v>0.05347222222222222</v>
      </c>
      <c r="G196" s="155" t="s">
        <v>6753</v>
      </c>
      <c r="H196" s="10" t="s">
        <v>6754</v>
      </c>
      <c r="I196" s="13">
        <v>73.0</v>
      </c>
      <c r="J196" s="13">
        <v>31.0</v>
      </c>
      <c r="K196" s="13">
        <v>30.0</v>
      </c>
      <c r="L196" s="13">
        <v>5.0</v>
      </c>
      <c r="M196" s="13">
        <v>12.0</v>
      </c>
      <c r="N196" s="13">
        <v>7.0</v>
      </c>
      <c r="O196" s="13">
        <v>52.0</v>
      </c>
      <c r="P196" s="131"/>
      <c r="Q196" s="132">
        <f t="shared" si="3"/>
        <v>0.7123287671</v>
      </c>
    </row>
    <row r="197" ht="15.75" customHeight="1">
      <c r="A197" s="10"/>
      <c r="B197" s="135">
        <v>9.0</v>
      </c>
      <c r="C197" s="216">
        <v>2.0</v>
      </c>
      <c r="D197" s="13">
        <v>2.0</v>
      </c>
      <c r="E197" s="28">
        <v>0.058333333333333334</v>
      </c>
      <c r="F197" s="28">
        <v>0.09583333333333334</v>
      </c>
      <c r="G197" s="155" t="s">
        <v>6755</v>
      </c>
      <c r="H197" s="10" t="s">
        <v>6756</v>
      </c>
      <c r="I197" s="13">
        <v>88.0</v>
      </c>
      <c r="J197" s="13">
        <v>13.0</v>
      </c>
      <c r="K197" s="13">
        <v>17.0</v>
      </c>
      <c r="L197" s="13">
        <v>16.0</v>
      </c>
      <c r="M197" s="13">
        <v>12.0</v>
      </c>
      <c r="N197" s="13">
        <v>41.0</v>
      </c>
      <c r="O197" s="13">
        <v>18.0</v>
      </c>
      <c r="P197" s="131"/>
      <c r="Q197" s="132">
        <f t="shared" si="3"/>
        <v>0.2045454545</v>
      </c>
    </row>
    <row r="198" ht="15.75" customHeight="1">
      <c r="A198" s="10"/>
      <c r="B198" s="135">
        <v>10.0</v>
      </c>
      <c r="C198" s="216">
        <v>2.0</v>
      </c>
      <c r="D198" s="13">
        <v>2.0</v>
      </c>
      <c r="E198" s="28">
        <v>0.1</v>
      </c>
      <c r="F198" s="28">
        <v>0.14305555555555555</v>
      </c>
      <c r="G198" s="155" t="s">
        <v>6757</v>
      </c>
      <c r="H198" s="10" t="s">
        <v>6758</v>
      </c>
      <c r="I198" s="13">
        <v>101.0</v>
      </c>
      <c r="J198" s="13">
        <v>38.0</v>
      </c>
      <c r="K198" s="13">
        <v>40.0</v>
      </c>
      <c r="L198" s="13">
        <v>5.0</v>
      </c>
      <c r="M198" s="13">
        <v>14.0</v>
      </c>
      <c r="N198" s="13">
        <v>18.0</v>
      </c>
      <c r="O198" s="13">
        <v>68.0</v>
      </c>
      <c r="P198" s="131"/>
      <c r="Q198" s="132">
        <f t="shared" si="3"/>
        <v>0.6732673267</v>
      </c>
    </row>
    <row r="199" ht="15.75" customHeight="1">
      <c r="A199" s="10"/>
      <c r="B199" s="135">
        <v>11.0</v>
      </c>
      <c r="C199" s="216">
        <v>6.0</v>
      </c>
      <c r="D199" s="13">
        <v>2.0</v>
      </c>
      <c r="E199" s="28">
        <v>0.15</v>
      </c>
      <c r="F199" s="28">
        <v>0.19166666666666668</v>
      </c>
      <c r="G199" s="155" t="s">
        <v>6759</v>
      </c>
      <c r="H199" s="10" t="s">
        <v>6760</v>
      </c>
      <c r="I199" s="13">
        <v>74.0</v>
      </c>
      <c r="J199" s="13">
        <v>27.0</v>
      </c>
      <c r="K199" s="13">
        <v>31.0</v>
      </c>
      <c r="L199" s="13">
        <v>1.0</v>
      </c>
      <c r="M199" s="13">
        <v>3.0</v>
      </c>
      <c r="N199" s="13">
        <v>14.0</v>
      </c>
      <c r="O199" s="13">
        <v>56.0</v>
      </c>
      <c r="P199" s="131"/>
      <c r="Q199" s="132">
        <f t="shared" si="3"/>
        <v>0.7567567568</v>
      </c>
    </row>
    <row r="200" ht="15.75" customHeight="1">
      <c r="A200" s="10"/>
      <c r="B200" s="135">
        <v>9.0</v>
      </c>
      <c r="C200" s="216">
        <v>3.0</v>
      </c>
      <c r="D200" s="13">
        <v>3.0</v>
      </c>
      <c r="E200" s="28">
        <v>0.1951388888888889</v>
      </c>
      <c r="F200" s="28">
        <v>0.23680555555555555</v>
      </c>
      <c r="G200" s="155" t="s">
        <v>6761</v>
      </c>
      <c r="H200" s="10" t="s">
        <v>6762</v>
      </c>
      <c r="I200" s="13">
        <v>118.0</v>
      </c>
      <c r="J200" s="13">
        <v>55.0</v>
      </c>
      <c r="K200" s="13">
        <v>20.0</v>
      </c>
      <c r="L200" s="13">
        <v>42.0</v>
      </c>
      <c r="M200" s="13">
        <v>13.0</v>
      </c>
      <c r="N200" s="13">
        <v>0.0</v>
      </c>
      <c r="O200" s="13">
        <v>66.0</v>
      </c>
      <c r="P200" s="131"/>
      <c r="Q200" s="132">
        <f t="shared" si="3"/>
        <v>0.5593220339</v>
      </c>
    </row>
    <row r="201" ht="15.75" customHeight="1">
      <c r="A201" s="10"/>
      <c r="B201" s="135"/>
      <c r="G201" s="10"/>
      <c r="H201" s="10"/>
      <c r="P201" s="131"/>
      <c r="Q201" s="132"/>
    </row>
    <row r="202" ht="15.75" customHeight="1">
      <c r="A202" s="24">
        <v>44245.0</v>
      </c>
      <c r="B202" s="135">
        <v>9.0</v>
      </c>
      <c r="C202" s="216">
        <v>4.0</v>
      </c>
      <c r="D202" s="13">
        <v>1.0</v>
      </c>
      <c r="E202" s="28">
        <v>0.43333333333333335</v>
      </c>
      <c r="F202" s="28">
        <v>0.47708333333333336</v>
      </c>
      <c r="G202" s="155" t="s">
        <v>6763</v>
      </c>
      <c r="H202" s="10" t="s">
        <v>6764</v>
      </c>
      <c r="I202" s="13">
        <v>120.0</v>
      </c>
      <c r="J202" s="13">
        <v>45.0</v>
      </c>
      <c r="K202" s="13">
        <v>60.0</v>
      </c>
      <c r="L202" s="13">
        <v>13.0</v>
      </c>
      <c r="M202" s="13">
        <v>11.0</v>
      </c>
      <c r="N202" s="13">
        <v>2.0</v>
      </c>
      <c r="O202" s="13">
        <v>99.0</v>
      </c>
      <c r="P202" s="131"/>
      <c r="Q202" s="132">
        <f t="shared" ref="Q202:Q207" si="4">O202/I202</f>
        <v>0.825</v>
      </c>
    </row>
    <row r="203" ht="15.75" customHeight="1">
      <c r="A203" s="10"/>
      <c r="B203" s="135">
        <v>10.0</v>
      </c>
      <c r="C203" s="216">
        <v>3.0</v>
      </c>
      <c r="D203" s="13">
        <v>1.0</v>
      </c>
      <c r="E203" s="28">
        <v>0.48125</v>
      </c>
      <c r="F203" s="28">
        <v>0.5243055555555556</v>
      </c>
      <c r="G203" s="155" t="s">
        <v>6765</v>
      </c>
      <c r="H203" s="10" t="s">
        <v>6766</v>
      </c>
      <c r="I203" s="13">
        <v>140.0</v>
      </c>
      <c r="J203" s="13">
        <v>32.0</v>
      </c>
      <c r="K203" s="13">
        <v>53.0</v>
      </c>
      <c r="L203" s="13">
        <v>6.0</v>
      </c>
      <c r="M203" s="13">
        <v>8.0</v>
      </c>
      <c r="N203" s="13">
        <v>48.0</v>
      </c>
      <c r="O203" s="13">
        <v>80.0</v>
      </c>
      <c r="P203" s="131"/>
      <c r="Q203" s="132">
        <f t="shared" si="4"/>
        <v>0.5714285714</v>
      </c>
    </row>
    <row r="204" ht="15.75" customHeight="1">
      <c r="A204" s="10"/>
      <c r="B204" s="135">
        <v>11.0</v>
      </c>
      <c r="C204" s="216">
        <v>7.0</v>
      </c>
      <c r="D204" s="13">
        <v>1.0</v>
      </c>
      <c r="E204" s="28">
        <v>0.5326388888888889</v>
      </c>
      <c r="F204" s="28">
        <v>0.0798611111111111</v>
      </c>
      <c r="G204" s="155" t="s">
        <v>6767</v>
      </c>
      <c r="H204" s="10" t="s">
        <v>6768</v>
      </c>
      <c r="I204" s="13">
        <v>89.0</v>
      </c>
      <c r="J204" s="13">
        <v>25.0</v>
      </c>
      <c r="K204" s="13">
        <v>38.0</v>
      </c>
      <c r="L204" s="13">
        <v>6.0</v>
      </c>
      <c r="M204" s="13">
        <v>5.0</v>
      </c>
      <c r="N204" s="13">
        <v>19.0</v>
      </c>
      <c r="O204" s="13">
        <v>58.0</v>
      </c>
      <c r="P204" s="131"/>
      <c r="Q204" s="132">
        <f t="shared" si="4"/>
        <v>0.6516853933</v>
      </c>
    </row>
    <row r="205" ht="15.75" customHeight="1">
      <c r="A205" s="10"/>
      <c r="B205" s="135">
        <v>9.0</v>
      </c>
      <c r="C205" s="216">
        <v>5.0</v>
      </c>
      <c r="D205" s="13">
        <v>2.0</v>
      </c>
      <c r="E205" s="28">
        <v>0.08402777777777778</v>
      </c>
      <c r="F205" s="28">
        <v>0.12777777777777777</v>
      </c>
      <c r="G205" s="155" t="s">
        <v>6769</v>
      </c>
      <c r="H205" s="10" t="s">
        <v>6770</v>
      </c>
      <c r="I205" s="13">
        <v>102.0</v>
      </c>
      <c r="J205" s="13">
        <v>7.0</v>
      </c>
      <c r="K205" s="13">
        <v>5.0</v>
      </c>
      <c r="L205" s="13">
        <v>9.0</v>
      </c>
      <c r="M205" s="13">
        <v>4.0</v>
      </c>
      <c r="N205" s="13">
        <v>80.0</v>
      </c>
      <c r="O205" s="13">
        <v>9.0</v>
      </c>
      <c r="P205" s="131"/>
      <c r="Q205" s="132">
        <f t="shared" si="4"/>
        <v>0.08823529412</v>
      </c>
    </row>
    <row r="206" ht="15.75" customHeight="1">
      <c r="A206" s="10"/>
      <c r="B206" s="135">
        <v>10.0</v>
      </c>
      <c r="C206" s="216">
        <v>4.0</v>
      </c>
      <c r="D206" s="13">
        <v>2.0</v>
      </c>
      <c r="E206" s="28">
        <v>0.13333333333333333</v>
      </c>
      <c r="F206" s="28">
        <v>0.17708333333333334</v>
      </c>
      <c r="G206" s="155" t="s">
        <v>6771</v>
      </c>
      <c r="H206" s="10" t="s">
        <v>6772</v>
      </c>
      <c r="I206" s="13">
        <v>134.0</v>
      </c>
      <c r="J206" s="13">
        <v>29.0</v>
      </c>
      <c r="K206" s="13">
        <v>52.0</v>
      </c>
      <c r="L206" s="13">
        <v>2.0</v>
      </c>
      <c r="M206" s="13">
        <v>2.0</v>
      </c>
      <c r="N206" s="13">
        <v>51.0</v>
      </c>
      <c r="O206" s="13">
        <v>80.0</v>
      </c>
      <c r="P206" s="131"/>
      <c r="Q206" s="132">
        <f t="shared" si="4"/>
        <v>0.5970149254</v>
      </c>
    </row>
    <row r="207" ht="15.75" customHeight="1">
      <c r="A207" s="10"/>
      <c r="B207" s="135">
        <v>11.0</v>
      </c>
      <c r="C207" s="216">
        <v>8.0</v>
      </c>
      <c r="D207" s="13">
        <v>2.0</v>
      </c>
      <c r="E207" s="28">
        <v>0.18819444444444444</v>
      </c>
      <c r="F207" s="28">
        <v>0.23125</v>
      </c>
      <c r="G207" s="155" t="s">
        <v>6773</v>
      </c>
      <c r="H207" s="10" t="s">
        <v>6774</v>
      </c>
      <c r="I207" s="13">
        <v>89.0</v>
      </c>
      <c r="J207" s="13">
        <v>30.0</v>
      </c>
      <c r="K207" s="13">
        <v>25.0</v>
      </c>
      <c r="L207" s="13">
        <v>2.0</v>
      </c>
      <c r="M207" s="13">
        <v>6.0</v>
      </c>
      <c r="N207" s="13">
        <v>31.0</v>
      </c>
      <c r="O207" s="13">
        <v>50.0</v>
      </c>
      <c r="P207" s="131"/>
      <c r="Q207" s="132">
        <f t="shared" si="4"/>
        <v>0.5617977528</v>
      </c>
    </row>
    <row r="208" ht="15.75" customHeight="1">
      <c r="A208" s="10"/>
      <c r="B208" s="135"/>
      <c r="G208" s="10"/>
      <c r="H208" s="10"/>
      <c r="P208" s="131"/>
      <c r="Q208" s="132"/>
    </row>
    <row r="209" ht="15.75" customHeight="1">
      <c r="A209" s="139">
        <v>44246.0</v>
      </c>
      <c r="B209" s="135">
        <v>9.0</v>
      </c>
      <c r="C209" s="217">
        <v>6.0</v>
      </c>
      <c r="D209" s="13">
        <v>1.0</v>
      </c>
      <c r="E209" s="28">
        <v>0.4131944444444444</v>
      </c>
      <c r="F209" s="28">
        <v>0.45625</v>
      </c>
      <c r="G209" s="155" t="s">
        <v>6775</v>
      </c>
      <c r="H209" s="10" t="s">
        <v>6776</v>
      </c>
      <c r="I209" s="13">
        <v>118.0</v>
      </c>
      <c r="J209" s="13">
        <v>31.0</v>
      </c>
      <c r="K209" s="13">
        <v>54.0</v>
      </c>
      <c r="L209" s="13">
        <v>7.0</v>
      </c>
      <c r="M209" s="13">
        <v>3.0</v>
      </c>
      <c r="N209" s="13">
        <v>25.0</v>
      </c>
      <c r="O209" s="13">
        <v>82.0</v>
      </c>
      <c r="P209" s="131"/>
      <c r="Q209" s="132">
        <f t="shared" ref="Q209:Q214" si="5">O209/I209</f>
        <v>0.6949152542</v>
      </c>
    </row>
    <row r="210" ht="15.75" customHeight="1">
      <c r="A210" s="10" t="s">
        <v>6731</v>
      </c>
      <c r="B210" s="135">
        <v>10.0</v>
      </c>
      <c r="C210" s="217">
        <v>5.0</v>
      </c>
      <c r="D210" s="13">
        <v>1.0</v>
      </c>
      <c r="E210" s="28">
        <v>0.4597222222222222</v>
      </c>
      <c r="F210" s="28">
        <v>0.5020833333333333</v>
      </c>
      <c r="G210" s="155" t="s">
        <v>6777</v>
      </c>
      <c r="H210" s="10" t="s">
        <v>6778</v>
      </c>
      <c r="I210" s="13">
        <v>128.0</v>
      </c>
      <c r="J210" s="13">
        <v>40.0</v>
      </c>
      <c r="K210" s="13">
        <v>59.0</v>
      </c>
      <c r="L210" s="13">
        <v>2.0</v>
      </c>
      <c r="M210" s="13">
        <v>3.0</v>
      </c>
      <c r="N210" s="13">
        <v>27.0</v>
      </c>
      <c r="O210" s="13">
        <v>97.0</v>
      </c>
      <c r="P210" s="131"/>
      <c r="Q210" s="132">
        <f t="shared" si="5"/>
        <v>0.7578125</v>
      </c>
    </row>
    <row r="211" ht="15.75" customHeight="1">
      <c r="A211" s="10"/>
      <c r="B211" s="135">
        <v>11.0</v>
      </c>
      <c r="C211" s="113">
        <v>1.0</v>
      </c>
      <c r="D211" s="13">
        <v>1.0</v>
      </c>
      <c r="E211" s="28">
        <v>0.5256944444444445</v>
      </c>
      <c r="F211" s="28">
        <v>0.06805555555555555</v>
      </c>
      <c r="G211" s="84" t="s">
        <v>6779</v>
      </c>
      <c r="H211" s="10" t="s">
        <v>6780</v>
      </c>
      <c r="I211" s="13">
        <v>77.0</v>
      </c>
      <c r="J211" s="13">
        <v>34.0</v>
      </c>
      <c r="K211" s="13">
        <v>31.0</v>
      </c>
      <c r="L211" s="13">
        <v>3.0</v>
      </c>
      <c r="M211" s="13">
        <v>29.0</v>
      </c>
      <c r="N211" s="13">
        <v>7.0</v>
      </c>
      <c r="O211" s="13">
        <v>10.0</v>
      </c>
      <c r="P211" s="123">
        <v>32.0</v>
      </c>
      <c r="Q211" s="132">
        <f t="shared" si="5"/>
        <v>0.1298701299</v>
      </c>
    </row>
    <row r="212" ht="15.75" customHeight="1">
      <c r="A212" s="10"/>
      <c r="B212" s="135">
        <v>9.0</v>
      </c>
      <c r="C212" s="217">
        <v>7.0</v>
      </c>
      <c r="D212" s="13">
        <v>2.0</v>
      </c>
      <c r="E212" s="28">
        <v>0.07361111111111111</v>
      </c>
      <c r="F212" s="28">
        <v>0.11597222222222223</v>
      </c>
      <c r="G212" s="155" t="s">
        <v>6781</v>
      </c>
      <c r="H212" s="10" t="s">
        <v>6782</v>
      </c>
      <c r="I212" s="13">
        <v>117.0</v>
      </c>
      <c r="J212" s="13">
        <v>25.0</v>
      </c>
      <c r="K212" s="13">
        <v>23.0</v>
      </c>
      <c r="L212" s="13">
        <v>7.0</v>
      </c>
      <c r="M212" s="13">
        <v>3.0</v>
      </c>
      <c r="N212" s="13">
        <v>62.0</v>
      </c>
      <c r="O212" s="13">
        <v>46.0</v>
      </c>
      <c r="P212" s="131"/>
      <c r="Q212" s="132">
        <f t="shared" si="5"/>
        <v>0.3931623932</v>
      </c>
    </row>
    <row r="213" ht="15.75" customHeight="1">
      <c r="A213" s="10"/>
      <c r="B213" s="135">
        <v>10.0</v>
      </c>
      <c r="C213" s="217">
        <v>6.0</v>
      </c>
      <c r="D213" s="13">
        <v>2.0</v>
      </c>
      <c r="E213" s="28">
        <v>0.125</v>
      </c>
      <c r="F213" s="28">
        <v>0.16666666666666666</v>
      </c>
      <c r="G213" s="155" t="s">
        <v>6783</v>
      </c>
      <c r="H213" s="10" t="s">
        <v>6784</v>
      </c>
      <c r="I213" s="13">
        <v>120.0</v>
      </c>
      <c r="J213" s="13">
        <v>30.0</v>
      </c>
      <c r="K213" s="13">
        <v>56.0</v>
      </c>
      <c r="L213" s="13">
        <v>3.0</v>
      </c>
      <c r="M213" s="13">
        <v>3.0</v>
      </c>
      <c r="N213" s="13">
        <v>29.0</v>
      </c>
      <c r="O213" s="13">
        <v>85.0</v>
      </c>
      <c r="P213" s="131"/>
      <c r="Q213" s="132">
        <f t="shared" si="5"/>
        <v>0.7083333333</v>
      </c>
    </row>
    <row r="214" ht="15.75" customHeight="1">
      <c r="A214" s="10"/>
      <c r="B214" s="135">
        <v>11.0</v>
      </c>
      <c r="C214" s="113">
        <v>2.0</v>
      </c>
      <c r="D214" s="13">
        <v>2.0</v>
      </c>
      <c r="E214" s="28">
        <v>0.17083333333333334</v>
      </c>
      <c r="F214" s="28">
        <v>0.21388888888888888</v>
      </c>
      <c r="G214" s="84" t="s">
        <v>6785</v>
      </c>
      <c r="H214" s="10" t="s">
        <v>6786</v>
      </c>
      <c r="I214" s="13">
        <v>88.0</v>
      </c>
      <c r="J214" s="13">
        <v>40.0</v>
      </c>
      <c r="K214" s="13">
        <v>41.0</v>
      </c>
      <c r="L214" s="13">
        <v>0.0</v>
      </c>
      <c r="M214" s="13">
        <v>15.0</v>
      </c>
      <c r="N214" s="13">
        <v>7.0</v>
      </c>
      <c r="O214" s="13">
        <v>32.0</v>
      </c>
      <c r="P214" s="13">
        <v>38.0</v>
      </c>
      <c r="Q214" s="132">
        <f t="shared" si="5"/>
        <v>0.3636363636</v>
      </c>
    </row>
    <row r="215" ht="15.75" customHeight="1">
      <c r="A215" s="10"/>
      <c r="B215" s="135"/>
      <c r="G215" s="10"/>
      <c r="H215" s="10"/>
      <c r="Q215" s="132"/>
    </row>
    <row r="216" ht="15.75" customHeight="1">
      <c r="A216" s="24">
        <v>44247.0</v>
      </c>
      <c r="B216" s="135">
        <v>9.0</v>
      </c>
      <c r="C216" s="217">
        <v>8.0</v>
      </c>
      <c r="D216" s="13">
        <v>1.0</v>
      </c>
      <c r="E216" s="28">
        <v>0.4583333333333333</v>
      </c>
      <c r="F216" s="28">
        <v>0.5</v>
      </c>
      <c r="G216" s="155" t="s">
        <v>6787</v>
      </c>
      <c r="H216" s="10" t="s">
        <v>6788</v>
      </c>
      <c r="I216" s="13">
        <v>126.0</v>
      </c>
      <c r="J216" s="13">
        <v>49.0</v>
      </c>
      <c r="K216" s="13">
        <v>45.0</v>
      </c>
      <c r="L216" s="13">
        <v>4.0</v>
      </c>
      <c r="M216" s="13">
        <v>4.0</v>
      </c>
      <c r="N216" s="13">
        <v>28.0</v>
      </c>
      <c r="O216" s="13">
        <v>90.0</v>
      </c>
      <c r="P216" s="131"/>
      <c r="Q216" s="132">
        <f t="shared" ref="Q216:Q235" si="6">O216/I216</f>
        <v>0.7142857143</v>
      </c>
    </row>
    <row r="217" ht="15.75" customHeight="1">
      <c r="A217" s="10"/>
      <c r="B217" s="135">
        <v>10.0</v>
      </c>
      <c r="C217" s="217">
        <v>7.0</v>
      </c>
      <c r="D217" s="13">
        <v>1.0</v>
      </c>
      <c r="E217" s="28">
        <v>0.5055555555555555</v>
      </c>
      <c r="F217" s="28">
        <v>0.04861111111111111</v>
      </c>
      <c r="G217" s="155" t="s">
        <v>6789</v>
      </c>
      <c r="H217" s="10" t="s">
        <v>6790</v>
      </c>
      <c r="I217" s="13">
        <v>127.0</v>
      </c>
      <c r="J217" s="13">
        <v>27.0</v>
      </c>
      <c r="K217" s="13">
        <v>53.0</v>
      </c>
      <c r="L217" s="13">
        <v>23.0</v>
      </c>
      <c r="M217" s="13">
        <v>3.0</v>
      </c>
      <c r="N217" s="13">
        <v>23.0</v>
      </c>
      <c r="O217" s="13">
        <v>79.0</v>
      </c>
      <c r="P217" s="131"/>
      <c r="Q217" s="132">
        <f t="shared" si="6"/>
        <v>0.6220472441</v>
      </c>
    </row>
    <row r="218" ht="15.75" customHeight="1">
      <c r="A218" s="10"/>
      <c r="B218" s="135">
        <v>11.0</v>
      </c>
      <c r="C218" s="113">
        <v>3.0</v>
      </c>
      <c r="D218" s="13">
        <v>1.0</v>
      </c>
      <c r="E218" s="28">
        <v>0.05277777777777778</v>
      </c>
      <c r="F218" s="28">
        <v>0.09652777777777778</v>
      </c>
      <c r="G218" s="84" t="s">
        <v>6791</v>
      </c>
      <c r="H218" s="10" t="s">
        <v>6792</v>
      </c>
      <c r="I218" s="13">
        <v>93.0</v>
      </c>
      <c r="J218" s="13">
        <v>35.0</v>
      </c>
      <c r="K218" s="13">
        <v>35.0</v>
      </c>
      <c r="L218" s="13">
        <v>6.0</v>
      </c>
      <c r="M218" s="13">
        <v>7.0</v>
      </c>
      <c r="N218" s="13">
        <v>16.0</v>
      </c>
      <c r="O218" s="13">
        <v>39.0</v>
      </c>
      <c r="P218" s="13">
        <v>25.0</v>
      </c>
      <c r="Q218" s="132">
        <f t="shared" si="6"/>
        <v>0.4193548387</v>
      </c>
    </row>
    <row r="219" ht="15.75" customHeight="1">
      <c r="A219" s="10"/>
      <c r="B219" s="135">
        <v>9.0</v>
      </c>
      <c r="C219" s="217">
        <v>9.0</v>
      </c>
      <c r="D219" s="13">
        <v>2.0</v>
      </c>
      <c r="E219" s="28">
        <v>0.10277777777777777</v>
      </c>
      <c r="F219" s="28">
        <v>0.14652777777777778</v>
      </c>
      <c r="G219" s="155" t="s">
        <v>6793</v>
      </c>
      <c r="H219" s="10" t="s">
        <v>6794</v>
      </c>
      <c r="I219" s="13">
        <v>120.0</v>
      </c>
      <c r="J219" s="13">
        <v>36.0</v>
      </c>
      <c r="K219" s="13">
        <v>47.0</v>
      </c>
      <c r="L219" s="13">
        <v>2.0</v>
      </c>
      <c r="M219" s="13">
        <v>6.0</v>
      </c>
      <c r="N219" s="13">
        <v>35.0</v>
      </c>
      <c r="O219" s="13">
        <v>80.0</v>
      </c>
      <c r="P219" s="131"/>
      <c r="Q219" s="132">
        <f t="shared" si="6"/>
        <v>0.6666666667</v>
      </c>
    </row>
    <row r="220" ht="15.75" customHeight="1">
      <c r="A220" s="10"/>
      <c r="B220" s="135">
        <v>10.0</v>
      </c>
      <c r="C220" s="217">
        <v>8.0</v>
      </c>
      <c r="D220" s="13">
        <v>2.0</v>
      </c>
      <c r="E220" s="28">
        <v>0.15416666666666667</v>
      </c>
      <c r="F220" s="28">
        <v>0.19652777777777777</v>
      </c>
      <c r="G220" s="155" t="s">
        <v>6795</v>
      </c>
      <c r="H220" s="10" t="s">
        <v>6796</v>
      </c>
      <c r="I220" s="13">
        <v>135.0</v>
      </c>
      <c r="J220" s="13">
        <v>39.0</v>
      </c>
      <c r="K220" s="13">
        <v>54.0</v>
      </c>
      <c r="L220" s="13">
        <v>6.0</v>
      </c>
      <c r="M220" s="13">
        <v>1.0</v>
      </c>
      <c r="N220" s="13">
        <v>36.0</v>
      </c>
      <c r="O220" s="13">
        <v>92.0</v>
      </c>
      <c r="P220" s="131"/>
      <c r="Q220" s="132">
        <f t="shared" si="6"/>
        <v>0.6814814815</v>
      </c>
    </row>
    <row r="221" ht="15.75" customHeight="1">
      <c r="A221" s="10"/>
      <c r="B221" s="135">
        <v>11.0</v>
      </c>
      <c r="C221" s="113">
        <v>4.0</v>
      </c>
      <c r="D221" s="13">
        <v>2.0</v>
      </c>
      <c r="E221" s="28">
        <v>0.20555555555555555</v>
      </c>
      <c r="F221" s="28">
        <v>0.24861111111111112</v>
      </c>
      <c r="G221" s="84" t="s">
        <v>6797</v>
      </c>
      <c r="H221" s="10" t="s">
        <v>6798</v>
      </c>
      <c r="I221" s="13">
        <v>100.0</v>
      </c>
      <c r="J221" s="13">
        <v>11.0</v>
      </c>
      <c r="K221" s="13">
        <v>39.0</v>
      </c>
      <c r="L221" s="13">
        <v>10.0</v>
      </c>
      <c r="M221" s="13">
        <v>6.0</v>
      </c>
      <c r="N221" s="13">
        <v>39.0</v>
      </c>
      <c r="O221" s="13">
        <v>14.0</v>
      </c>
      <c r="P221" s="13">
        <v>32.0</v>
      </c>
      <c r="Q221" s="132">
        <f t="shared" si="6"/>
        <v>0.14</v>
      </c>
    </row>
    <row r="222" ht="15.75" customHeight="1">
      <c r="A222" s="10"/>
      <c r="B222" s="135"/>
      <c r="G222" s="10"/>
      <c r="H222" s="10"/>
      <c r="Q222" s="132" t="str">
        <f t="shared" si="6"/>
        <v>#DIV/0!</v>
      </c>
    </row>
    <row r="223" ht="15.75" customHeight="1">
      <c r="A223" s="24">
        <v>44248.0</v>
      </c>
      <c r="B223" s="135">
        <v>9.0</v>
      </c>
      <c r="C223" s="216">
        <v>10.0</v>
      </c>
      <c r="D223" s="13">
        <v>1.0</v>
      </c>
      <c r="E223" s="28">
        <v>0.42430555555555555</v>
      </c>
      <c r="F223" s="28">
        <v>0.46597222222222223</v>
      </c>
      <c r="G223" s="155" t="s">
        <v>6799</v>
      </c>
      <c r="H223" s="10" t="s">
        <v>6800</v>
      </c>
      <c r="I223" s="13">
        <v>103.0</v>
      </c>
      <c r="J223" s="13">
        <v>27.0</v>
      </c>
      <c r="K223" s="13">
        <v>27.0</v>
      </c>
      <c r="L223" s="13">
        <v>5.0</v>
      </c>
      <c r="M223" s="13">
        <v>6.0</v>
      </c>
      <c r="N223" s="13">
        <v>42.0</v>
      </c>
      <c r="O223" s="13">
        <v>51.0</v>
      </c>
      <c r="P223" s="131"/>
      <c r="Q223" s="132">
        <f t="shared" si="6"/>
        <v>0.4951456311</v>
      </c>
    </row>
    <row r="224" ht="15.75" customHeight="1">
      <c r="A224" s="10"/>
      <c r="B224" s="135">
        <v>10.0</v>
      </c>
      <c r="C224" s="216">
        <v>9.0</v>
      </c>
      <c r="D224" s="13">
        <v>1.0</v>
      </c>
      <c r="E224" s="28">
        <v>0.47291666666666665</v>
      </c>
      <c r="F224" s="28">
        <v>0.5166666666666667</v>
      </c>
      <c r="G224" s="155" t="s">
        <v>6801</v>
      </c>
      <c r="H224" s="10" t="s">
        <v>6802</v>
      </c>
      <c r="I224" s="13">
        <v>122.0</v>
      </c>
      <c r="J224" s="13">
        <v>40.0</v>
      </c>
      <c r="K224" s="13">
        <v>56.0</v>
      </c>
      <c r="L224" s="13">
        <v>7.0</v>
      </c>
      <c r="M224" s="13">
        <v>2.0</v>
      </c>
      <c r="N224" s="13">
        <v>18.0</v>
      </c>
      <c r="O224" s="13">
        <v>94.0</v>
      </c>
      <c r="P224" s="131"/>
      <c r="Q224" s="132">
        <f t="shared" si="6"/>
        <v>0.7704918033</v>
      </c>
    </row>
    <row r="225" ht="15.75" customHeight="1">
      <c r="A225" s="10"/>
      <c r="B225" s="135">
        <v>11.0</v>
      </c>
      <c r="C225" s="218">
        <v>1.0</v>
      </c>
      <c r="D225" s="13">
        <v>1.0</v>
      </c>
      <c r="E225" s="28">
        <v>0.5243055555555556</v>
      </c>
      <c r="F225" s="28">
        <v>0.06597222222222222</v>
      </c>
      <c r="G225" s="86" t="s">
        <v>6803</v>
      </c>
      <c r="H225" s="10" t="s">
        <v>6804</v>
      </c>
      <c r="I225" s="13">
        <v>72.0</v>
      </c>
      <c r="J225" s="13">
        <v>16.0</v>
      </c>
      <c r="K225" s="13">
        <v>27.0</v>
      </c>
      <c r="L225" s="13">
        <v>9.0</v>
      </c>
      <c r="M225" s="13">
        <v>9.0</v>
      </c>
      <c r="N225" s="13">
        <v>19.0</v>
      </c>
      <c r="O225" s="13">
        <v>17.0</v>
      </c>
      <c r="P225" s="13">
        <v>17.0</v>
      </c>
      <c r="Q225" s="132">
        <f t="shared" si="6"/>
        <v>0.2361111111</v>
      </c>
    </row>
    <row r="226" ht="15.75" customHeight="1">
      <c r="A226" s="10"/>
      <c r="B226" s="135">
        <v>9.0</v>
      </c>
      <c r="C226" s="216">
        <v>11.0</v>
      </c>
      <c r="D226" s="13">
        <v>2.0</v>
      </c>
      <c r="E226" s="28">
        <v>0.07083333333333333</v>
      </c>
      <c r="F226" s="28">
        <v>0.11458333333333333</v>
      </c>
      <c r="G226" s="155" t="s">
        <v>6805</v>
      </c>
      <c r="H226" s="10" t="s">
        <v>6806</v>
      </c>
      <c r="I226" s="13">
        <v>115.0</v>
      </c>
      <c r="J226" s="13">
        <v>35.0</v>
      </c>
      <c r="K226" s="13">
        <v>28.0</v>
      </c>
      <c r="L226" s="13">
        <v>1.0</v>
      </c>
      <c r="M226" s="13">
        <v>1.0</v>
      </c>
      <c r="N226" s="13">
        <v>51.0</v>
      </c>
      <c r="O226" s="13">
        <v>62.0</v>
      </c>
      <c r="P226" s="131"/>
      <c r="Q226" s="132">
        <f t="shared" si="6"/>
        <v>0.5391304348</v>
      </c>
    </row>
    <row r="227" ht="15.75" customHeight="1">
      <c r="A227" s="10"/>
      <c r="B227" s="135">
        <v>10.0</v>
      </c>
      <c r="C227" s="113">
        <v>1.0</v>
      </c>
      <c r="D227" s="13">
        <v>2.0</v>
      </c>
      <c r="E227" s="28">
        <v>0.11944444444444445</v>
      </c>
      <c r="F227" s="28">
        <v>0.16111111111111112</v>
      </c>
      <c r="G227" s="84" t="s">
        <v>6807</v>
      </c>
      <c r="H227" s="10" t="s">
        <v>6808</v>
      </c>
      <c r="I227" s="13">
        <v>86.0</v>
      </c>
      <c r="J227" s="13">
        <v>22.0</v>
      </c>
      <c r="K227" s="13">
        <v>32.0</v>
      </c>
      <c r="L227" s="13">
        <v>4.0</v>
      </c>
      <c r="M227" s="13">
        <v>14.0</v>
      </c>
      <c r="N227" s="13">
        <v>27.0</v>
      </c>
      <c r="O227" s="13">
        <v>16.0</v>
      </c>
      <c r="P227" s="13">
        <v>25.0</v>
      </c>
      <c r="Q227" s="132">
        <f t="shared" si="6"/>
        <v>0.1860465116</v>
      </c>
    </row>
    <row r="228" ht="15.75" customHeight="1">
      <c r="A228" s="10"/>
      <c r="B228" s="135">
        <v>11.0</v>
      </c>
      <c r="C228" s="218">
        <v>2.0</v>
      </c>
      <c r="D228" s="13">
        <v>2.0</v>
      </c>
      <c r="E228" s="28">
        <v>0.16597222222222222</v>
      </c>
      <c r="F228" s="13">
        <v>5.0</v>
      </c>
      <c r="G228" s="86" t="s">
        <v>6809</v>
      </c>
      <c r="H228" s="10" t="s">
        <v>6810</v>
      </c>
      <c r="I228" s="13">
        <v>84.0</v>
      </c>
      <c r="J228" s="13">
        <v>19.0</v>
      </c>
      <c r="K228" s="13">
        <v>24.0</v>
      </c>
      <c r="L228" s="13">
        <v>8.0</v>
      </c>
      <c r="M228" s="13">
        <v>6.0</v>
      </c>
      <c r="N228" s="13">
        <v>32.0</v>
      </c>
      <c r="O228" s="13">
        <v>17.0</v>
      </c>
      <c r="P228" s="13">
        <v>21.0</v>
      </c>
      <c r="Q228" s="132">
        <f t="shared" si="6"/>
        <v>0.2023809524</v>
      </c>
    </row>
    <row r="229" ht="15.75" customHeight="1">
      <c r="A229" s="10"/>
      <c r="B229" s="135"/>
      <c r="G229" s="10"/>
      <c r="H229" s="10"/>
      <c r="Q229" s="132" t="str">
        <f t="shared" si="6"/>
        <v>#DIV/0!</v>
      </c>
    </row>
    <row r="230" ht="15.75" customHeight="1">
      <c r="A230" s="139">
        <v>44249.0</v>
      </c>
      <c r="B230" s="135">
        <v>9.0</v>
      </c>
      <c r="C230" s="216">
        <v>12.0</v>
      </c>
      <c r="D230" s="13">
        <v>1.0</v>
      </c>
      <c r="E230" s="28">
        <v>0.4201388888888889</v>
      </c>
      <c r="F230" s="28">
        <v>0.4618055555555556</v>
      </c>
      <c r="G230" s="155" t="s">
        <v>6811</v>
      </c>
      <c r="H230" s="10" t="s">
        <v>6812</v>
      </c>
      <c r="I230" s="13">
        <v>98.0</v>
      </c>
      <c r="J230" s="13">
        <v>26.0</v>
      </c>
      <c r="K230" s="13">
        <v>32.0</v>
      </c>
      <c r="L230" s="13">
        <v>3.0</v>
      </c>
      <c r="M230" s="13">
        <v>2.0</v>
      </c>
      <c r="N230" s="13">
        <v>36.0</v>
      </c>
      <c r="O230" s="13">
        <v>57.0</v>
      </c>
      <c r="P230" s="131"/>
      <c r="Q230" s="132">
        <f t="shared" si="6"/>
        <v>0.5816326531</v>
      </c>
    </row>
    <row r="231" ht="15.75" customHeight="1">
      <c r="A231" s="10"/>
      <c r="B231" s="135">
        <v>10.0</v>
      </c>
      <c r="C231" s="113">
        <v>2.0</v>
      </c>
      <c r="D231" s="13">
        <v>1.0</v>
      </c>
      <c r="E231" s="28">
        <v>0.4673611111111111</v>
      </c>
      <c r="F231" s="28">
        <v>0.5090277777777777</v>
      </c>
      <c r="G231" s="84" t="s">
        <v>6813</v>
      </c>
      <c r="H231" s="10" t="s">
        <v>6814</v>
      </c>
      <c r="I231" s="13">
        <v>93.0</v>
      </c>
      <c r="J231" s="13">
        <v>26.0</v>
      </c>
      <c r="K231" s="13">
        <v>28.0</v>
      </c>
      <c r="L231" s="13">
        <v>5.0</v>
      </c>
      <c r="M231" s="13">
        <v>13.0</v>
      </c>
      <c r="N231" s="13">
        <v>33.0</v>
      </c>
      <c r="O231" s="13">
        <v>13.0</v>
      </c>
      <c r="P231" s="13">
        <v>28.0</v>
      </c>
      <c r="Q231" s="132">
        <f t="shared" si="6"/>
        <v>0.1397849462</v>
      </c>
    </row>
    <row r="232" ht="15.75" customHeight="1">
      <c r="A232" s="10"/>
      <c r="B232" s="135">
        <v>11.0</v>
      </c>
      <c r="C232" s="218">
        <v>3.0</v>
      </c>
      <c r="D232" s="13">
        <v>1.0</v>
      </c>
      <c r="E232" s="28">
        <v>0.5138888888888888</v>
      </c>
      <c r="F232" s="28">
        <v>0.05555555555555555</v>
      </c>
      <c r="G232" s="86" t="s">
        <v>6815</v>
      </c>
      <c r="H232" s="10" t="s">
        <v>6816</v>
      </c>
      <c r="I232" s="13">
        <v>75.0</v>
      </c>
      <c r="J232" s="13">
        <v>17.0</v>
      </c>
      <c r="K232" s="13">
        <v>20.0</v>
      </c>
      <c r="L232" s="13">
        <v>7.0</v>
      </c>
      <c r="M232" s="13">
        <v>9.0</v>
      </c>
      <c r="N232" s="13">
        <v>28.0</v>
      </c>
      <c r="O232" s="13">
        <v>14.0</v>
      </c>
      <c r="P232" s="13">
        <v>17.0</v>
      </c>
      <c r="Q232" s="132">
        <f t="shared" si="6"/>
        <v>0.1866666667</v>
      </c>
    </row>
    <row r="233" ht="15.75" customHeight="1">
      <c r="A233" s="10"/>
      <c r="B233" s="135">
        <v>9.0</v>
      </c>
      <c r="C233" s="216">
        <v>13.0</v>
      </c>
      <c r="D233" s="13">
        <v>2.0</v>
      </c>
      <c r="E233" s="28">
        <v>0.06041666666666667</v>
      </c>
      <c r="F233" s="28">
        <v>0.10208333333333333</v>
      </c>
      <c r="G233" s="155" t="s">
        <v>6817</v>
      </c>
      <c r="H233" s="10" t="s">
        <v>6818</v>
      </c>
      <c r="I233" s="13">
        <v>88.0</v>
      </c>
      <c r="J233" s="13">
        <v>21.0</v>
      </c>
      <c r="K233" s="13">
        <v>23.0</v>
      </c>
      <c r="L233" s="13">
        <v>1.0</v>
      </c>
      <c r="M233" s="13">
        <v>6.0</v>
      </c>
      <c r="N233" s="13">
        <v>41.0</v>
      </c>
      <c r="O233" s="13">
        <v>40.0</v>
      </c>
      <c r="P233" s="131"/>
      <c r="Q233" s="132">
        <f t="shared" si="6"/>
        <v>0.4545454545</v>
      </c>
    </row>
    <row r="234" ht="15.75" customHeight="1">
      <c r="A234" s="10"/>
      <c r="B234" s="135">
        <v>10.0</v>
      </c>
      <c r="C234" s="113">
        <v>3.0</v>
      </c>
      <c r="D234" s="13">
        <v>2.0</v>
      </c>
      <c r="E234" s="28">
        <v>0.10833333333333334</v>
      </c>
      <c r="F234" s="28">
        <v>0.15069444444444444</v>
      </c>
      <c r="G234" s="84" t="s">
        <v>6819</v>
      </c>
      <c r="H234" s="31" t="s">
        <v>6820</v>
      </c>
      <c r="I234" s="13">
        <v>98.0</v>
      </c>
      <c r="J234" s="13">
        <v>23.0</v>
      </c>
      <c r="K234" s="13">
        <v>29.0</v>
      </c>
      <c r="L234" s="13">
        <v>3.0</v>
      </c>
      <c r="M234" s="13">
        <v>5.0</v>
      </c>
      <c r="N234" s="13">
        <v>42.0</v>
      </c>
      <c r="O234" s="13">
        <v>30.0</v>
      </c>
      <c r="P234" s="13">
        <v>19.0</v>
      </c>
      <c r="Q234" s="132">
        <f t="shared" si="6"/>
        <v>0.306122449</v>
      </c>
    </row>
    <row r="235" ht="15.75" customHeight="1">
      <c r="A235" s="10"/>
      <c r="B235" s="135">
        <v>11.0</v>
      </c>
      <c r="C235" s="218">
        <v>4.0</v>
      </c>
      <c r="D235" s="13">
        <v>2.0</v>
      </c>
      <c r="E235" s="28">
        <v>0.15347222222222223</v>
      </c>
      <c r="F235" s="28">
        <v>0.1951388888888889</v>
      </c>
      <c r="G235" s="86" t="s">
        <v>6821</v>
      </c>
      <c r="H235" s="10" t="s">
        <v>6822</v>
      </c>
      <c r="I235" s="13">
        <v>77.0</v>
      </c>
      <c r="J235" s="13">
        <v>15.0</v>
      </c>
      <c r="K235" s="13">
        <v>31.0</v>
      </c>
      <c r="L235" s="13">
        <v>10.0</v>
      </c>
      <c r="M235" s="13">
        <v>10.0</v>
      </c>
      <c r="N235" s="13">
        <v>20.0</v>
      </c>
      <c r="O235" s="13">
        <v>8.0</v>
      </c>
      <c r="P235" s="13">
        <v>29.0</v>
      </c>
      <c r="Q235" s="132">
        <f t="shared" si="6"/>
        <v>0.1038961039</v>
      </c>
    </row>
    <row r="236" ht="15.75" customHeight="1">
      <c r="A236" s="10"/>
      <c r="B236" s="135"/>
      <c r="G236" s="10"/>
      <c r="H236" s="10"/>
      <c r="Q236" s="132"/>
    </row>
    <row r="237" ht="15.75" customHeight="1">
      <c r="A237" s="24">
        <v>44250.0</v>
      </c>
      <c r="B237" s="135"/>
      <c r="G237" s="10"/>
      <c r="H237" s="10"/>
      <c r="Q237" s="132"/>
    </row>
    <row r="238" ht="15.75" customHeight="1">
      <c r="A238" s="10" t="s">
        <v>6823</v>
      </c>
      <c r="B238" s="135">
        <v>9.0</v>
      </c>
      <c r="C238" s="113">
        <v>1.0</v>
      </c>
      <c r="D238" s="13">
        <v>1.0</v>
      </c>
      <c r="E238" s="28">
        <v>0.44305555555555554</v>
      </c>
      <c r="F238" s="28">
        <v>0.4847222222222222</v>
      </c>
      <c r="G238" s="84" t="s">
        <v>6824</v>
      </c>
      <c r="H238" s="10" t="s">
        <v>6825</v>
      </c>
      <c r="I238" s="13">
        <v>86.0</v>
      </c>
      <c r="J238" s="13">
        <v>24.0</v>
      </c>
      <c r="K238" s="13">
        <v>30.0</v>
      </c>
      <c r="L238" s="13">
        <v>1.0</v>
      </c>
      <c r="M238" s="13">
        <v>18.0</v>
      </c>
      <c r="N238" s="13">
        <v>31.0</v>
      </c>
      <c r="O238" s="13">
        <v>4.0</v>
      </c>
      <c r="P238" s="13">
        <v>31.0</v>
      </c>
      <c r="Q238" s="132"/>
    </row>
    <row r="239" ht="15.75" customHeight="1">
      <c r="A239" s="10"/>
      <c r="B239" s="135">
        <v>10.0</v>
      </c>
      <c r="C239" s="113">
        <v>4.0</v>
      </c>
      <c r="D239" s="13">
        <v>1.0</v>
      </c>
      <c r="E239" s="28">
        <v>0.4895833333333333</v>
      </c>
      <c r="F239" s="28">
        <v>0.53125</v>
      </c>
      <c r="G239" s="84" t="s">
        <v>6826</v>
      </c>
      <c r="H239" s="10" t="s">
        <v>6827</v>
      </c>
      <c r="I239" s="13">
        <v>89.0</v>
      </c>
      <c r="J239" s="13">
        <v>22.0</v>
      </c>
      <c r="K239" s="13">
        <v>30.0</v>
      </c>
      <c r="L239" s="13">
        <v>1.0</v>
      </c>
      <c r="M239" s="13">
        <v>4.0</v>
      </c>
      <c r="N239" s="13">
        <v>35.0</v>
      </c>
      <c r="O239" s="13">
        <v>32.0</v>
      </c>
      <c r="P239" s="13">
        <v>17.0</v>
      </c>
      <c r="Q239" s="132"/>
    </row>
    <row r="240" ht="15.75" customHeight="1">
      <c r="A240" s="10"/>
      <c r="B240" s="135">
        <v>11.0</v>
      </c>
      <c r="C240" s="218">
        <v>5.0</v>
      </c>
      <c r="D240" s="13">
        <v>1.0</v>
      </c>
      <c r="E240" s="28">
        <v>0.5375</v>
      </c>
      <c r="F240" s="28">
        <v>0.08055555555555556</v>
      </c>
      <c r="G240" s="86" t="s">
        <v>6828</v>
      </c>
      <c r="H240" s="10" t="s">
        <v>6829</v>
      </c>
      <c r="I240" s="13">
        <v>82.0</v>
      </c>
      <c r="J240" s="13">
        <v>15.0</v>
      </c>
      <c r="K240" s="13">
        <v>27.0</v>
      </c>
      <c r="L240" s="13">
        <v>8.0</v>
      </c>
      <c r="M240" s="13">
        <v>7.0</v>
      </c>
      <c r="N240" s="13">
        <v>30.0</v>
      </c>
      <c r="O240" s="13">
        <v>16.0</v>
      </c>
      <c r="P240" s="13">
        <v>21.0</v>
      </c>
      <c r="Q240" s="132"/>
    </row>
    <row r="241" ht="15.75" customHeight="1">
      <c r="A241" s="10"/>
      <c r="B241" s="219">
        <v>10.0</v>
      </c>
      <c r="C241" s="113">
        <v>5.0</v>
      </c>
      <c r="D241" s="13">
        <v>2.0</v>
      </c>
      <c r="E241" s="28">
        <v>0.08819444444444445</v>
      </c>
      <c r="F241" s="28">
        <v>0.13055555555555556</v>
      </c>
      <c r="G241" s="84" t="s">
        <v>6830</v>
      </c>
      <c r="H241" s="10" t="s">
        <v>6831</v>
      </c>
      <c r="I241" s="13">
        <v>100.0</v>
      </c>
      <c r="J241" s="13">
        <v>21.0</v>
      </c>
      <c r="K241" s="13">
        <v>39.0</v>
      </c>
      <c r="L241" s="13">
        <v>3.0</v>
      </c>
      <c r="M241" s="13">
        <v>1.0</v>
      </c>
      <c r="N241" s="13">
        <v>36.0</v>
      </c>
      <c r="O241" s="13">
        <v>41.0</v>
      </c>
      <c r="P241" s="13">
        <v>18.0</v>
      </c>
      <c r="Q241" s="132"/>
    </row>
    <row r="242" ht="15.75" customHeight="1">
      <c r="A242" s="10"/>
      <c r="B242" s="135">
        <v>9.0</v>
      </c>
      <c r="C242" s="113">
        <v>2.0</v>
      </c>
      <c r="D242" s="13">
        <v>2.0</v>
      </c>
      <c r="E242" s="28">
        <v>0.1388888888888889</v>
      </c>
      <c r="F242" s="28">
        <v>0.1840277777777778</v>
      </c>
      <c r="G242" s="84" t="s">
        <v>6832</v>
      </c>
      <c r="H242" s="10" t="s">
        <v>6833</v>
      </c>
      <c r="I242" s="13">
        <v>106.0</v>
      </c>
      <c r="J242" s="13">
        <v>24.0</v>
      </c>
      <c r="K242" s="13">
        <v>36.0</v>
      </c>
      <c r="L242" s="13">
        <v>1.0</v>
      </c>
      <c r="M242" s="13">
        <v>6.0</v>
      </c>
      <c r="N242" s="13">
        <v>44.0</v>
      </c>
      <c r="O242" s="13">
        <v>17.0</v>
      </c>
      <c r="P242" s="13">
        <v>39.0</v>
      </c>
      <c r="Q242" s="132"/>
    </row>
    <row r="243" ht="15.75" customHeight="1">
      <c r="A243" s="10" t="s">
        <v>6834</v>
      </c>
      <c r="B243" s="135">
        <v>11.0</v>
      </c>
      <c r="C243" s="170">
        <v>1.0</v>
      </c>
      <c r="D243" s="13">
        <v>2.0</v>
      </c>
      <c r="E243" s="28">
        <v>0.19027777777777777</v>
      </c>
      <c r="F243" s="28">
        <v>0.23819444444444443</v>
      </c>
      <c r="G243" s="170" t="s">
        <v>6835</v>
      </c>
      <c r="H243" s="10" t="s">
        <v>6836</v>
      </c>
      <c r="I243" s="13">
        <v>95.0</v>
      </c>
      <c r="J243" s="13">
        <v>21.0</v>
      </c>
      <c r="K243" s="13">
        <v>34.0</v>
      </c>
      <c r="L243" s="13">
        <v>5.0</v>
      </c>
      <c r="M243" s="13">
        <v>12.0</v>
      </c>
      <c r="N243" s="13">
        <v>33.0</v>
      </c>
      <c r="O243" s="13">
        <v>3.0</v>
      </c>
      <c r="P243" s="13">
        <v>42.0</v>
      </c>
      <c r="Q243" s="132"/>
    </row>
    <row r="244" ht="15.75" customHeight="1">
      <c r="A244" s="10"/>
      <c r="B244" s="135"/>
      <c r="G244" s="10"/>
      <c r="H244" s="10"/>
      <c r="Q244" s="132"/>
    </row>
    <row r="245" ht="15.75" customHeight="1">
      <c r="A245" s="24">
        <v>44251.0</v>
      </c>
      <c r="B245" s="135">
        <v>9.0</v>
      </c>
      <c r="C245" s="113">
        <v>3.0</v>
      </c>
      <c r="D245" s="13">
        <v>1.0</v>
      </c>
      <c r="E245" s="28">
        <v>0.4305555555555556</v>
      </c>
      <c r="F245" s="28">
        <v>0.4722222222222222</v>
      </c>
      <c r="G245" s="84" t="s">
        <v>6837</v>
      </c>
      <c r="H245" s="20" t="s">
        <v>6838</v>
      </c>
      <c r="I245" s="13">
        <v>91.0</v>
      </c>
      <c r="J245" s="13">
        <v>22.0</v>
      </c>
      <c r="K245" s="13">
        <v>34.0</v>
      </c>
      <c r="L245" s="13">
        <v>3.0</v>
      </c>
      <c r="M245" s="13">
        <v>3.0</v>
      </c>
      <c r="N245" s="13">
        <v>31.0</v>
      </c>
      <c r="O245" s="13">
        <v>31.0</v>
      </c>
      <c r="P245" s="13">
        <v>22.0</v>
      </c>
      <c r="Q245" s="132"/>
    </row>
    <row r="246" ht="15.75" customHeight="1">
      <c r="A246" s="10"/>
      <c r="B246" s="135">
        <v>10.0</v>
      </c>
      <c r="C246" s="218">
        <v>1.0</v>
      </c>
      <c r="D246" s="13">
        <v>1.0</v>
      </c>
      <c r="E246" s="28">
        <v>0.47847222222222224</v>
      </c>
      <c r="F246" s="28">
        <v>0.5229166666666667</v>
      </c>
      <c r="G246" s="86" t="s">
        <v>6839</v>
      </c>
      <c r="H246" s="10" t="s">
        <v>6840</v>
      </c>
      <c r="I246" s="13">
        <v>103.0</v>
      </c>
      <c r="J246" s="13">
        <v>32.0</v>
      </c>
      <c r="K246" s="13">
        <v>47.0</v>
      </c>
      <c r="L246" s="13">
        <v>1.0</v>
      </c>
      <c r="M246" s="13">
        <v>10.0</v>
      </c>
      <c r="N246" s="13">
        <v>23.0</v>
      </c>
      <c r="O246" s="13">
        <v>18.0</v>
      </c>
      <c r="P246" s="13">
        <v>50.0</v>
      </c>
      <c r="Q246" s="132"/>
    </row>
    <row r="247" ht="15.75" customHeight="1">
      <c r="A247" s="10"/>
      <c r="B247" s="135">
        <v>11.0</v>
      </c>
      <c r="C247" s="170">
        <v>2.0</v>
      </c>
      <c r="D247" s="13">
        <v>1.0</v>
      </c>
      <c r="E247" s="28">
        <v>0.5263888888888889</v>
      </c>
      <c r="F247" s="28">
        <v>0.06805555555555555</v>
      </c>
      <c r="G247" s="170" t="s">
        <v>6841</v>
      </c>
      <c r="H247" s="10" t="s">
        <v>6842</v>
      </c>
      <c r="I247" s="13">
        <v>78.0</v>
      </c>
      <c r="J247" s="13">
        <v>17.0</v>
      </c>
      <c r="K247" s="13">
        <v>32.0</v>
      </c>
      <c r="L247" s="13">
        <v>4.0</v>
      </c>
      <c r="M247" s="13">
        <v>8.0</v>
      </c>
      <c r="N247" s="13">
        <v>22.0</v>
      </c>
      <c r="O247" s="13">
        <v>11.0</v>
      </c>
      <c r="P247" s="13">
        <v>33.0</v>
      </c>
      <c r="Q247" s="132"/>
    </row>
    <row r="248" ht="15.75" customHeight="1">
      <c r="A248" s="10"/>
      <c r="B248" s="135">
        <v>9.0</v>
      </c>
      <c r="C248" s="113">
        <v>4.0</v>
      </c>
      <c r="D248" s="13">
        <v>2.0</v>
      </c>
      <c r="E248" s="28">
        <v>0.07361111111111111</v>
      </c>
      <c r="F248" s="28">
        <v>0.11597222222222223</v>
      </c>
      <c r="G248" s="84" t="s">
        <v>6843</v>
      </c>
      <c r="H248" s="10" t="s">
        <v>6844</v>
      </c>
      <c r="I248" s="13">
        <v>93.0</v>
      </c>
      <c r="J248" s="13">
        <v>29.0</v>
      </c>
      <c r="K248" s="13">
        <v>27.0</v>
      </c>
      <c r="L248" s="13">
        <v>2.0</v>
      </c>
      <c r="M248" s="13">
        <v>2.0</v>
      </c>
      <c r="N248" s="13">
        <v>35.0</v>
      </c>
      <c r="O248" s="13">
        <v>41.0</v>
      </c>
      <c r="P248" s="13">
        <v>12.0</v>
      </c>
      <c r="Q248" s="132"/>
    </row>
    <row r="249" ht="15.75" customHeight="1">
      <c r="A249" s="10"/>
      <c r="B249" s="135">
        <v>10.0</v>
      </c>
      <c r="C249" s="218">
        <v>2.0</v>
      </c>
      <c r="D249" s="13">
        <v>2.0</v>
      </c>
      <c r="E249" s="28">
        <v>0.12083333333333333</v>
      </c>
      <c r="F249" s="28">
        <v>0.1625</v>
      </c>
      <c r="G249" s="86" t="s">
        <v>6845</v>
      </c>
      <c r="H249" s="10" t="s">
        <v>6846</v>
      </c>
      <c r="I249" s="13">
        <v>92.0</v>
      </c>
      <c r="J249" s="13">
        <v>16.0</v>
      </c>
      <c r="K249" s="13">
        <v>31.0</v>
      </c>
      <c r="L249" s="13">
        <v>3.0</v>
      </c>
      <c r="M249" s="13">
        <v>4.0</v>
      </c>
      <c r="N249" s="13">
        <v>41.0</v>
      </c>
      <c r="O249" s="13">
        <v>16.0</v>
      </c>
      <c r="P249" s="13">
        <v>27.0</v>
      </c>
      <c r="Q249" s="132"/>
    </row>
    <row r="250" ht="15.75" customHeight="1">
      <c r="A250" s="10" t="s">
        <v>6847</v>
      </c>
      <c r="B250" s="135">
        <v>11.0</v>
      </c>
      <c r="C250" s="170">
        <v>3.0</v>
      </c>
      <c r="D250" s="13">
        <v>2.0</v>
      </c>
      <c r="E250" s="28">
        <v>0.17222222222222222</v>
      </c>
      <c r="F250" s="28">
        <v>0.21388888888888888</v>
      </c>
      <c r="G250" s="170" t="s">
        <v>6848</v>
      </c>
      <c r="H250" s="10" t="s">
        <v>6849</v>
      </c>
      <c r="I250" s="13">
        <v>84.0</v>
      </c>
      <c r="J250" s="13">
        <v>21.0</v>
      </c>
      <c r="K250" s="13">
        <v>32.0</v>
      </c>
      <c r="L250" s="13">
        <v>4.0</v>
      </c>
      <c r="M250" s="13">
        <v>11.0</v>
      </c>
      <c r="N250" s="13">
        <v>26.0</v>
      </c>
      <c r="O250" s="13">
        <v>15.0</v>
      </c>
      <c r="P250" s="13">
        <v>29.0</v>
      </c>
      <c r="Q250" s="132"/>
    </row>
    <row r="251" ht="15.75" customHeight="1">
      <c r="A251" s="10"/>
      <c r="B251" s="135"/>
      <c r="G251" s="10"/>
      <c r="H251" s="10"/>
      <c r="Q251" s="132"/>
    </row>
    <row r="252" ht="15.75" customHeight="1">
      <c r="A252" s="24">
        <v>44252.0</v>
      </c>
      <c r="B252" s="135">
        <v>9.0</v>
      </c>
      <c r="C252" s="218">
        <v>1.0</v>
      </c>
      <c r="D252" s="13">
        <v>1.0</v>
      </c>
      <c r="E252" s="28">
        <v>0.43472222222222223</v>
      </c>
      <c r="F252" s="28">
        <v>0.4798611111111111</v>
      </c>
      <c r="G252" s="86" t="s">
        <v>6850</v>
      </c>
      <c r="H252" s="10" t="s">
        <v>6851</v>
      </c>
      <c r="I252" s="13">
        <v>101.0</v>
      </c>
      <c r="J252" s="13">
        <v>37.0</v>
      </c>
      <c r="K252" s="13">
        <v>37.0</v>
      </c>
      <c r="L252" s="13">
        <v>0.0</v>
      </c>
      <c r="M252" s="13">
        <v>10.0</v>
      </c>
      <c r="N252" s="13">
        <v>27.0</v>
      </c>
      <c r="O252" s="13">
        <v>17.0</v>
      </c>
      <c r="P252" s="13">
        <v>46.0</v>
      </c>
      <c r="Q252" s="132"/>
    </row>
    <row r="253" ht="15.75" customHeight="1">
      <c r="A253" s="10"/>
      <c r="B253" s="135">
        <v>10.0</v>
      </c>
      <c r="C253" s="218">
        <v>3.0</v>
      </c>
      <c r="D253" s="13">
        <v>1.0</v>
      </c>
      <c r="E253" s="28">
        <v>0.4826388888888889</v>
      </c>
      <c r="F253" s="28">
        <v>0.525</v>
      </c>
      <c r="G253" s="86" t="s">
        <v>6852</v>
      </c>
      <c r="H253" s="10" t="s">
        <v>6853</v>
      </c>
      <c r="I253" s="13">
        <v>90.0</v>
      </c>
      <c r="J253" s="13">
        <v>24.0</v>
      </c>
      <c r="K253" s="13">
        <v>36.0</v>
      </c>
      <c r="L253" s="13">
        <v>6.0</v>
      </c>
      <c r="M253" s="13">
        <v>5.0</v>
      </c>
      <c r="N253" s="13">
        <v>24.0</v>
      </c>
      <c r="O253" s="13">
        <v>16.0</v>
      </c>
      <c r="P253" s="13">
        <v>39.0</v>
      </c>
      <c r="Q253" s="132"/>
    </row>
    <row r="254" ht="15.75" customHeight="1">
      <c r="A254" s="10" t="s">
        <v>6854</v>
      </c>
      <c r="B254" s="135">
        <v>11.0</v>
      </c>
      <c r="C254" s="170">
        <v>4.0</v>
      </c>
      <c r="D254" s="13">
        <v>1.0</v>
      </c>
      <c r="E254" s="28">
        <v>0.5305555555555556</v>
      </c>
      <c r="F254" s="28">
        <v>0.07361111111111111</v>
      </c>
      <c r="G254" s="170" t="s">
        <v>6855</v>
      </c>
      <c r="H254" s="10" t="s">
        <v>6856</v>
      </c>
      <c r="I254" s="13">
        <v>76.0</v>
      </c>
      <c r="J254" s="13">
        <v>29.0</v>
      </c>
      <c r="K254" s="13">
        <v>29.0</v>
      </c>
      <c r="L254" s="13">
        <v>3.0</v>
      </c>
      <c r="M254" s="13">
        <v>13.0</v>
      </c>
      <c r="N254" s="13">
        <v>14.0</v>
      </c>
      <c r="O254" s="13">
        <v>10.0</v>
      </c>
      <c r="P254" s="13">
        <v>35.0</v>
      </c>
      <c r="Q254" s="132"/>
    </row>
    <row r="255" ht="15.75" customHeight="1">
      <c r="A255" s="10"/>
      <c r="B255" s="135">
        <v>9.0</v>
      </c>
      <c r="C255" s="218">
        <v>2.0</v>
      </c>
      <c r="D255" s="13">
        <v>2.0</v>
      </c>
      <c r="E255" s="28">
        <v>0.0798611111111111</v>
      </c>
      <c r="F255" s="28">
        <v>0.12569444444444444</v>
      </c>
      <c r="G255" s="86" t="s">
        <v>6857</v>
      </c>
      <c r="H255" s="10" t="s">
        <v>6858</v>
      </c>
      <c r="I255" s="13">
        <v>106.0</v>
      </c>
      <c r="J255" s="13">
        <v>30.0</v>
      </c>
      <c r="K255" s="13">
        <v>37.0</v>
      </c>
      <c r="L255" s="13">
        <v>0.0</v>
      </c>
      <c r="M255" s="13">
        <v>9.0</v>
      </c>
      <c r="N255" s="13">
        <v>39.0</v>
      </c>
      <c r="O255" s="13">
        <v>9.0</v>
      </c>
      <c r="P255" s="13">
        <v>48.0</v>
      </c>
      <c r="Q255" s="132"/>
    </row>
    <row r="256" ht="15.75" customHeight="1">
      <c r="A256" s="10"/>
      <c r="B256" s="135">
        <v>10.0</v>
      </c>
      <c r="C256" s="218">
        <v>4.0</v>
      </c>
      <c r="D256" s="13">
        <v>2.0</v>
      </c>
      <c r="E256" s="28">
        <v>0.12916666666666668</v>
      </c>
      <c r="F256" s="28">
        <v>0.17152777777777778</v>
      </c>
      <c r="G256" s="86" t="s">
        <v>6859</v>
      </c>
      <c r="H256" s="10" t="s">
        <v>6860</v>
      </c>
      <c r="I256" s="13">
        <v>92.0</v>
      </c>
      <c r="J256" s="13">
        <v>19.0</v>
      </c>
      <c r="K256" s="13">
        <v>32.0</v>
      </c>
      <c r="L256" s="13">
        <v>0.0</v>
      </c>
      <c r="M256" s="13">
        <v>2.0</v>
      </c>
      <c r="N256" s="13">
        <v>40.0</v>
      </c>
      <c r="O256" s="13">
        <v>12.0</v>
      </c>
      <c r="P256" s="13">
        <v>36.0</v>
      </c>
      <c r="Q256" s="132"/>
    </row>
    <row r="257" ht="15.75" customHeight="1">
      <c r="A257" s="10" t="s">
        <v>6861</v>
      </c>
      <c r="B257" s="135">
        <v>11.0</v>
      </c>
      <c r="C257" s="170">
        <v>5.0</v>
      </c>
      <c r="D257" s="13">
        <v>2.0</v>
      </c>
      <c r="E257" s="28">
        <v>0.17847222222222223</v>
      </c>
      <c r="F257" s="28">
        <v>0.21944444444444444</v>
      </c>
      <c r="G257" s="170" t="s">
        <v>6862</v>
      </c>
      <c r="H257" s="10" t="s">
        <v>6863</v>
      </c>
      <c r="I257" s="13">
        <v>83.0</v>
      </c>
      <c r="J257" s="13">
        <v>17.0</v>
      </c>
      <c r="K257" s="13">
        <v>26.0</v>
      </c>
      <c r="L257" s="13">
        <v>1.0</v>
      </c>
      <c r="M257" s="13">
        <v>4.0</v>
      </c>
      <c r="N257" s="13">
        <v>38.0</v>
      </c>
      <c r="O257" s="13">
        <v>14.0</v>
      </c>
      <c r="P257" s="13">
        <v>26.0</v>
      </c>
      <c r="Q257" s="132"/>
    </row>
    <row r="258" ht="15.75" customHeight="1">
      <c r="A258" s="10"/>
      <c r="B258" s="135"/>
      <c r="G258" s="10"/>
      <c r="H258" s="10"/>
      <c r="Q258" s="132"/>
    </row>
    <row r="259" ht="15.75" customHeight="1">
      <c r="A259" s="139">
        <v>44253.0</v>
      </c>
      <c r="B259" s="135">
        <v>9.0</v>
      </c>
      <c r="D259" s="13">
        <v>1.0</v>
      </c>
      <c r="E259" s="28">
        <v>0.39166666666666666</v>
      </c>
      <c r="F259" s="28">
        <v>0.43333333333333335</v>
      </c>
      <c r="G259" s="86" t="s">
        <v>6864</v>
      </c>
      <c r="H259" s="10" t="s">
        <v>6865</v>
      </c>
      <c r="I259" s="13">
        <v>89.0</v>
      </c>
      <c r="J259" s="13">
        <v>24.0</v>
      </c>
      <c r="K259" s="13">
        <v>27.0</v>
      </c>
      <c r="L259" s="13">
        <v>1.0</v>
      </c>
      <c r="M259" s="13">
        <v>8.0</v>
      </c>
      <c r="N259" s="13">
        <v>36.0</v>
      </c>
      <c r="O259" s="13">
        <v>16.0</v>
      </c>
      <c r="P259" s="13">
        <v>28.0</v>
      </c>
      <c r="Q259" s="132"/>
    </row>
    <row r="260" ht="15.75" customHeight="1">
      <c r="A260" s="10" t="s">
        <v>6866</v>
      </c>
      <c r="B260" s="135">
        <v>10.0</v>
      </c>
      <c r="D260" s="13">
        <v>1.0</v>
      </c>
      <c r="E260" s="28">
        <v>0.4361111111111111</v>
      </c>
      <c r="F260" s="28">
        <v>0.4777777777777778</v>
      </c>
      <c r="G260" s="86" t="s">
        <v>6867</v>
      </c>
      <c r="H260" s="10" t="s">
        <v>6868</v>
      </c>
      <c r="I260" s="13">
        <v>92.0</v>
      </c>
      <c r="J260" s="13">
        <v>16.0</v>
      </c>
      <c r="K260" s="13">
        <v>22.0</v>
      </c>
      <c r="L260" s="13">
        <v>9.0</v>
      </c>
      <c r="M260" s="13">
        <v>2.0</v>
      </c>
      <c r="N260" s="13">
        <v>44.0</v>
      </c>
      <c r="O260" s="13">
        <v>18.0</v>
      </c>
      <c r="P260" s="13">
        <v>18.0</v>
      </c>
      <c r="Q260" s="132"/>
    </row>
    <row r="261" ht="15.75" customHeight="1">
      <c r="A261" s="10"/>
      <c r="B261" s="135">
        <v>11.0</v>
      </c>
      <c r="D261" s="13">
        <v>1.0</v>
      </c>
      <c r="E261" s="28">
        <v>0.48055555555555557</v>
      </c>
      <c r="F261" s="28">
        <v>0.5243055555555556</v>
      </c>
      <c r="G261" s="86" t="s">
        <v>6869</v>
      </c>
      <c r="H261" s="10" t="s">
        <v>6870</v>
      </c>
      <c r="I261" s="13">
        <v>72.0</v>
      </c>
      <c r="J261" s="13">
        <v>35.0</v>
      </c>
      <c r="K261" s="13">
        <v>29.0</v>
      </c>
      <c r="L261" s="13">
        <v>2.0</v>
      </c>
      <c r="M261" s="13">
        <v>18.0</v>
      </c>
      <c r="N261" s="13">
        <v>5.0</v>
      </c>
      <c r="O261" s="13">
        <v>9.0</v>
      </c>
      <c r="P261" s="13">
        <v>37.0</v>
      </c>
      <c r="Q261" s="132"/>
    </row>
    <row r="262" ht="15.75" customHeight="1">
      <c r="A262" s="10"/>
      <c r="B262" s="135">
        <v>9.0</v>
      </c>
      <c r="D262" s="13">
        <v>2.0</v>
      </c>
      <c r="E262" s="28">
        <v>0.53125</v>
      </c>
      <c r="F262" s="28">
        <v>0.07291666666666667</v>
      </c>
      <c r="G262" s="86" t="s">
        <v>6871</v>
      </c>
      <c r="H262" s="10" t="s">
        <v>6872</v>
      </c>
      <c r="I262" s="13">
        <v>86.0</v>
      </c>
      <c r="J262" s="13">
        <v>24.0</v>
      </c>
      <c r="K262" s="13">
        <v>32.0</v>
      </c>
      <c r="L262" s="13">
        <v>4.0</v>
      </c>
      <c r="M262" s="13">
        <v>8.0</v>
      </c>
      <c r="N262" s="13">
        <v>26.0</v>
      </c>
      <c r="O262" s="13">
        <v>11.0</v>
      </c>
      <c r="P262" s="13">
        <v>37.0</v>
      </c>
      <c r="Q262" s="132"/>
    </row>
    <row r="263" ht="15.75" customHeight="1">
      <c r="A263" s="10"/>
      <c r="B263" s="135">
        <v>10.0</v>
      </c>
      <c r="D263" s="13">
        <v>2.0</v>
      </c>
      <c r="E263" s="28">
        <v>0.07708333333333334</v>
      </c>
      <c r="F263" s="28">
        <v>0.11944444444444445</v>
      </c>
      <c r="G263" s="86" t="s">
        <v>6873</v>
      </c>
      <c r="H263" s="10" t="s">
        <v>6874</v>
      </c>
      <c r="I263" s="13">
        <v>93.0</v>
      </c>
      <c r="J263" s="13">
        <v>16.0</v>
      </c>
      <c r="K263" s="13">
        <v>35.0</v>
      </c>
      <c r="L263" s="13">
        <v>4.0</v>
      </c>
      <c r="M263" s="13">
        <v>6.0</v>
      </c>
      <c r="N263" s="13">
        <v>37.0</v>
      </c>
      <c r="O263" s="13">
        <v>4.0</v>
      </c>
      <c r="P263" s="13">
        <v>41.0</v>
      </c>
      <c r="Q263" s="132"/>
    </row>
    <row r="264" ht="15.75" customHeight="1">
      <c r="A264" s="10"/>
      <c r="B264" s="135">
        <v>11.0</v>
      </c>
      <c r="D264" s="13">
        <v>2.0</v>
      </c>
      <c r="E264" s="28">
        <v>0.12430555555555556</v>
      </c>
      <c r="F264" s="28">
        <v>0.16597222222222222</v>
      </c>
      <c r="G264" s="86" t="s">
        <v>6875</v>
      </c>
      <c r="H264" s="10" t="s">
        <v>6876</v>
      </c>
      <c r="I264" s="13">
        <v>85.0</v>
      </c>
      <c r="J264" s="13">
        <v>20.0</v>
      </c>
      <c r="K264" s="13">
        <v>33.0</v>
      </c>
      <c r="L264" s="13">
        <v>2.0</v>
      </c>
      <c r="M264" s="13">
        <v>10.0</v>
      </c>
      <c r="N264" s="13">
        <v>28.0</v>
      </c>
      <c r="O264" s="13">
        <v>16.0</v>
      </c>
      <c r="P264" s="13">
        <v>27.0</v>
      </c>
      <c r="Q264" s="132"/>
    </row>
    <row r="265" ht="15.75" customHeight="1">
      <c r="A265" s="10"/>
      <c r="B265" s="135"/>
      <c r="G265" s="10"/>
      <c r="H265" s="10"/>
      <c r="Q265" s="132"/>
    </row>
    <row r="266" ht="15.75" customHeight="1">
      <c r="A266" s="139">
        <v>44254.0</v>
      </c>
      <c r="B266" s="135">
        <v>9.0</v>
      </c>
      <c r="D266" s="13">
        <v>1.0</v>
      </c>
      <c r="E266" s="28">
        <v>0.4527777777777778</v>
      </c>
      <c r="F266" s="28">
        <v>0.4951388888888889</v>
      </c>
      <c r="G266" s="86" t="s">
        <v>6877</v>
      </c>
      <c r="H266" s="10" t="s">
        <v>6878</v>
      </c>
      <c r="I266" s="13">
        <v>99.0</v>
      </c>
      <c r="J266" s="13">
        <v>34.0</v>
      </c>
      <c r="K266" s="13">
        <v>43.0</v>
      </c>
      <c r="L266" s="13">
        <v>5.0</v>
      </c>
      <c r="M266" s="13">
        <v>16.0</v>
      </c>
      <c r="N266" s="13">
        <v>16.0</v>
      </c>
      <c r="O266" s="13">
        <v>16.0</v>
      </c>
      <c r="P266" s="13">
        <v>47.0</v>
      </c>
      <c r="Q266" s="132"/>
    </row>
    <row r="267" ht="15.75" customHeight="1">
      <c r="A267" s="10" t="s">
        <v>6879</v>
      </c>
      <c r="B267" s="135">
        <v>10.0</v>
      </c>
      <c r="D267" s="13">
        <v>1.0</v>
      </c>
      <c r="E267" s="28">
        <v>0.4979166666666667</v>
      </c>
      <c r="F267" s="28">
        <v>0.04236111111111111</v>
      </c>
      <c r="G267" s="86" t="s">
        <v>6880</v>
      </c>
      <c r="H267" s="10" t="s">
        <v>6881</v>
      </c>
      <c r="I267" s="13">
        <v>100.0</v>
      </c>
      <c r="J267" s="13">
        <v>29.0</v>
      </c>
      <c r="K267" s="13">
        <v>29.0</v>
      </c>
      <c r="L267" s="13">
        <v>5.0</v>
      </c>
      <c r="M267" s="13">
        <v>6.0</v>
      </c>
      <c r="N267" s="13">
        <v>37.0</v>
      </c>
      <c r="O267" s="13">
        <v>30.0</v>
      </c>
      <c r="P267" s="13">
        <v>22.0</v>
      </c>
      <c r="Q267" s="132"/>
    </row>
    <row r="268" ht="15.75" customHeight="1">
      <c r="A268" s="10"/>
      <c r="B268" s="135">
        <v>11.0</v>
      </c>
      <c r="D268" s="13">
        <v>1.0</v>
      </c>
      <c r="E268" s="28">
        <v>0.04722222222222222</v>
      </c>
      <c r="F268" s="28">
        <v>0.08888888888888889</v>
      </c>
      <c r="G268" s="86" t="s">
        <v>6882</v>
      </c>
      <c r="H268" s="10" t="s">
        <v>6883</v>
      </c>
      <c r="I268" s="13">
        <v>93.0</v>
      </c>
      <c r="J268" s="13">
        <v>34.0</v>
      </c>
      <c r="K268" s="13">
        <v>48.0</v>
      </c>
      <c r="L268" s="13">
        <v>0.0</v>
      </c>
      <c r="M268" s="13">
        <v>20.0</v>
      </c>
      <c r="N268" s="13">
        <v>11.0</v>
      </c>
      <c r="O268" s="13">
        <v>16.0</v>
      </c>
      <c r="P268" s="13">
        <v>47.0</v>
      </c>
      <c r="Q268" s="132"/>
    </row>
    <row r="269" ht="15.75" customHeight="1">
      <c r="A269" s="10"/>
      <c r="B269" s="135">
        <v>9.0</v>
      </c>
      <c r="D269" s="13">
        <v>2.0</v>
      </c>
      <c r="E269" s="28">
        <v>0.09166666666666666</v>
      </c>
      <c r="F269" s="28">
        <v>0.13402777777777777</v>
      </c>
      <c r="G269" s="86" t="s">
        <v>6884</v>
      </c>
      <c r="H269" s="10" t="s">
        <v>6885</v>
      </c>
      <c r="I269" s="13">
        <v>101.0</v>
      </c>
      <c r="J269" s="13">
        <v>27.0</v>
      </c>
      <c r="K269" s="13">
        <v>29.0</v>
      </c>
      <c r="L269" s="13">
        <v>8.0</v>
      </c>
      <c r="M269" s="13">
        <v>7.0</v>
      </c>
      <c r="N269" s="13">
        <v>36.0</v>
      </c>
      <c r="O269" s="13">
        <v>7.0</v>
      </c>
      <c r="P269" s="13">
        <v>42.0</v>
      </c>
      <c r="Q269" s="132"/>
    </row>
    <row r="270" ht="15.75" customHeight="1">
      <c r="A270" s="10"/>
      <c r="B270" s="135">
        <v>10.0</v>
      </c>
      <c r="D270" s="13">
        <v>2.0</v>
      </c>
      <c r="E270" s="28">
        <v>0.1375</v>
      </c>
      <c r="F270" s="28">
        <v>0.17916666666666667</v>
      </c>
      <c r="G270" s="86" t="s">
        <v>6886</v>
      </c>
      <c r="H270" s="10" t="s">
        <v>6887</v>
      </c>
      <c r="I270" s="13">
        <v>97.0</v>
      </c>
      <c r="J270" s="13">
        <v>34.0</v>
      </c>
      <c r="K270" s="13">
        <v>32.0</v>
      </c>
      <c r="L270" s="13">
        <v>3.0</v>
      </c>
      <c r="M270" s="13">
        <v>7.0</v>
      </c>
      <c r="N270" s="13">
        <v>27.0</v>
      </c>
      <c r="O270" s="13">
        <v>16.0</v>
      </c>
      <c r="P270" s="13">
        <v>43.0</v>
      </c>
      <c r="Q270" s="132"/>
    </row>
    <row r="271" ht="15.75" customHeight="1">
      <c r="A271" s="10" t="s">
        <v>6888</v>
      </c>
      <c r="B271" s="135">
        <v>11.0</v>
      </c>
      <c r="D271" s="13">
        <v>2.0</v>
      </c>
      <c r="E271" s="28">
        <v>0.2</v>
      </c>
      <c r="F271" s="28">
        <v>0.24930555555555556</v>
      </c>
      <c r="G271" s="86" t="s">
        <v>6889</v>
      </c>
      <c r="H271" s="10" t="s">
        <v>6890</v>
      </c>
      <c r="I271" s="13">
        <v>117.0</v>
      </c>
      <c r="J271" s="13">
        <v>64.0</v>
      </c>
      <c r="K271" s="13">
        <v>47.0</v>
      </c>
      <c r="L271" s="13">
        <v>2.0</v>
      </c>
      <c r="M271" s="13">
        <v>25.0</v>
      </c>
      <c r="N271" s="13">
        <v>4.0</v>
      </c>
      <c r="O271" s="13">
        <v>30.0</v>
      </c>
      <c r="P271" s="13">
        <v>57.0</v>
      </c>
      <c r="Q271" s="132"/>
    </row>
    <row r="272" ht="15.75" customHeight="1">
      <c r="A272" s="10"/>
      <c r="B272" s="135"/>
      <c r="G272" s="10"/>
      <c r="H272" s="10"/>
      <c r="Q272" s="132"/>
    </row>
    <row r="273" ht="15.75" customHeight="1">
      <c r="A273" s="27">
        <v>44255.0</v>
      </c>
      <c r="B273" s="135">
        <v>9.0</v>
      </c>
      <c r="D273" s="13">
        <v>1.0</v>
      </c>
      <c r="E273" s="28">
        <v>0.44027777777777777</v>
      </c>
      <c r="F273" s="28">
        <v>0.4722222222222222</v>
      </c>
      <c r="G273" s="86" t="s">
        <v>6891</v>
      </c>
      <c r="H273" s="10" t="s">
        <v>6892</v>
      </c>
      <c r="I273" s="13">
        <v>60.0</v>
      </c>
      <c r="J273" s="13">
        <v>18.0</v>
      </c>
      <c r="K273" s="13">
        <v>18.0</v>
      </c>
      <c r="L273" s="13">
        <v>3.0</v>
      </c>
      <c r="M273" s="13">
        <v>5.0</v>
      </c>
      <c r="N273" s="13">
        <v>21.0</v>
      </c>
      <c r="O273" s="13">
        <v>6.0</v>
      </c>
      <c r="P273" s="13">
        <v>26.0</v>
      </c>
      <c r="Q273" s="132"/>
    </row>
    <row r="274" ht="15.75" customHeight="1">
      <c r="A274" s="10" t="s">
        <v>6893</v>
      </c>
      <c r="B274" s="135">
        <v>10.0</v>
      </c>
      <c r="D274" s="13">
        <v>1.0</v>
      </c>
      <c r="E274" s="28">
        <v>0.4791666666666667</v>
      </c>
      <c r="F274" s="28">
        <v>0.5270833333333333</v>
      </c>
      <c r="G274" s="86" t="s">
        <v>6894</v>
      </c>
      <c r="H274" s="10" t="s">
        <v>6895</v>
      </c>
      <c r="I274" s="13">
        <v>96.0</v>
      </c>
      <c r="J274" s="13">
        <v>31.0</v>
      </c>
      <c r="K274" s="13">
        <v>16.0</v>
      </c>
      <c r="L274" s="13">
        <v>8.0</v>
      </c>
      <c r="M274" s="13">
        <v>5.0</v>
      </c>
      <c r="N274" s="13">
        <v>40.0</v>
      </c>
      <c r="O274" s="13">
        <v>12.0</v>
      </c>
      <c r="P274" s="13">
        <v>30.0</v>
      </c>
      <c r="Q274" s="132"/>
    </row>
    <row r="275" ht="15.75" customHeight="1">
      <c r="A275" s="10"/>
      <c r="B275" s="135">
        <v>11.0</v>
      </c>
      <c r="D275" s="13">
        <v>1.0</v>
      </c>
      <c r="E275" s="28">
        <v>0.5291666666666667</v>
      </c>
      <c r="F275" s="28">
        <v>0.07361111111111111</v>
      </c>
      <c r="G275" s="86" t="s">
        <v>6896</v>
      </c>
      <c r="H275" s="10" t="s">
        <v>6897</v>
      </c>
      <c r="I275" s="13">
        <v>91.0</v>
      </c>
      <c r="J275" s="13">
        <v>41.0</v>
      </c>
      <c r="K275" s="13">
        <v>40.0</v>
      </c>
      <c r="L275" s="13">
        <v>3.0</v>
      </c>
      <c r="M275" s="13">
        <v>16.0</v>
      </c>
      <c r="N275" s="13">
        <v>7.0</v>
      </c>
      <c r="O275" s="13">
        <v>27.0</v>
      </c>
      <c r="P275" s="13">
        <v>39.0</v>
      </c>
      <c r="Q275" s="132"/>
    </row>
    <row r="276" ht="15.75" customHeight="1">
      <c r="A276" s="10"/>
      <c r="B276" s="135">
        <v>9.0</v>
      </c>
      <c r="D276" s="13">
        <v>2.0</v>
      </c>
      <c r="E276" s="28">
        <v>0.0763888888888889</v>
      </c>
      <c r="F276" s="28">
        <v>0.11458333333333333</v>
      </c>
      <c r="G276" s="86" t="s">
        <v>6898</v>
      </c>
      <c r="H276" s="10" t="s">
        <v>6899</v>
      </c>
      <c r="I276" s="13">
        <v>80.0</v>
      </c>
      <c r="J276" s="13">
        <v>26.0</v>
      </c>
      <c r="K276" s="13">
        <v>23.0</v>
      </c>
      <c r="L276" s="13">
        <v>1.0</v>
      </c>
      <c r="M276" s="13">
        <v>5.0</v>
      </c>
      <c r="N276" s="13">
        <v>29.0</v>
      </c>
      <c r="O276" s="13">
        <v>14.0</v>
      </c>
      <c r="P276" s="13">
        <v>31.0</v>
      </c>
      <c r="Q276" s="132"/>
    </row>
    <row r="277" ht="15.75" customHeight="1">
      <c r="A277" s="10"/>
      <c r="B277" s="135">
        <v>10.0</v>
      </c>
      <c r="D277" s="13">
        <v>2.0</v>
      </c>
      <c r="E277" s="28">
        <v>0.11805555555555555</v>
      </c>
      <c r="F277" s="28">
        <v>0.1625</v>
      </c>
      <c r="G277" s="86" t="s">
        <v>6900</v>
      </c>
      <c r="H277" s="10" t="s">
        <v>6901</v>
      </c>
      <c r="I277" s="13">
        <v>90.0</v>
      </c>
      <c r="J277" s="13">
        <v>21.0</v>
      </c>
      <c r="K277" s="13">
        <v>14.0</v>
      </c>
      <c r="L277" s="13">
        <v>4.0</v>
      </c>
      <c r="M277" s="13">
        <v>5.0</v>
      </c>
      <c r="N277" s="13">
        <v>50.0</v>
      </c>
      <c r="O277" s="13">
        <v>3.0</v>
      </c>
      <c r="P277" s="13">
        <v>27.0</v>
      </c>
      <c r="Q277" s="132"/>
    </row>
    <row r="278" ht="15.75" customHeight="1">
      <c r="A278" s="10"/>
      <c r="B278" s="135">
        <v>11.0</v>
      </c>
      <c r="D278" s="13">
        <v>2.0</v>
      </c>
      <c r="E278" s="28">
        <v>0.16527777777777777</v>
      </c>
      <c r="F278" s="13">
        <v>5.0</v>
      </c>
      <c r="G278" s="86" t="s">
        <v>6902</v>
      </c>
      <c r="H278" s="10" t="s">
        <v>6903</v>
      </c>
      <c r="I278" s="13">
        <v>98.0</v>
      </c>
      <c r="J278" s="13">
        <v>27.0</v>
      </c>
      <c r="K278" s="13">
        <v>43.0</v>
      </c>
      <c r="L278" s="13">
        <v>2.0</v>
      </c>
      <c r="M278" s="13">
        <v>11.0</v>
      </c>
      <c r="N278" s="13">
        <v>25.0</v>
      </c>
      <c r="O278" s="13">
        <v>10.0</v>
      </c>
      <c r="P278" s="13">
        <v>49.0</v>
      </c>
      <c r="Q278" s="132"/>
    </row>
    <row r="279" ht="15.75" customHeight="1">
      <c r="A279" s="10"/>
      <c r="B279" s="135"/>
      <c r="G279" s="10"/>
      <c r="H279" s="10"/>
      <c r="Q279" s="132"/>
    </row>
    <row r="280" ht="15.75" customHeight="1">
      <c r="A280" s="139">
        <v>44256.0</v>
      </c>
      <c r="B280" s="135">
        <v>9.0</v>
      </c>
      <c r="D280" s="13">
        <v>1.0</v>
      </c>
      <c r="E280" s="28">
        <v>0.4166666666666667</v>
      </c>
      <c r="F280" s="28">
        <v>0.4597222222222222</v>
      </c>
      <c r="G280" s="86" t="s">
        <v>6904</v>
      </c>
      <c r="H280" s="10" t="s">
        <v>6905</v>
      </c>
      <c r="I280" s="13">
        <v>102.0</v>
      </c>
      <c r="J280" s="13">
        <v>47.0</v>
      </c>
      <c r="K280" s="13">
        <v>51.0</v>
      </c>
      <c r="L280" s="13">
        <v>4.0</v>
      </c>
      <c r="M280" s="13">
        <v>15.0</v>
      </c>
      <c r="N280" s="13">
        <v>0.0</v>
      </c>
      <c r="O280" s="13">
        <v>31.0</v>
      </c>
      <c r="P280" s="13">
        <v>52.0</v>
      </c>
      <c r="Q280" s="132"/>
    </row>
    <row r="281" ht="15.75" customHeight="1">
      <c r="A281" s="10"/>
      <c r="B281" s="135">
        <v>10.0</v>
      </c>
      <c r="D281" s="13">
        <v>1.0</v>
      </c>
      <c r="E281" s="28">
        <v>0.4618055555555556</v>
      </c>
      <c r="F281" s="28">
        <v>0.5034722222222222</v>
      </c>
      <c r="G281" s="86" t="s">
        <v>6906</v>
      </c>
      <c r="H281" s="10" t="s">
        <v>6907</v>
      </c>
      <c r="I281" s="13">
        <v>102.0</v>
      </c>
      <c r="J281" s="13">
        <v>33.0</v>
      </c>
      <c r="K281" s="13">
        <v>38.0</v>
      </c>
      <c r="L281" s="13">
        <v>1.0</v>
      </c>
      <c r="M281" s="13">
        <v>10.0</v>
      </c>
      <c r="N281" s="13">
        <v>29.0</v>
      </c>
      <c r="O281" s="13">
        <v>30.0</v>
      </c>
      <c r="P281" s="13">
        <v>31.0</v>
      </c>
      <c r="Q281" s="132"/>
    </row>
    <row r="282" ht="15.75" customHeight="1">
      <c r="A282" s="10"/>
      <c r="B282" s="135">
        <v>11.0</v>
      </c>
      <c r="D282" s="13">
        <v>1.0</v>
      </c>
      <c r="E282" s="28">
        <v>0.50625</v>
      </c>
      <c r="F282" s="28">
        <v>0.04861111111111111</v>
      </c>
      <c r="G282" s="86" t="s">
        <v>6908</v>
      </c>
      <c r="H282" s="10" t="s">
        <v>6909</v>
      </c>
      <c r="I282" s="13">
        <v>81.0</v>
      </c>
      <c r="J282" s="13">
        <v>35.0</v>
      </c>
      <c r="K282" s="13">
        <v>36.0</v>
      </c>
      <c r="L282" s="13">
        <v>4.0</v>
      </c>
      <c r="M282" s="13">
        <v>20.0</v>
      </c>
      <c r="N282" s="13">
        <v>6.0</v>
      </c>
      <c r="O282" s="13">
        <v>25.0</v>
      </c>
      <c r="P282" s="13">
        <v>26.0</v>
      </c>
      <c r="Q282" s="132"/>
    </row>
    <row r="283" ht="15.75" customHeight="1">
      <c r="A283" s="10"/>
      <c r="B283" s="135">
        <v>9.0</v>
      </c>
      <c r="D283" s="13">
        <v>2.0</v>
      </c>
      <c r="E283" s="28">
        <v>0.052083333333333336</v>
      </c>
      <c r="F283" s="28">
        <v>0.09861111111111111</v>
      </c>
      <c r="G283" s="86" t="s">
        <v>6910</v>
      </c>
      <c r="H283" s="10" t="s">
        <v>6911</v>
      </c>
      <c r="I283" s="13">
        <v>126.0</v>
      </c>
      <c r="J283" s="13">
        <v>59.0</v>
      </c>
      <c r="K283" s="13">
        <v>63.0</v>
      </c>
      <c r="L283" s="13">
        <v>0.0</v>
      </c>
      <c r="M283" s="13">
        <v>13.0</v>
      </c>
      <c r="N283" s="13">
        <v>4.0</v>
      </c>
      <c r="O283" s="13">
        <v>33.0</v>
      </c>
      <c r="P283" s="13">
        <v>75.0</v>
      </c>
      <c r="Q283" s="132"/>
    </row>
    <row r="284" ht="15.75" customHeight="1">
      <c r="A284" s="10"/>
      <c r="B284" s="135">
        <v>10.0</v>
      </c>
      <c r="D284" s="13">
        <v>2.0</v>
      </c>
      <c r="E284" s="28">
        <v>0.10208333333333333</v>
      </c>
      <c r="F284" s="28">
        <v>0.14375</v>
      </c>
      <c r="G284" s="86" t="s">
        <v>6912</v>
      </c>
      <c r="H284" s="10" t="s">
        <v>6913</v>
      </c>
      <c r="I284" s="13">
        <v>110.0</v>
      </c>
      <c r="J284" s="13">
        <v>37.0</v>
      </c>
      <c r="K284" s="13">
        <v>44.0</v>
      </c>
      <c r="L284" s="13">
        <v>1.0</v>
      </c>
      <c r="M284" s="13">
        <v>6.0</v>
      </c>
      <c r="N284" s="13">
        <v>28.0</v>
      </c>
      <c r="O284" s="13">
        <v>19.0</v>
      </c>
      <c r="P284" s="13">
        <v>55.0</v>
      </c>
      <c r="Q284" s="132"/>
    </row>
    <row r="285" ht="15.75" customHeight="1">
      <c r="A285" s="10" t="s">
        <v>6914</v>
      </c>
      <c r="B285" s="135">
        <v>11.0</v>
      </c>
      <c r="D285" s="13">
        <v>2.0</v>
      </c>
      <c r="E285" s="28">
        <v>0.14722222222222223</v>
      </c>
      <c r="F285" s="28">
        <v>0.19375</v>
      </c>
      <c r="G285" s="86" t="s">
        <v>6915</v>
      </c>
      <c r="H285" s="10" t="s">
        <v>6916</v>
      </c>
      <c r="I285" s="13">
        <v>94.0</v>
      </c>
      <c r="J285" s="13">
        <v>46.0</v>
      </c>
      <c r="K285" s="13">
        <v>42.0</v>
      </c>
      <c r="L285" s="13">
        <v>0.0</v>
      </c>
      <c r="M285" s="13">
        <v>17.0</v>
      </c>
      <c r="N285" s="13">
        <v>6.0</v>
      </c>
      <c r="O285" s="13">
        <v>30.0</v>
      </c>
      <c r="P285" s="13">
        <v>40.0</v>
      </c>
      <c r="Q285" s="132"/>
    </row>
    <row r="286" ht="15.75" customHeight="1">
      <c r="A286" s="10"/>
      <c r="B286" s="135"/>
      <c r="G286" s="10"/>
      <c r="H286" s="10"/>
      <c r="Q286" s="132"/>
    </row>
    <row r="287" ht="15.75" customHeight="1">
      <c r="A287" s="10"/>
      <c r="B287" s="135"/>
      <c r="G287" s="10"/>
      <c r="H287" s="10"/>
      <c r="Q287" s="132"/>
    </row>
    <row r="288" ht="15.75" customHeight="1">
      <c r="A288" s="24">
        <v>44257.0</v>
      </c>
      <c r="B288" s="135">
        <v>9.0</v>
      </c>
      <c r="D288" s="13">
        <v>1.0</v>
      </c>
      <c r="E288" s="28">
        <v>0.42291666666666666</v>
      </c>
      <c r="F288" s="28">
        <v>0.46597222222222223</v>
      </c>
      <c r="G288" s="86" t="s">
        <v>6917</v>
      </c>
      <c r="H288" s="10" t="s">
        <v>6918</v>
      </c>
      <c r="I288" s="13">
        <v>120.0</v>
      </c>
      <c r="J288" s="13">
        <v>58.0</v>
      </c>
      <c r="K288" s="13">
        <v>53.0</v>
      </c>
      <c r="L288" s="13">
        <v>2.0</v>
      </c>
      <c r="M288" s="13">
        <v>8.0</v>
      </c>
      <c r="N288" s="13">
        <v>6.0</v>
      </c>
      <c r="O288" s="13">
        <v>45.0</v>
      </c>
      <c r="P288" s="13">
        <v>58.0</v>
      </c>
      <c r="Q288" s="132"/>
    </row>
    <row r="289" ht="15.75" customHeight="1">
      <c r="A289" s="10"/>
      <c r="B289" s="135">
        <v>10.0</v>
      </c>
      <c r="D289" s="13">
        <v>1.0</v>
      </c>
      <c r="E289" s="28">
        <v>0.46805555555555556</v>
      </c>
      <c r="F289" s="28">
        <v>0.5118055555555555</v>
      </c>
      <c r="G289" s="86" t="s">
        <v>6919</v>
      </c>
      <c r="H289" s="10" t="s">
        <v>6920</v>
      </c>
      <c r="I289" s="13">
        <v>105.0</v>
      </c>
      <c r="J289" s="13">
        <v>39.0</v>
      </c>
      <c r="K289" s="13">
        <v>43.0</v>
      </c>
      <c r="L289" s="13">
        <v>1.0</v>
      </c>
      <c r="M289" s="13">
        <v>9.0</v>
      </c>
      <c r="N289" s="13">
        <v>21.0</v>
      </c>
      <c r="O289" s="13">
        <v>32.0</v>
      </c>
      <c r="P289" s="13">
        <v>43.0</v>
      </c>
      <c r="Q289" s="132"/>
    </row>
    <row r="290" ht="15.75" customHeight="1">
      <c r="A290" s="10" t="s">
        <v>6914</v>
      </c>
      <c r="B290" s="135">
        <v>11.0</v>
      </c>
      <c r="D290" s="13">
        <v>1.0</v>
      </c>
      <c r="E290" s="28">
        <v>0.5166666666666667</v>
      </c>
      <c r="F290" s="28">
        <v>0.059722222222222225</v>
      </c>
      <c r="G290" s="86" t="s">
        <v>6921</v>
      </c>
      <c r="H290" s="10" t="s">
        <v>6922</v>
      </c>
      <c r="I290" s="13">
        <v>77.0</v>
      </c>
      <c r="J290" s="13">
        <v>38.0</v>
      </c>
      <c r="K290" s="13">
        <v>35.0</v>
      </c>
      <c r="L290" s="13">
        <v>0.0</v>
      </c>
      <c r="M290" s="13">
        <v>13.0</v>
      </c>
      <c r="N290" s="13">
        <v>3.0</v>
      </c>
      <c r="O290" s="13">
        <v>20.0</v>
      </c>
      <c r="P290" s="13">
        <v>42.0</v>
      </c>
      <c r="Q290" s="132"/>
    </row>
    <row r="291" ht="15.75" customHeight="1">
      <c r="A291" s="10"/>
      <c r="B291" s="135">
        <v>9.0</v>
      </c>
      <c r="D291" s="13">
        <v>2.0</v>
      </c>
      <c r="E291" s="28">
        <v>0.07083333333333333</v>
      </c>
      <c r="F291" s="28">
        <v>0.11458333333333333</v>
      </c>
      <c r="G291" s="86" t="s">
        <v>6923</v>
      </c>
      <c r="H291" s="10" t="s">
        <v>6924</v>
      </c>
      <c r="I291" s="13">
        <v>111.0</v>
      </c>
      <c r="J291" s="13">
        <v>36.0</v>
      </c>
      <c r="K291" s="13">
        <v>48.0</v>
      </c>
      <c r="L291" s="13">
        <v>2.0</v>
      </c>
      <c r="M291" s="13">
        <v>5.0</v>
      </c>
      <c r="N291" s="13">
        <v>24.0</v>
      </c>
      <c r="O291" s="13">
        <v>33.0</v>
      </c>
      <c r="P291" s="13">
        <v>47.0</v>
      </c>
      <c r="Q291" s="132"/>
    </row>
    <row r="292" ht="15.75" customHeight="1">
      <c r="A292" s="10"/>
      <c r="B292" s="135">
        <v>10.0</v>
      </c>
      <c r="D292" s="13">
        <v>2.0</v>
      </c>
      <c r="E292" s="28">
        <v>0.11805555555555555</v>
      </c>
      <c r="F292" s="28">
        <v>0.16111111111111112</v>
      </c>
      <c r="G292" s="86" t="s">
        <v>6925</v>
      </c>
      <c r="H292" s="10" t="s">
        <v>6926</v>
      </c>
      <c r="I292" s="13">
        <v>115.0</v>
      </c>
      <c r="J292" s="13">
        <v>51.0</v>
      </c>
      <c r="K292" s="13">
        <v>36.0</v>
      </c>
      <c r="L292" s="13">
        <v>0.0</v>
      </c>
      <c r="M292" s="13">
        <v>3.0</v>
      </c>
      <c r="N292" s="13">
        <v>27.0</v>
      </c>
      <c r="O292" s="13">
        <v>31.0</v>
      </c>
      <c r="P292" s="13">
        <v>55.0</v>
      </c>
      <c r="Q292" s="132"/>
    </row>
    <row r="293" ht="15.75" customHeight="1">
      <c r="A293" s="10" t="s">
        <v>6914</v>
      </c>
      <c r="B293" s="135">
        <v>11.0</v>
      </c>
      <c r="D293" s="13">
        <v>2.0</v>
      </c>
      <c r="E293" s="28">
        <v>0.16458333333333333</v>
      </c>
      <c r="F293" s="28">
        <v>0.20694444444444443</v>
      </c>
      <c r="G293" s="86" t="s">
        <v>6927</v>
      </c>
      <c r="H293" s="10" t="s">
        <v>6928</v>
      </c>
      <c r="I293" s="13">
        <v>95.0</v>
      </c>
      <c r="J293" s="13">
        <v>34.0</v>
      </c>
      <c r="K293" s="13">
        <v>31.0</v>
      </c>
      <c r="L293" s="13">
        <v>3.0</v>
      </c>
      <c r="M293" s="13">
        <v>1.0</v>
      </c>
      <c r="N293" s="13">
        <v>27.0</v>
      </c>
      <c r="O293" s="13">
        <v>30.0</v>
      </c>
      <c r="P293" s="13">
        <v>35.0</v>
      </c>
      <c r="Q293" s="132"/>
    </row>
    <row r="294" ht="15.75" customHeight="1">
      <c r="A294" s="10"/>
      <c r="B294" s="135"/>
      <c r="G294" s="10"/>
      <c r="H294" s="10"/>
      <c r="Q294" s="132"/>
    </row>
    <row r="295" ht="15.75" customHeight="1">
      <c r="A295" s="24">
        <v>44258.0</v>
      </c>
      <c r="B295" s="135">
        <v>9.0</v>
      </c>
      <c r="D295" s="13">
        <v>1.0</v>
      </c>
      <c r="E295" s="28">
        <v>0.4965277777777778</v>
      </c>
      <c r="F295" s="28">
        <v>0.5402777777777777</v>
      </c>
      <c r="G295" s="86" t="s">
        <v>6929</v>
      </c>
      <c r="H295" s="10" t="s">
        <v>6930</v>
      </c>
      <c r="I295" s="13">
        <v>105.0</v>
      </c>
      <c r="J295" s="13">
        <v>40.0</v>
      </c>
      <c r="K295" s="13">
        <v>44.0</v>
      </c>
      <c r="L295" s="13">
        <v>2.0</v>
      </c>
      <c r="M295" s="13">
        <v>12.0</v>
      </c>
      <c r="N295" s="13">
        <v>19.0</v>
      </c>
      <c r="O295" s="13">
        <v>33.0</v>
      </c>
      <c r="P295" s="13">
        <v>44.0</v>
      </c>
      <c r="Q295" s="132"/>
    </row>
    <row r="296" ht="15.75" customHeight="1">
      <c r="A296" s="10" t="s">
        <v>6931</v>
      </c>
      <c r="B296" s="135">
        <v>10.0</v>
      </c>
      <c r="D296" s="13">
        <v>1.0</v>
      </c>
      <c r="E296" s="28">
        <v>0.043055555555555555</v>
      </c>
      <c r="F296" s="28">
        <v>0.08541666666666667</v>
      </c>
      <c r="G296" s="86" t="s">
        <v>6932</v>
      </c>
      <c r="H296" s="10" t="s">
        <v>6933</v>
      </c>
      <c r="I296" s="13">
        <v>90.0</v>
      </c>
      <c r="J296" s="13">
        <v>33.0</v>
      </c>
      <c r="K296" s="13">
        <v>22.0</v>
      </c>
      <c r="L296" s="13">
        <v>2.0</v>
      </c>
      <c r="M296" s="13">
        <v>4.0</v>
      </c>
      <c r="N296" s="13">
        <v>32.0</v>
      </c>
      <c r="O296" s="13">
        <v>27.0</v>
      </c>
      <c r="P296" s="13">
        <v>25.0</v>
      </c>
      <c r="Q296" s="132"/>
    </row>
    <row r="297" ht="15.75" customHeight="1">
      <c r="A297" s="10"/>
      <c r="B297" s="135">
        <v>11.0</v>
      </c>
      <c r="D297" s="13">
        <v>1.0</v>
      </c>
      <c r="E297" s="28">
        <v>0.08958333333333333</v>
      </c>
      <c r="F297" s="28">
        <v>0.13125</v>
      </c>
      <c r="G297" s="86" t="s">
        <v>6934</v>
      </c>
      <c r="H297" s="10" t="s">
        <v>6935</v>
      </c>
      <c r="I297" s="13">
        <v>76.0</v>
      </c>
      <c r="J297" s="13">
        <v>13.0</v>
      </c>
      <c r="K297" s="13">
        <v>18.0</v>
      </c>
      <c r="L297" s="13">
        <v>2.0</v>
      </c>
      <c r="M297" s="13">
        <v>3.0</v>
      </c>
      <c r="N297" s="13">
        <v>41.0</v>
      </c>
      <c r="O297" s="13">
        <v>15.0</v>
      </c>
      <c r="P297" s="13">
        <v>15.0</v>
      </c>
      <c r="Q297" s="132"/>
    </row>
    <row r="298" ht="15.75" customHeight="1">
      <c r="A298" s="10"/>
      <c r="B298" s="135">
        <v>9.0</v>
      </c>
      <c r="D298" s="13">
        <v>2.0</v>
      </c>
      <c r="E298" s="28">
        <v>0.1375</v>
      </c>
      <c r="F298" s="28">
        <v>0.17916666666666667</v>
      </c>
      <c r="G298" s="86" t="s">
        <v>6936</v>
      </c>
      <c r="H298" s="10" t="s">
        <v>6937</v>
      </c>
      <c r="I298" s="13">
        <v>91.0</v>
      </c>
      <c r="J298" s="13">
        <v>21.0</v>
      </c>
      <c r="K298" s="13">
        <v>29.0</v>
      </c>
      <c r="L298" s="13">
        <v>1.0</v>
      </c>
      <c r="M298" s="13">
        <v>2.0</v>
      </c>
      <c r="N298" s="13">
        <v>39.0</v>
      </c>
      <c r="O298" s="13">
        <v>30.0</v>
      </c>
      <c r="P298" s="13">
        <v>19.0</v>
      </c>
      <c r="Q298" s="132"/>
    </row>
    <row r="299" ht="15.75" customHeight="1">
      <c r="A299" s="10"/>
      <c r="B299" s="135">
        <v>10.0</v>
      </c>
      <c r="D299" s="13">
        <v>2.0</v>
      </c>
      <c r="E299" s="28">
        <v>0.18333333333333332</v>
      </c>
      <c r="F299" s="28">
        <v>0.225</v>
      </c>
      <c r="G299" s="86" t="s">
        <v>6938</v>
      </c>
      <c r="H299" s="10" t="s">
        <v>6939</v>
      </c>
      <c r="I299" s="13">
        <v>109.0</v>
      </c>
      <c r="J299" s="13">
        <v>44.0</v>
      </c>
      <c r="K299" s="13">
        <v>52.0</v>
      </c>
      <c r="L299" s="13">
        <v>3.0</v>
      </c>
      <c r="M299" s="13">
        <v>5.0</v>
      </c>
      <c r="N299" s="13">
        <v>10.0</v>
      </c>
      <c r="O299" s="13">
        <v>45.0</v>
      </c>
      <c r="P299" s="13">
        <v>46.0</v>
      </c>
      <c r="Q299" s="132"/>
    </row>
    <row r="300" ht="15.75" customHeight="1">
      <c r="A300" s="10"/>
      <c r="B300" s="135">
        <v>11.0</v>
      </c>
      <c r="D300" s="13">
        <v>2.0</v>
      </c>
      <c r="E300" s="28">
        <v>0.23055555555555557</v>
      </c>
      <c r="F300" s="28">
        <v>0.27152777777777776</v>
      </c>
      <c r="G300" s="86" t="s">
        <v>6940</v>
      </c>
      <c r="H300" s="10" t="s">
        <v>6941</v>
      </c>
      <c r="I300" s="13">
        <v>71.0</v>
      </c>
      <c r="J300" s="13">
        <v>21.0</v>
      </c>
      <c r="K300" s="13">
        <v>16.0</v>
      </c>
      <c r="L300" s="13">
        <v>2.0</v>
      </c>
      <c r="M300" s="13">
        <v>5.0</v>
      </c>
      <c r="N300" s="13">
        <v>31.0</v>
      </c>
      <c r="O300" s="13">
        <v>1.0</v>
      </c>
      <c r="P300" s="13">
        <v>31.0</v>
      </c>
      <c r="Q300" s="132"/>
    </row>
    <row r="301" ht="15.75" customHeight="1">
      <c r="A301" s="10"/>
      <c r="B301" s="135"/>
      <c r="G301" s="10"/>
      <c r="H301" s="10"/>
      <c r="Q301" s="132"/>
    </row>
    <row r="302" ht="15.75" customHeight="1">
      <c r="A302" s="24">
        <v>44259.0</v>
      </c>
      <c r="B302" s="135">
        <v>9.0</v>
      </c>
      <c r="D302" s="13">
        <v>1.0</v>
      </c>
      <c r="E302" s="28">
        <v>0.4409722222222222</v>
      </c>
      <c r="F302" s="28">
        <v>0.4847222222222222</v>
      </c>
      <c r="G302" s="86" t="s">
        <v>6942</v>
      </c>
      <c r="H302" s="10" t="s">
        <v>6943</v>
      </c>
      <c r="I302" s="13">
        <v>98.0</v>
      </c>
      <c r="J302" s="13">
        <v>43.0</v>
      </c>
      <c r="K302" s="13">
        <v>37.0</v>
      </c>
      <c r="L302" s="13">
        <v>4.0</v>
      </c>
      <c r="M302" s="13">
        <v>12.0</v>
      </c>
      <c r="N302" s="13">
        <v>14.0</v>
      </c>
      <c r="O302" s="13">
        <v>26.0</v>
      </c>
      <c r="P302" s="13">
        <v>42.0</v>
      </c>
      <c r="Q302" s="132"/>
    </row>
    <row r="303" ht="15.75" customHeight="1">
      <c r="A303" s="10"/>
      <c r="B303" s="135">
        <v>10.0</v>
      </c>
      <c r="D303" s="13">
        <v>1.0</v>
      </c>
      <c r="E303" s="28">
        <v>0.48819444444444443</v>
      </c>
      <c r="F303" s="28">
        <v>0.5298611111111111</v>
      </c>
      <c r="G303" s="86" t="s">
        <v>6944</v>
      </c>
      <c r="H303" s="10" t="s">
        <v>6945</v>
      </c>
      <c r="I303" s="13">
        <v>102.0</v>
      </c>
      <c r="J303" s="13">
        <v>50.0</v>
      </c>
      <c r="K303" s="13">
        <v>37.0</v>
      </c>
      <c r="L303" s="13">
        <v>3.0</v>
      </c>
      <c r="M303" s="13">
        <v>8.0</v>
      </c>
      <c r="N303" s="13">
        <v>12.0</v>
      </c>
      <c r="O303" s="13">
        <v>45.0</v>
      </c>
      <c r="P303" s="13">
        <v>34.0</v>
      </c>
      <c r="Q303" s="132"/>
    </row>
    <row r="304" ht="15.75" customHeight="1">
      <c r="A304" s="10" t="s">
        <v>6946</v>
      </c>
      <c r="B304" s="135">
        <v>11.0</v>
      </c>
      <c r="D304" s="13">
        <v>1.0</v>
      </c>
      <c r="E304" s="28">
        <v>0.5361111111111111</v>
      </c>
      <c r="F304" s="28">
        <v>0.07847222222222222</v>
      </c>
      <c r="G304" s="86" t="s">
        <v>6947</v>
      </c>
      <c r="H304" s="10" t="s">
        <v>6948</v>
      </c>
      <c r="I304" s="13">
        <v>87.0</v>
      </c>
      <c r="J304" s="13">
        <v>19.0</v>
      </c>
      <c r="K304" s="13">
        <v>49.0</v>
      </c>
      <c r="L304" s="13">
        <v>0.0</v>
      </c>
      <c r="M304" s="13">
        <v>8.0</v>
      </c>
      <c r="N304" s="13">
        <v>19.0</v>
      </c>
      <c r="O304" s="13">
        <v>24.0</v>
      </c>
      <c r="P304" s="13">
        <v>37.0</v>
      </c>
      <c r="Q304" s="132"/>
    </row>
    <row r="305" ht="15.75" customHeight="1">
      <c r="A305" s="10"/>
      <c r="B305" s="135">
        <v>9.0</v>
      </c>
      <c r="D305" s="13">
        <v>2.0</v>
      </c>
      <c r="E305" s="28">
        <v>0.09097222222222222</v>
      </c>
      <c r="F305" s="28">
        <v>0.13333333333333333</v>
      </c>
      <c r="G305" s="86" t="s">
        <v>6949</v>
      </c>
      <c r="H305" s="10" t="s">
        <v>6950</v>
      </c>
      <c r="I305" s="13">
        <v>100.0</v>
      </c>
      <c r="J305" s="13">
        <v>37.0</v>
      </c>
      <c r="K305" s="13">
        <v>42.0</v>
      </c>
      <c r="L305" s="13">
        <v>3.0</v>
      </c>
      <c r="M305" s="13">
        <v>4.0</v>
      </c>
      <c r="N305" s="13">
        <v>17.0</v>
      </c>
      <c r="O305" s="13">
        <v>40.0</v>
      </c>
      <c r="P305" s="13">
        <v>36.0</v>
      </c>
      <c r="Q305" s="132"/>
    </row>
    <row r="306" ht="15.75" customHeight="1">
      <c r="A306" s="10"/>
      <c r="B306" s="135">
        <v>10.0</v>
      </c>
      <c r="D306" s="13">
        <v>2.0</v>
      </c>
      <c r="E306" s="28">
        <v>0.1375</v>
      </c>
      <c r="F306" s="28">
        <v>0.18333333333333332</v>
      </c>
      <c r="G306" s="86" t="s">
        <v>6951</v>
      </c>
      <c r="H306" s="10" t="s">
        <v>6952</v>
      </c>
      <c r="I306" s="13">
        <v>107.0</v>
      </c>
      <c r="J306" s="13">
        <v>36.0</v>
      </c>
      <c r="K306" s="13">
        <v>44.0</v>
      </c>
      <c r="L306" s="13">
        <v>3.0</v>
      </c>
      <c r="M306" s="13">
        <v>6.0</v>
      </c>
      <c r="N306" s="13">
        <v>23.0</v>
      </c>
      <c r="O306" s="13">
        <v>43.0</v>
      </c>
      <c r="P306" s="13">
        <v>37.0</v>
      </c>
      <c r="Q306" s="132"/>
    </row>
    <row r="307" ht="15.75" customHeight="1">
      <c r="A307" s="10" t="s">
        <v>6946</v>
      </c>
      <c r="B307" s="135">
        <v>11.0</v>
      </c>
      <c r="D307" s="13">
        <v>2.0</v>
      </c>
      <c r="E307" s="28">
        <v>0.1875</v>
      </c>
      <c r="F307" s="28">
        <v>0.22916666666666666</v>
      </c>
      <c r="G307" s="86" t="s">
        <v>6953</v>
      </c>
      <c r="H307" s="10" t="s">
        <v>6954</v>
      </c>
      <c r="I307" s="13">
        <v>68.0</v>
      </c>
      <c r="J307" s="13">
        <v>20.0</v>
      </c>
      <c r="K307" s="13">
        <v>29.0</v>
      </c>
      <c r="L307" s="13">
        <v>4.0</v>
      </c>
      <c r="M307" s="13">
        <v>8.0</v>
      </c>
      <c r="N307" s="13">
        <v>14.0</v>
      </c>
      <c r="O307" s="13">
        <v>8.0</v>
      </c>
      <c r="P307" s="13">
        <v>35.0</v>
      </c>
      <c r="Q307" s="132"/>
    </row>
    <row r="308" ht="15.75" customHeight="1">
      <c r="A308" s="10"/>
      <c r="B308" s="135"/>
      <c r="G308" s="10"/>
      <c r="H308" s="10"/>
      <c r="Q308" s="132"/>
    </row>
    <row r="309" ht="15.75" customHeight="1">
      <c r="A309" s="24">
        <v>44260.0</v>
      </c>
      <c r="B309" s="135">
        <v>9.0</v>
      </c>
      <c r="D309" s="13">
        <v>1.0</v>
      </c>
      <c r="E309" s="28">
        <v>0.4361111111111111</v>
      </c>
      <c r="F309" s="28">
        <v>0.4777777777777778</v>
      </c>
      <c r="G309" s="170" t="s">
        <v>6955</v>
      </c>
      <c r="H309" s="10" t="s">
        <v>6956</v>
      </c>
      <c r="I309" s="13">
        <v>90.0</v>
      </c>
      <c r="J309" s="13">
        <v>43.0</v>
      </c>
      <c r="K309" s="13">
        <v>39.0</v>
      </c>
      <c r="L309" s="13">
        <v>1.0</v>
      </c>
      <c r="M309" s="13">
        <v>7.0</v>
      </c>
      <c r="N309" s="13">
        <v>7.0</v>
      </c>
      <c r="O309" s="13">
        <v>45.0</v>
      </c>
      <c r="P309" s="13">
        <v>30.0</v>
      </c>
      <c r="Q309" s="132"/>
    </row>
    <row r="310" ht="15.75" customHeight="1">
      <c r="A310" s="10" t="s">
        <v>6957</v>
      </c>
      <c r="B310" s="135">
        <v>10.0</v>
      </c>
      <c r="D310" s="13">
        <v>1.0</v>
      </c>
      <c r="E310" s="28">
        <v>0.48125</v>
      </c>
      <c r="F310" s="28">
        <v>0.5256944444444445</v>
      </c>
      <c r="G310" s="170" t="s">
        <v>6958</v>
      </c>
      <c r="H310" s="10" t="s">
        <v>6959</v>
      </c>
      <c r="I310" s="13">
        <v>88.0</v>
      </c>
      <c r="J310" s="13">
        <v>37.0</v>
      </c>
      <c r="K310" s="13">
        <v>30.0</v>
      </c>
      <c r="L310" s="13">
        <v>2.0</v>
      </c>
      <c r="M310" s="13">
        <v>6.0</v>
      </c>
      <c r="N310" s="13">
        <v>18.0</v>
      </c>
      <c r="O310" s="13">
        <v>42.0</v>
      </c>
      <c r="P310" s="13">
        <v>21.0</v>
      </c>
      <c r="Q310" s="132"/>
    </row>
    <row r="311" ht="15.75" customHeight="1">
      <c r="A311" s="10" t="s">
        <v>6960</v>
      </c>
      <c r="B311" s="135">
        <v>11.0</v>
      </c>
      <c r="D311" s="13">
        <v>1.0</v>
      </c>
      <c r="E311" s="28">
        <v>0.5298611111111111</v>
      </c>
      <c r="F311" s="28">
        <v>0.07152777777777777</v>
      </c>
      <c r="G311" s="86" t="s">
        <v>6961</v>
      </c>
      <c r="H311" s="10" t="s">
        <v>6962</v>
      </c>
      <c r="I311" s="13">
        <v>80.0</v>
      </c>
      <c r="J311" s="13">
        <v>28.0</v>
      </c>
      <c r="K311" s="13">
        <v>25.0</v>
      </c>
      <c r="L311" s="13">
        <v>13.0</v>
      </c>
      <c r="M311" s="13">
        <v>10.0</v>
      </c>
      <c r="N311" s="13">
        <v>14.0</v>
      </c>
      <c r="O311" s="13">
        <v>16.0</v>
      </c>
      <c r="P311" s="13">
        <v>28.0</v>
      </c>
      <c r="Q311" s="132"/>
    </row>
    <row r="312" ht="15.75" customHeight="1">
      <c r="A312" s="10"/>
      <c r="B312" s="135">
        <v>9.0</v>
      </c>
      <c r="D312" s="13">
        <v>2.0</v>
      </c>
      <c r="E312" s="28">
        <v>0.08680555555555555</v>
      </c>
      <c r="F312" s="28">
        <v>0.13402777777777777</v>
      </c>
      <c r="G312" s="170" t="s">
        <v>6963</v>
      </c>
      <c r="H312" s="10" t="s">
        <v>6964</v>
      </c>
      <c r="I312" s="13">
        <v>102.0</v>
      </c>
      <c r="J312" s="13">
        <v>35.0</v>
      </c>
      <c r="K312" s="13">
        <v>37.0</v>
      </c>
      <c r="L312" s="13">
        <v>2.0</v>
      </c>
      <c r="M312" s="13">
        <v>7.0</v>
      </c>
      <c r="N312" s="13">
        <v>27.0</v>
      </c>
      <c r="O312" s="13">
        <v>38.0</v>
      </c>
      <c r="P312" s="13">
        <v>33.0</v>
      </c>
      <c r="Q312" s="132"/>
    </row>
    <row r="313" ht="15.75" customHeight="1">
      <c r="A313" s="10"/>
      <c r="B313" s="135">
        <v>10.0</v>
      </c>
      <c r="D313" s="13">
        <v>2.0</v>
      </c>
      <c r="E313" s="28">
        <v>0.1361111111111111</v>
      </c>
      <c r="F313" s="28">
        <v>0.1798611111111111</v>
      </c>
      <c r="G313" s="170" t="s">
        <v>6965</v>
      </c>
      <c r="H313" s="10" t="s">
        <v>6966</v>
      </c>
      <c r="I313" s="13">
        <v>83.0</v>
      </c>
      <c r="J313" s="13">
        <v>25.0</v>
      </c>
      <c r="K313" s="13">
        <v>24.0</v>
      </c>
      <c r="L313" s="13">
        <v>5.0</v>
      </c>
      <c r="M313" s="13">
        <v>7.0</v>
      </c>
      <c r="N313" s="13">
        <v>29.0</v>
      </c>
      <c r="O313" s="13">
        <v>30.0</v>
      </c>
      <c r="P313" s="13">
        <v>15.0</v>
      </c>
      <c r="Q313" s="132"/>
    </row>
    <row r="314" ht="15.75" customHeight="1">
      <c r="A314" s="10"/>
      <c r="B314" s="135">
        <v>11.0</v>
      </c>
      <c r="D314" s="13">
        <v>2.0</v>
      </c>
      <c r="E314" s="28">
        <v>0.18472222222222223</v>
      </c>
      <c r="F314" s="28">
        <v>0.2263888888888889</v>
      </c>
      <c r="G314" s="86" t="s">
        <v>6967</v>
      </c>
      <c r="H314" s="10" t="s">
        <v>6968</v>
      </c>
      <c r="I314" s="13">
        <v>83.0</v>
      </c>
      <c r="J314" s="13">
        <v>19.0</v>
      </c>
      <c r="K314" s="13">
        <v>30.0</v>
      </c>
      <c r="L314" s="13">
        <v>3.0</v>
      </c>
      <c r="M314" s="13">
        <v>5.0</v>
      </c>
      <c r="N314" s="13">
        <v>30.0</v>
      </c>
      <c r="O314" s="13">
        <v>16.0</v>
      </c>
      <c r="P314" s="13">
        <v>29.0</v>
      </c>
      <c r="Q314" s="132"/>
    </row>
    <row r="315" ht="15.75" customHeight="1">
      <c r="A315" s="10"/>
      <c r="B315" s="135"/>
      <c r="G315" s="10"/>
      <c r="H315" s="10"/>
      <c r="Q315" s="132"/>
    </row>
    <row r="316" ht="15.75" customHeight="1">
      <c r="A316" s="24">
        <v>44261.0</v>
      </c>
      <c r="B316" s="135">
        <v>9.0</v>
      </c>
      <c r="D316" s="13">
        <v>1.0</v>
      </c>
      <c r="E316" s="28">
        <v>0.46458333333333335</v>
      </c>
      <c r="F316" s="28">
        <v>0.5069444444444444</v>
      </c>
      <c r="G316" s="173" t="s">
        <v>6969</v>
      </c>
      <c r="H316" s="10" t="s">
        <v>6970</v>
      </c>
      <c r="I316" s="13">
        <v>104.0</v>
      </c>
      <c r="J316" s="13">
        <v>35.0</v>
      </c>
      <c r="K316" s="13">
        <v>57.0</v>
      </c>
      <c r="L316" s="13">
        <v>3.0</v>
      </c>
      <c r="M316" s="13">
        <v>7.0</v>
      </c>
      <c r="N316" s="13">
        <v>9.0</v>
      </c>
      <c r="O316" s="13">
        <v>38.0</v>
      </c>
      <c r="P316" s="13">
        <v>48.0</v>
      </c>
      <c r="Q316" s="132"/>
    </row>
    <row r="317" ht="15.75" customHeight="1">
      <c r="A317" s="10"/>
      <c r="B317" s="135">
        <v>10.0</v>
      </c>
      <c r="D317" s="13">
        <v>1.0</v>
      </c>
      <c r="E317" s="28">
        <v>0.5104166666666666</v>
      </c>
      <c r="F317" s="28">
        <v>0.052083333333333336</v>
      </c>
      <c r="G317" s="173" t="s">
        <v>6971</v>
      </c>
      <c r="H317" s="10" t="s">
        <v>6972</v>
      </c>
      <c r="I317" s="13">
        <v>95.0</v>
      </c>
      <c r="J317" s="13">
        <v>26.0</v>
      </c>
      <c r="K317" s="13">
        <v>35.0</v>
      </c>
      <c r="L317" s="13">
        <v>6.0</v>
      </c>
      <c r="M317" s="13">
        <v>6.0</v>
      </c>
      <c r="N317" s="13">
        <v>27.0</v>
      </c>
      <c r="O317" s="13">
        <v>31.0</v>
      </c>
      <c r="P317" s="13">
        <v>26.0</v>
      </c>
      <c r="Q317" s="132"/>
    </row>
    <row r="318" ht="15.75" customHeight="1">
      <c r="A318" s="10"/>
      <c r="B318" s="135">
        <v>11.0</v>
      </c>
      <c r="D318" s="13">
        <v>1.0</v>
      </c>
      <c r="E318" s="28">
        <v>0.05486111111111111</v>
      </c>
      <c r="F318" s="28">
        <v>0.09791666666666667</v>
      </c>
      <c r="G318" s="86" t="s">
        <v>6973</v>
      </c>
      <c r="H318" s="10" t="s">
        <v>6974</v>
      </c>
      <c r="I318" s="13">
        <v>93.0</v>
      </c>
      <c r="J318" s="13">
        <v>41.0</v>
      </c>
      <c r="K318" s="13">
        <v>41.0</v>
      </c>
      <c r="L318" s="13">
        <v>0.0</v>
      </c>
      <c r="M318" s="13">
        <v>12.0</v>
      </c>
      <c r="N318" s="13">
        <v>10.0</v>
      </c>
      <c r="O318" s="13">
        <v>26.0</v>
      </c>
      <c r="P318" s="13">
        <v>45.0</v>
      </c>
      <c r="Q318" s="132"/>
    </row>
    <row r="319" ht="15.75" customHeight="1">
      <c r="A319" s="10"/>
      <c r="B319" s="135">
        <v>9.0</v>
      </c>
      <c r="D319" s="13">
        <v>2.0</v>
      </c>
      <c r="E319" s="28">
        <v>0.10555555555555556</v>
      </c>
      <c r="F319" s="28">
        <v>0.14722222222222223</v>
      </c>
      <c r="G319" s="173" t="s">
        <v>6975</v>
      </c>
      <c r="H319" s="10" t="s">
        <v>6976</v>
      </c>
      <c r="I319" s="13">
        <v>108.0</v>
      </c>
      <c r="J319" s="13">
        <v>41.0</v>
      </c>
      <c r="K319" s="13">
        <v>52.0</v>
      </c>
      <c r="L319" s="13">
        <v>1.0</v>
      </c>
      <c r="M319" s="13">
        <v>6.0</v>
      </c>
      <c r="N319" s="13">
        <v>14.0</v>
      </c>
      <c r="O319" s="13">
        <v>45.0</v>
      </c>
      <c r="P319" s="13">
        <v>45.0</v>
      </c>
      <c r="Q319" s="132"/>
    </row>
    <row r="320" ht="15.75" customHeight="1">
      <c r="A320" s="10"/>
      <c r="B320" s="135">
        <v>10.0</v>
      </c>
      <c r="D320" s="13">
        <v>2.0</v>
      </c>
      <c r="E320" s="28">
        <v>0.15138888888888888</v>
      </c>
      <c r="F320" s="28">
        <v>0.19375</v>
      </c>
      <c r="G320" s="173" t="s">
        <v>6977</v>
      </c>
      <c r="H320" s="10" t="s">
        <v>6978</v>
      </c>
      <c r="I320" s="13">
        <v>95.0</v>
      </c>
      <c r="J320" s="13">
        <v>28.0</v>
      </c>
      <c r="K320" s="13">
        <v>16.0</v>
      </c>
      <c r="L320" s="13">
        <v>8.0</v>
      </c>
      <c r="M320" s="13">
        <v>3.0</v>
      </c>
      <c r="N320" s="13">
        <v>41.0</v>
      </c>
      <c r="O320" s="13">
        <v>16.0</v>
      </c>
      <c r="P320" s="13">
        <v>27.0</v>
      </c>
      <c r="Q320" s="132"/>
    </row>
    <row r="321" ht="15.75" customHeight="1">
      <c r="A321" s="10"/>
      <c r="B321" s="135">
        <v>11.0</v>
      </c>
      <c r="D321" s="13">
        <v>2.0</v>
      </c>
      <c r="E321" s="28">
        <v>0.19583333333333333</v>
      </c>
      <c r="F321" s="28">
        <v>0.2375</v>
      </c>
      <c r="G321" s="86" t="s">
        <v>6979</v>
      </c>
      <c r="H321" s="10" t="s">
        <v>6980</v>
      </c>
      <c r="I321" s="13">
        <v>94.0</v>
      </c>
      <c r="J321" s="13">
        <v>21.0</v>
      </c>
      <c r="K321" s="13">
        <v>43.0</v>
      </c>
      <c r="L321" s="13">
        <v>2.0</v>
      </c>
      <c r="M321" s="13">
        <v>6.0</v>
      </c>
      <c r="N321" s="13">
        <v>27.0</v>
      </c>
      <c r="O321" s="13">
        <v>15.0</v>
      </c>
      <c r="P321" s="13">
        <v>43.0</v>
      </c>
      <c r="Q321" s="132"/>
    </row>
    <row r="322" ht="15.75" customHeight="1">
      <c r="A322" s="10"/>
      <c r="B322" s="135"/>
      <c r="G322" s="10"/>
      <c r="H322" s="10"/>
      <c r="Q322" s="132"/>
    </row>
    <row r="323" ht="15.75" customHeight="1">
      <c r="A323" s="139">
        <v>44262.0</v>
      </c>
      <c r="B323" s="135">
        <v>9.0</v>
      </c>
      <c r="D323" s="13">
        <v>1.0</v>
      </c>
      <c r="E323" s="28">
        <v>0.5208333333333334</v>
      </c>
      <c r="F323" s="28">
        <v>0.0625</v>
      </c>
      <c r="G323" s="173" t="s">
        <v>6981</v>
      </c>
      <c r="H323" s="10" t="s">
        <v>6982</v>
      </c>
      <c r="I323" s="13">
        <v>101.0</v>
      </c>
      <c r="J323" s="13">
        <v>34.0</v>
      </c>
      <c r="K323" s="13">
        <v>43.0</v>
      </c>
      <c r="L323" s="13">
        <v>5.0</v>
      </c>
      <c r="M323" s="13">
        <v>5.0</v>
      </c>
      <c r="N323" s="13">
        <v>18.0</v>
      </c>
      <c r="O323" s="13">
        <v>36.0</v>
      </c>
      <c r="P323" s="13">
        <v>36.0</v>
      </c>
      <c r="Q323" s="132"/>
    </row>
    <row r="324" ht="15.75" customHeight="1">
      <c r="A324" s="10" t="s">
        <v>6731</v>
      </c>
      <c r="B324" s="135">
        <v>10.0</v>
      </c>
      <c r="D324" s="13">
        <v>1.0</v>
      </c>
      <c r="E324" s="28">
        <v>0.06527777777777778</v>
      </c>
      <c r="F324" s="28">
        <v>0.1</v>
      </c>
      <c r="G324" s="173" t="s">
        <v>6983</v>
      </c>
      <c r="H324" s="10" t="s">
        <v>6984</v>
      </c>
      <c r="I324" s="13">
        <v>98.0</v>
      </c>
      <c r="J324" s="13">
        <v>32.0</v>
      </c>
      <c r="K324" s="13">
        <v>35.0</v>
      </c>
      <c r="L324" s="13">
        <v>1.0</v>
      </c>
      <c r="M324" s="13">
        <v>2.0</v>
      </c>
      <c r="N324" s="13">
        <v>30.0</v>
      </c>
      <c r="O324" s="13">
        <v>41.0</v>
      </c>
      <c r="P324" s="13">
        <v>24.0</v>
      </c>
      <c r="Q324" s="132"/>
    </row>
    <row r="325" ht="15.75" customHeight="1">
      <c r="A325" s="10"/>
      <c r="B325" s="135">
        <v>9.0</v>
      </c>
      <c r="D325" s="13">
        <v>2.0</v>
      </c>
      <c r="E325" s="28">
        <v>0.11041666666666666</v>
      </c>
      <c r="F325" s="28">
        <v>0.15208333333333332</v>
      </c>
      <c r="G325" s="173" t="s">
        <v>6985</v>
      </c>
      <c r="H325" s="10" t="s">
        <v>6986</v>
      </c>
      <c r="I325" s="13">
        <v>104.0</v>
      </c>
      <c r="J325" s="13">
        <v>38.0</v>
      </c>
      <c r="K325" s="13">
        <v>45.0</v>
      </c>
      <c r="L325" s="13">
        <v>7.0</v>
      </c>
      <c r="M325" s="13">
        <v>3.0</v>
      </c>
      <c r="N325" s="13">
        <v>13.0</v>
      </c>
      <c r="O325" s="13">
        <v>45.0</v>
      </c>
      <c r="P325" s="13">
        <v>35.0</v>
      </c>
      <c r="Q325" s="132"/>
    </row>
    <row r="326" ht="15.75" customHeight="1">
      <c r="A326" s="10"/>
      <c r="B326" s="135">
        <v>10.0</v>
      </c>
      <c r="D326" s="13">
        <v>2.0</v>
      </c>
      <c r="E326" s="28">
        <v>0.15486111111111112</v>
      </c>
      <c r="F326" s="28">
        <v>0.19652777777777777</v>
      </c>
      <c r="G326" s="173" t="s">
        <v>6987</v>
      </c>
      <c r="H326" s="10" t="s">
        <v>6988</v>
      </c>
      <c r="I326" s="13">
        <v>94.0</v>
      </c>
      <c r="J326" s="13">
        <v>33.0</v>
      </c>
      <c r="K326" s="13">
        <v>13.0</v>
      </c>
      <c r="L326" s="13">
        <v>6.0</v>
      </c>
      <c r="M326" s="13">
        <v>3.0</v>
      </c>
      <c r="N326" s="13">
        <v>40.0</v>
      </c>
      <c r="O326" s="13">
        <v>15.0</v>
      </c>
      <c r="P326" s="13">
        <v>29.0</v>
      </c>
      <c r="Q326" s="132"/>
    </row>
    <row r="327" ht="15.75" customHeight="1">
      <c r="A327" s="10"/>
      <c r="B327" s="135"/>
      <c r="G327" s="10"/>
      <c r="H327" s="10"/>
      <c r="Q327" s="132"/>
    </row>
    <row r="328" ht="15.75" customHeight="1">
      <c r="A328" s="24">
        <v>44263.0</v>
      </c>
      <c r="B328" s="135">
        <v>9.0</v>
      </c>
      <c r="D328" s="13">
        <v>1.0</v>
      </c>
      <c r="E328" s="28">
        <v>0.44166666666666665</v>
      </c>
      <c r="F328" s="28">
        <v>0.4847222222222222</v>
      </c>
      <c r="G328" s="173" t="s">
        <v>6989</v>
      </c>
      <c r="H328" s="10" t="s">
        <v>6990</v>
      </c>
      <c r="I328" s="13">
        <v>106.0</v>
      </c>
      <c r="J328" s="13">
        <v>30.0</v>
      </c>
      <c r="K328" s="13">
        <v>55.0</v>
      </c>
      <c r="L328" s="13">
        <v>8.0</v>
      </c>
      <c r="M328" s="13">
        <v>6.0</v>
      </c>
      <c r="N328" s="13">
        <v>13.0</v>
      </c>
      <c r="O328" s="13">
        <v>45.0</v>
      </c>
      <c r="P328" s="13">
        <v>34.0</v>
      </c>
      <c r="Q328" s="132"/>
    </row>
    <row r="329" ht="15.75" customHeight="1">
      <c r="A329" s="10"/>
      <c r="B329" s="135">
        <v>10.0</v>
      </c>
      <c r="D329" s="13">
        <v>1.0</v>
      </c>
      <c r="E329" s="28">
        <v>0.48819444444444443</v>
      </c>
      <c r="F329" s="28">
        <v>0.53125</v>
      </c>
      <c r="G329" s="173" t="s">
        <v>6991</v>
      </c>
      <c r="H329" s="10" t="s">
        <v>6992</v>
      </c>
      <c r="I329" s="13">
        <v>104.0</v>
      </c>
      <c r="J329" s="13">
        <v>34.0</v>
      </c>
      <c r="K329" s="13">
        <v>40.0</v>
      </c>
      <c r="L329" s="13">
        <v>2.0</v>
      </c>
      <c r="M329" s="13">
        <v>3.0</v>
      </c>
      <c r="N329" s="13">
        <v>28.0</v>
      </c>
      <c r="O329" s="13">
        <v>44.0</v>
      </c>
      <c r="P329" s="13">
        <v>26.0</v>
      </c>
      <c r="Q329" s="132"/>
    </row>
    <row r="330" ht="15.75" customHeight="1">
      <c r="A330" s="10"/>
      <c r="B330" s="135">
        <v>9.0</v>
      </c>
      <c r="D330" s="13">
        <v>2.0</v>
      </c>
      <c r="E330" s="28">
        <v>0.5347222222222222</v>
      </c>
      <c r="F330" s="28">
        <v>0.07777777777777778</v>
      </c>
      <c r="G330" s="173" t="s">
        <v>6993</v>
      </c>
      <c r="H330" s="10" t="s">
        <v>6994</v>
      </c>
      <c r="I330" s="13">
        <v>103.0</v>
      </c>
      <c r="J330" s="13">
        <v>25.0</v>
      </c>
      <c r="K330" s="13">
        <v>49.0</v>
      </c>
      <c r="L330" s="13">
        <v>9.0</v>
      </c>
      <c r="M330" s="13">
        <v>6.0</v>
      </c>
      <c r="N330" s="13">
        <v>18.0</v>
      </c>
      <c r="O330" s="13">
        <v>30.0</v>
      </c>
      <c r="P330" s="13">
        <v>40.0</v>
      </c>
      <c r="Q330" s="132"/>
    </row>
    <row r="331" ht="15.75" customHeight="1">
      <c r="A331" s="10"/>
      <c r="B331" s="135">
        <v>10.0</v>
      </c>
      <c r="D331" s="13">
        <v>2.0</v>
      </c>
      <c r="E331" s="28">
        <v>0.08194444444444444</v>
      </c>
      <c r="F331" s="28">
        <v>0.12638888888888888</v>
      </c>
      <c r="G331" s="173" t="s">
        <v>6995</v>
      </c>
      <c r="H331" s="10" t="s">
        <v>6996</v>
      </c>
      <c r="I331" s="13">
        <v>110.0</v>
      </c>
      <c r="J331" s="13">
        <v>46.0</v>
      </c>
      <c r="K331" s="13">
        <v>40.0</v>
      </c>
      <c r="L331" s="13">
        <v>1.0</v>
      </c>
      <c r="M331" s="13">
        <v>6.0</v>
      </c>
      <c r="N331" s="13">
        <v>23.0</v>
      </c>
      <c r="O331" s="13">
        <v>45.0</v>
      </c>
      <c r="P331" s="13">
        <v>37.0</v>
      </c>
      <c r="Q331" s="132"/>
    </row>
    <row r="332" ht="15.75" customHeight="1">
      <c r="A332" s="10"/>
      <c r="B332" s="135">
        <v>9.0</v>
      </c>
      <c r="D332" s="13">
        <v>3.0</v>
      </c>
      <c r="E332" s="28">
        <v>0.13125</v>
      </c>
      <c r="F332" s="28">
        <v>0.17430555555555555</v>
      </c>
      <c r="G332" s="173" t="s">
        <v>6997</v>
      </c>
      <c r="H332" s="10" t="s">
        <v>6998</v>
      </c>
      <c r="I332" s="13">
        <v>101.0</v>
      </c>
      <c r="J332" s="13">
        <v>25.0</v>
      </c>
      <c r="K332" s="13">
        <v>48.0</v>
      </c>
      <c r="L332" s="13">
        <v>3.0</v>
      </c>
      <c r="M332" s="13">
        <v>6.0</v>
      </c>
      <c r="N332" s="13">
        <v>25.0</v>
      </c>
      <c r="O332" s="13">
        <v>29.0</v>
      </c>
      <c r="P332" s="13">
        <v>40.0</v>
      </c>
      <c r="Q332" s="132"/>
    </row>
    <row r="333" ht="15.75" customHeight="1">
      <c r="A333" s="10"/>
      <c r="B333" s="135">
        <v>10.0</v>
      </c>
      <c r="D333" s="13">
        <v>3.0</v>
      </c>
      <c r="E333" s="28">
        <v>0.17777777777777778</v>
      </c>
      <c r="F333" s="28">
        <v>0.20902777777777778</v>
      </c>
      <c r="G333" s="173" t="s">
        <v>6999</v>
      </c>
      <c r="H333" s="10" t="s">
        <v>7000</v>
      </c>
      <c r="I333" s="13">
        <v>83.0</v>
      </c>
      <c r="J333" s="13">
        <v>29.0</v>
      </c>
      <c r="K333" s="13">
        <v>41.0</v>
      </c>
      <c r="L333" s="13">
        <v>1.0</v>
      </c>
      <c r="M333" s="13">
        <v>2.0</v>
      </c>
      <c r="N333" s="13">
        <v>12.0</v>
      </c>
      <c r="O333" s="13">
        <v>36.0</v>
      </c>
      <c r="P333" s="13">
        <v>32.0</v>
      </c>
      <c r="Q333" s="132"/>
    </row>
    <row r="334" ht="15.75" customHeight="1">
      <c r="A334" s="10"/>
      <c r="B334" s="135"/>
      <c r="G334" s="10"/>
      <c r="H334" s="10"/>
      <c r="Q334" s="132"/>
    </row>
    <row r="335" ht="15.75" customHeight="1">
      <c r="A335" s="27">
        <v>44264.0</v>
      </c>
      <c r="B335" s="135">
        <v>9.0</v>
      </c>
      <c r="D335" s="13">
        <v>1.0</v>
      </c>
      <c r="E335" s="28">
        <v>0.45902777777777776</v>
      </c>
      <c r="F335" s="28">
        <v>0.5020833333333333</v>
      </c>
      <c r="G335" s="173" t="s">
        <v>7001</v>
      </c>
      <c r="H335" s="10" t="s">
        <v>7002</v>
      </c>
      <c r="I335" s="13">
        <v>96.0</v>
      </c>
      <c r="J335" s="13">
        <v>21.0</v>
      </c>
      <c r="K335" s="13">
        <v>52.0</v>
      </c>
      <c r="L335" s="13">
        <v>2.0</v>
      </c>
      <c r="M335" s="13">
        <v>4.0</v>
      </c>
      <c r="N335" s="13">
        <v>20.0</v>
      </c>
      <c r="O335" s="13">
        <v>44.0</v>
      </c>
      <c r="P335" s="13">
        <v>26.0</v>
      </c>
      <c r="Q335" s="132"/>
    </row>
    <row r="336" ht="15.75" customHeight="1">
      <c r="A336" s="10"/>
      <c r="B336" s="135">
        <v>10.0</v>
      </c>
      <c r="D336" s="13">
        <v>1.0</v>
      </c>
      <c r="E336" s="28">
        <v>0.50625</v>
      </c>
      <c r="F336" s="28">
        <v>0.049305555555555554</v>
      </c>
      <c r="G336" s="173" t="s">
        <v>7003</v>
      </c>
      <c r="H336" s="10" t="s">
        <v>7004</v>
      </c>
      <c r="I336" s="13">
        <v>95.0</v>
      </c>
      <c r="J336" s="13">
        <v>36.0</v>
      </c>
      <c r="K336" s="13">
        <v>32.0</v>
      </c>
      <c r="L336" s="13">
        <v>3.0</v>
      </c>
      <c r="M336" s="13">
        <v>2.0</v>
      </c>
      <c r="N336" s="13">
        <v>24.0</v>
      </c>
      <c r="O336" s="13">
        <v>30.0</v>
      </c>
      <c r="P336" s="13">
        <v>36.0</v>
      </c>
      <c r="Q336" s="132"/>
    </row>
    <row r="337" ht="15.75" customHeight="1">
      <c r="A337" s="10"/>
      <c r="B337" s="135">
        <v>9.0</v>
      </c>
      <c r="D337" s="13">
        <v>2.0</v>
      </c>
      <c r="E337" s="28">
        <v>0.052083333333333336</v>
      </c>
      <c r="F337" s="28">
        <v>0.08125</v>
      </c>
      <c r="G337" s="173" t="s">
        <v>7005</v>
      </c>
      <c r="H337" s="10" t="s">
        <v>7006</v>
      </c>
      <c r="I337" s="13">
        <v>66.0</v>
      </c>
      <c r="J337" s="13">
        <v>36.0</v>
      </c>
      <c r="K337" s="13">
        <v>12.0</v>
      </c>
      <c r="L337" s="13">
        <v>2.0</v>
      </c>
      <c r="M337" s="13">
        <v>5.0</v>
      </c>
      <c r="N337" s="13">
        <v>15.0</v>
      </c>
      <c r="O337" s="13">
        <v>27.0</v>
      </c>
      <c r="P337" s="13">
        <v>18.0</v>
      </c>
      <c r="Q337" s="132"/>
    </row>
    <row r="338" ht="15.75" customHeight="1">
      <c r="A338" s="10"/>
      <c r="B338" s="135">
        <v>10.0</v>
      </c>
      <c r="D338" s="13">
        <v>2.0</v>
      </c>
      <c r="E338" s="28">
        <v>0.08333333333333333</v>
      </c>
      <c r="F338" s="13">
        <v>3.0</v>
      </c>
      <c r="G338" s="173" t="s">
        <v>7007</v>
      </c>
      <c r="H338" s="10"/>
      <c r="I338" s="13">
        <v>98.0</v>
      </c>
      <c r="J338" s="13">
        <v>32.0</v>
      </c>
      <c r="K338" s="13">
        <v>33.0</v>
      </c>
      <c r="L338" s="13">
        <v>1.0</v>
      </c>
      <c r="M338" s="13">
        <v>2.0</v>
      </c>
      <c r="N338" s="13">
        <v>30.0</v>
      </c>
      <c r="O338" s="13">
        <v>30.0</v>
      </c>
      <c r="P338" s="13">
        <v>34.0</v>
      </c>
      <c r="Q338" s="132"/>
    </row>
    <row r="339" ht="15.75" customHeight="1">
      <c r="A339" s="10"/>
      <c r="B339" s="135">
        <v>9.0</v>
      </c>
      <c r="D339" s="28"/>
      <c r="E339" s="28">
        <v>0.1284722222222222</v>
      </c>
      <c r="F339" s="28">
        <v>0.15694444444444444</v>
      </c>
      <c r="G339" s="173" t="s">
        <v>7008</v>
      </c>
      <c r="H339" s="10" t="s">
        <v>7009</v>
      </c>
      <c r="I339" s="13">
        <v>70.0</v>
      </c>
      <c r="J339" s="13">
        <v>24.0</v>
      </c>
      <c r="K339" s="13">
        <v>29.0</v>
      </c>
      <c r="L339" s="13">
        <v>1.0</v>
      </c>
      <c r="M339" s="13">
        <v>2.0</v>
      </c>
      <c r="N339" s="13">
        <v>15.0</v>
      </c>
      <c r="O339" s="13">
        <v>26.0</v>
      </c>
      <c r="P339" s="13">
        <v>25.0</v>
      </c>
      <c r="Q339" s="132"/>
    </row>
    <row r="340" ht="15.75" customHeight="1">
      <c r="A340" s="10"/>
      <c r="B340" s="135"/>
      <c r="G340" s="10"/>
      <c r="H340" s="10"/>
      <c r="Q340" s="132"/>
    </row>
    <row r="341" ht="15.75" customHeight="1">
      <c r="A341" s="27">
        <v>44265.0</v>
      </c>
      <c r="B341" s="135">
        <v>9.0</v>
      </c>
      <c r="D341" s="13">
        <v>1.0</v>
      </c>
      <c r="E341" s="28">
        <v>0.5104166666666666</v>
      </c>
      <c r="F341" s="28">
        <v>0.05763888888888889</v>
      </c>
      <c r="G341" s="173" t="s">
        <v>7010</v>
      </c>
      <c r="H341" s="10" t="s">
        <v>7011</v>
      </c>
      <c r="I341" s="13">
        <v>107.0</v>
      </c>
      <c r="J341" s="13">
        <v>35.0</v>
      </c>
      <c r="K341" s="13">
        <v>38.0</v>
      </c>
      <c r="L341" s="13">
        <v>1.0</v>
      </c>
      <c r="M341" s="13">
        <v>2.0</v>
      </c>
      <c r="N341" s="13">
        <v>32.0</v>
      </c>
      <c r="O341" s="13">
        <v>31.0</v>
      </c>
      <c r="P341" s="13">
        <v>40.0</v>
      </c>
      <c r="Q341" s="132"/>
    </row>
    <row r="342" ht="15.75" customHeight="1">
      <c r="A342" s="10"/>
      <c r="B342" s="135">
        <v>10.0</v>
      </c>
      <c r="D342" s="13">
        <v>1.0</v>
      </c>
      <c r="E342" s="28">
        <v>0.059722222222222225</v>
      </c>
      <c r="F342" s="28">
        <v>0.11180555555555556</v>
      </c>
      <c r="G342" s="173" t="s">
        <v>7012</v>
      </c>
      <c r="H342" s="10" t="s">
        <v>7013</v>
      </c>
      <c r="I342" s="13">
        <v>118.0</v>
      </c>
      <c r="J342" s="13">
        <v>33.0</v>
      </c>
      <c r="K342" s="13">
        <v>44.0</v>
      </c>
      <c r="L342" s="13">
        <v>4.0</v>
      </c>
      <c r="M342" s="13">
        <v>4.0</v>
      </c>
      <c r="N342" s="13">
        <v>36.0</v>
      </c>
      <c r="O342" s="13">
        <v>45.0</v>
      </c>
      <c r="P342" s="13">
        <v>29.0</v>
      </c>
      <c r="Q342" s="132"/>
    </row>
    <row r="343" ht="15.75" customHeight="1">
      <c r="A343" s="10"/>
      <c r="B343" s="135">
        <v>9.0</v>
      </c>
      <c r="D343" s="13">
        <v>2.0</v>
      </c>
      <c r="E343" s="28">
        <v>0.11388888888888889</v>
      </c>
      <c r="F343" s="28">
        <v>0.15625</v>
      </c>
      <c r="G343" s="173" t="s">
        <v>7014</v>
      </c>
      <c r="H343" s="10" t="s">
        <v>7015</v>
      </c>
      <c r="I343" s="13">
        <v>96.0</v>
      </c>
      <c r="J343" s="13">
        <v>30.0</v>
      </c>
      <c r="K343" s="13">
        <v>36.0</v>
      </c>
      <c r="L343" s="13">
        <v>3.0</v>
      </c>
      <c r="M343" s="13">
        <v>2.0</v>
      </c>
      <c r="N343" s="13">
        <v>26.0</v>
      </c>
      <c r="O343" s="13">
        <v>31.0</v>
      </c>
      <c r="P343" s="13">
        <v>34.0</v>
      </c>
      <c r="Q343" s="132"/>
    </row>
    <row r="344" ht="15.75" customHeight="1">
      <c r="A344" s="10"/>
      <c r="B344" s="135">
        <v>10.0</v>
      </c>
      <c r="D344" s="13">
        <v>2.0</v>
      </c>
      <c r="E344" s="28">
        <v>0.1597222222222222</v>
      </c>
      <c r="G344" s="173" t="s">
        <v>7016</v>
      </c>
      <c r="H344" s="10" t="s">
        <v>7017</v>
      </c>
      <c r="Q344" s="132"/>
    </row>
    <row r="345" ht="15.75" customHeight="1">
      <c r="A345" s="10"/>
      <c r="B345" s="135"/>
      <c r="G345" s="10"/>
      <c r="H345" s="10"/>
      <c r="Q345" s="132"/>
    </row>
    <row r="346" ht="15.75" customHeight="1">
      <c r="A346" s="10"/>
      <c r="B346" s="135"/>
      <c r="G346" s="10"/>
      <c r="H346" s="10"/>
      <c r="Q346" s="132"/>
    </row>
    <row r="347" ht="15.75" customHeight="1">
      <c r="A347" s="10"/>
      <c r="B347" s="135"/>
      <c r="G347" s="10"/>
      <c r="H347" s="10"/>
      <c r="Q347" s="132"/>
    </row>
    <row r="348" ht="15.75" customHeight="1">
      <c r="A348" s="10"/>
      <c r="B348" s="135"/>
      <c r="G348" s="10"/>
      <c r="H348" s="10"/>
      <c r="Q348" s="132"/>
    </row>
    <row r="349" ht="15.75" customHeight="1">
      <c r="A349" s="10"/>
      <c r="B349" s="135"/>
      <c r="G349" s="10"/>
      <c r="H349" s="10"/>
      <c r="Q349" s="132"/>
    </row>
    <row r="350" ht="15.75" customHeight="1">
      <c r="A350" s="10"/>
      <c r="B350" s="135"/>
      <c r="G350" s="10"/>
      <c r="H350" s="10"/>
      <c r="Q350" s="132"/>
    </row>
    <row r="351" ht="15.75" customHeight="1">
      <c r="A351" s="10"/>
      <c r="B351" s="135"/>
      <c r="G351" s="10"/>
      <c r="H351" s="10"/>
      <c r="Q351" s="132"/>
    </row>
    <row r="352" ht="15.75" customHeight="1">
      <c r="A352" s="10"/>
      <c r="B352" s="135"/>
      <c r="G352" s="10"/>
      <c r="H352" s="10"/>
      <c r="Q352" s="132"/>
    </row>
    <row r="353" ht="15.75" customHeight="1">
      <c r="A353" s="10"/>
      <c r="B353" s="135"/>
      <c r="G353" s="10"/>
      <c r="H353" s="10"/>
      <c r="Q353" s="132"/>
    </row>
    <row r="354" ht="15.75" customHeight="1">
      <c r="A354" s="10"/>
      <c r="B354" s="135"/>
      <c r="G354" s="10"/>
      <c r="H354" s="10"/>
      <c r="Q354" s="132"/>
    </row>
    <row r="355" ht="15.75" customHeight="1">
      <c r="A355" s="10"/>
      <c r="B355" s="135"/>
      <c r="G355" s="10"/>
      <c r="H355" s="10"/>
      <c r="Q355" s="132"/>
    </row>
    <row r="356" ht="15.75" customHeight="1">
      <c r="A356" s="10"/>
      <c r="B356" s="135"/>
      <c r="G356" s="10"/>
      <c r="H356" s="10"/>
      <c r="Q356" s="132"/>
    </row>
    <row r="357" ht="15.75" customHeight="1">
      <c r="A357" s="10"/>
      <c r="B357" s="135"/>
      <c r="G357" s="10"/>
      <c r="H357" s="10"/>
      <c r="Q357" s="132"/>
    </row>
    <row r="358" ht="15.75" customHeight="1">
      <c r="A358" s="10"/>
      <c r="B358" s="135"/>
      <c r="G358" s="10"/>
      <c r="H358" s="10"/>
      <c r="Q358" s="132"/>
    </row>
    <row r="359" ht="15.75" customHeight="1">
      <c r="A359" s="10"/>
      <c r="B359" s="135"/>
      <c r="G359" s="10"/>
      <c r="H359" s="10"/>
      <c r="Q359" s="132"/>
    </row>
    <row r="360" ht="15.75" customHeight="1">
      <c r="A360" s="10"/>
      <c r="B360" s="135"/>
      <c r="G360" s="10"/>
      <c r="H360" s="10"/>
      <c r="Q360" s="132"/>
    </row>
    <row r="361" ht="15.75" customHeight="1">
      <c r="A361" s="10"/>
      <c r="B361" s="135"/>
      <c r="G361" s="10"/>
      <c r="H361" s="10"/>
      <c r="Q361" s="132"/>
    </row>
    <row r="362" ht="15.75" customHeight="1">
      <c r="A362" s="10"/>
      <c r="B362" s="135"/>
      <c r="G362" s="10"/>
      <c r="H362" s="10"/>
      <c r="Q362" s="132"/>
    </row>
    <row r="363" ht="15.75" customHeight="1">
      <c r="A363" s="10"/>
      <c r="B363" s="135"/>
      <c r="G363" s="10"/>
      <c r="H363" s="10"/>
      <c r="Q363" s="132"/>
    </row>
    <row r="364" ht="15.75" customHeight="1">
      <c r="A364" s="10"/>
      <c r="B364" s="135"/>
      <c r="G364" s="10"/>
      <c r="H364" s="10"/>
      <c r="Q364" s="132"/>
    </row>
    <row r="365" ht="15.75" customHeight="1">
      <c r="A365" s="10"/>
      <c r="B365" s="135"/>
      <c r="G365" s="10"/>
      <c r="H365" s="10"/>
      <c r="Q365" s="132"/>
    </row>
    <row r="366" ht="15.75" customHeight="1">
      <c r="A366" s="10"/>
      <c r="B366" s="135"/>
      <c r="G366" s="10"/>
      <c r="H366" s="10"/>
      <c r="Q366" s="132"/>
    </row>
    <row r="367" ht="15.75" customHeight="1">
      <c r="A367" s="10"/>
      <c r="B367" s="135"/>
      <c r="G367" s="10"/>
      <c r="H367" s="10"/>
      <c r="Q367" s="132"/>
    </row>
    <row r="368" ht="15.75" customHeight="1">
      <c r="A368" s="10"/>
      <c r="B368" s="135"/>
      <c r="G368" s="10"/>
      <c r="H368" s="10"/>
      <c r="Q368" s="132"/>
    </row>
    <row r="369" ht="15.75" customHeight="1">
      <c r="A369" s="10"/>
      <c r="B369" s="135"/>
      <c r="G369" s="10"/>
      <c r="H369" s="10"/>
      <c r="Q369" s="132"/>
    </row>
    <row r="370" ht="15.75" customHeight="1">
      <c r="A370" s="10"/>
      <c r="B370" s="135"/>
      <c r="G370" s="10"/>
      <c r="H370" s="10"/>
      <c r="Q370" s="132"/>
    </row>
    <row r="371" ht="15.75" customHeight="1">
      <c r="A371" s="10"/>
      <c r="B371" s="135"/>
      <c r="G371" s="10"/>
      <c r="H371" s="10"/>
      <c r="Q371" s="132"/>
    </row>
    <row r="372" ht="15.75" customHeight="1">
      <c r="A372" s="10"/>
      <c r="B372" s="135"/>
      <c r="G372" s="10"/>
      <c r="H372" s="10"/>
      <c r="Q372" s="132"/>
    </row>
    <row r="373" ht="15.75" customHeight="1">
      <c r="A373" s="10"/>
      <c r="B373" s="135"/>
      <c r="G373" s="10"/>
      <c r="H373" s="10"/>
      <c r="Q373" s="132"/>
    </row>
    <row r="374" ht="15.75" customHeight="1">
      <c r="A374" s="10"/>
      <c r="B374" s="135"/>
      <c r="G374" s="10"/>
      <c r="H374" s="10"/>
      <c r="Q374" s="132"/>
    </row>
    <row r="375" ht="15.75" customHeight="1">
      <c r="A375" s="10"/>
      <c r="B375" s="135"/>
      <c r="G375" s="10"/>
      <c r="H375" s="10"/>
      <c r="Q375" s="132"/>
    </row>
    <row r="376" ht="15.75" customHeight="1">
      <c r="A376" s="10"/>
      <c r="B376" s="135"/>
      <c r="G376" s="10"/>
      <c r="H376" s="10"/>
      <c r="Q376" s="132"/>
    </row>
    <row r="377" ht="15.75" customHeight="1">
      <c r="A377" s="10"/>
      <c r="B377" s="135"/>
      <c r="G377" s="10"/>
      <c r="H377" s="10"/>
      <c r="Q377" s="132"/>
    </row>
    <row r="378" ht="15.75" customHeight="1">
      <c r="A378" s="10"/>
      <c r="B378" s="135"/>
      <c r="G378" s="10"/>
      <c r="H378" s="10"/>
      <c r="Q378" s="132"/>
    </row>
    <row r="379" ht="15.75" customHeight="1">
      <c r="A379" s="10"/>
      <c r="B379" s="135"/>
      <c r="G379" s="10"/>
      <c r="H379" s="10"/>
      <c r="Q379" s="132"/>
    </row>
    <row r="380" ht="15.75" customHeight="1">
      <c r="A380" s="10"/>
      <c r="B380" s="135"/>
      <c r="G380" s="10"/>
      <c r="H380" s="10"/>
      <c r="Q380" s="132"/>
    </row>
    <row r="381" ht="15.75" customHeight="1">
      <c r="A381" s="10"/>
      <c r="B381" s="135"/>
      <c r="G381" s="10"/>
      <c r="H381" s="10"/>
      <c r="Q381" s="132"/>
    </row>
    <row r="382" ht="15.75" customHeight="1">
      <c r="A382" s="10"/>
      <c r="B382" s="135"/>
      <c r="G382" s="10"/>
      <c r="H382" s="10"/>
      <c r="Q382" s="132"/>
    </row>
    <row r="383" ht="15.75" customHeight="1">
      <c r="A383" s="10"/>
      <c r="B383" s="135"/>
      <c r="G383" s="10"/>
      <c r="H383" s="10"/>
      <c r="Q383" s="132"/>
    </row>
    <row r="384" ht="15.75" customHeight="1">
      <c r="A384" s="10"/>
      <c r="B384" s="135"/>
      <c r="G384" s="10"/>
      <c r="H384" s="10"/>
      <c r="Q384" s="132"/>
    </row>
    <row r="385" ht="15.75" customHeight="1">
      <c r="A385" s="10"/>
      <c r="B385" s="135"/>
      <c r="G385" s="10"/>
      <c r="H385" s="10"/>
      <c r="Q385" s="132"/>
    </row>
    <row r="386" ht="15.75" customHeight="1">
      <c r="A386" s="10"/>
      <c r="B386" s="135"/>
      <c r="G386" s="10"/>
      <c r="H386" s="10"/>
      <c r="Q386" s="132"/>
    </row>
    <row r="387" ht="15.75" customHeight="1">
      <c r="A387" s="10"/>
      <c r="B387" s="135"/>
      <c r="G387" s="10"/>
      <c r="H387" s="10"/>
      <c r="Q387" s="132"/>
    </row>
    <row r="388" ht="15.75" customHeight="1">
      <c r="A388" s="10"/>
      <c r="B388" s="135"/>
      <c r="G388" s="10"/>
      <c r="H388" s="10"/>
      <c r="Q388" s="132"/>
    </row>
    <row r="389" ht="15.75" customHeight="1">
      <c r="A389" s="10"/>
      <c r="B389" s="135"/>
      <c r="G389" s="10"/>
      <c r="H389" s="10"/>
      <c r="Q389" s="132"/>
    </row>
    <row r="390" ht="15.75" customHeight="1">
      <c r="A390" s="10"/>
      <c r="B390" s="135"/>
      <c r="G390" s="10"/>
      <c r="H390" s="10"/>
      <c r="Q390" s="132"/>
    </row>
    <row r="391" ht="15.75" customHeight="1">
      <c r="A391" s="10"/>
      <c r="B391" s="135"/>
      <c r="G391" s="10"/>
      <c r="H391" s="10"/>
      <c r="Q391" s="132"/>
    </row>
    <row r="392" ht="15.75" customHeight="1">
      <c r="A392" s="10"/>
      <c r="B392" s="135"/>
      <c r="G392" s="10"/>
      <c r="H392" s="10"/>
      <c r="Q392" s="132"/>
    </row>
    <row r="393" ht="15.75" customHeight="1">
      <c r="A393" s="10"/>
      <c r="B393" s="135"/>
      <c r="G393" s="10"/>
      <c r="H393" s="10"/>
      <c r="Q393" s="132"/>
    </row>
    <row r="394" ht="15.75" customHeight="1">
      <c r="A394" s="10"/>
      <c r="B394" s="135"/>
      <c r="G394" s="10"/>
      <c r="H394" s="10"/>
      <c r="Q394" s="132"/>
    </row>
    <row r="395" ht="15.75" customHeight="1">
      <c r="A395" s="10"/>
      <c r="B395" s="135"/>
      <c r="G395" s="10"/>
      <c r="H395" s="10"/>
      <c r="Q395" s="132"/>
    </row>
    <row r="396" ht="15.75" customHeight="1">
      <c r="A396" s="10"/>
      <c r="B396" s="135"/>
      <c r="G396" s="10"/>
      <c r="H396" s="10"/>
      <c r="Q396" s="132"/>
    </row>
    <row r="397" ht="15.75" customHeight="1">
      <c r="A397" s="10"/>
      <c r="B397" s="135"/>
      <c r="G397" s="10"/>
      <c r="H397" s="10"/>
      <c r="Q397" s="132"/>
    </row>
    <row r="398" ht="15.75" customHeight="1">
      <c r="A398" s="10"/>
      <c r="B398" s="135"/>
      <c r="G398" s="10"/>
      <c r="H398" s="10"/>
      <c r="Q398" s="132"/>
    </row>
    <row r="399" ht="15.75" customHeight="1">
      <c r="A399" s="10"/>
      <c r="B399" s="135"/>
      <c r="G399" s="10"/>
      <c r="H399" s="10"/>
      <c r="Q399" s="132"/>
    </row>
    <row r="400" ht="15.75" customHeight="1">
      <c r="A400" s="10"/>
      <c r="B400" s="135"/>
      <c r="G400" s="10"/>
      <c r="H400" s="10"/>
      <c r="Q400" s="132"/>
    </row>
    <row r="401" ht="15.75" customHeight="1">
      <c r="A401" s="10"/>
      <c r="B401" s="135"/>
      <c r="G401" s="10"/>
      <c r="H401" s="10"/>
      <c r="Q401" s="132"/>
    </row>
    <row r="402" ht="15.75" customHeight="1">
      <c r="A402" s="10"/>
      <c r="B402" s="135"/>
      <c r="G402" s="10"/>
      <c r="H402" s="10"/>
      <c r="Q402" s="132"/>
    </row>
    <row r="403" ht="15.75" customHeight="1">
      <c r="A403" s="10"/>
      <c r="B403" s="135"/>
      <c r="G403" s="10"/>
      <c r="H403" s="10"/>
      <c r="Q403" s="132"/>
    </row>
    <row r="404" ht="15.75" customHeight="1">
      <c r="A404" s="10"/>
      <c r="B404" s="135"/>
      <c r="G404" s="10"/>
      <c r="H404" s="10"/>
      <c r="Q404" s="132"/>
    </row>
    <row r="405" ht="15.75" customHeight="1">
      <c r="A405" s="10"/>
      <c r="B405" s="135"/>
      <c r="G405" s="10"/>
      <c r="H405" s="10"/>
      <c r="Q405" s="132"/>
    </row>
    <row r="406" ht="15.75" customHeight="1">
      <c r="A406" s="10"/>
      <c r="B406" s="135"/>
      <c r="G406" s="10"/>
      <c r="H406" s="10"/>
      <c r="Q406" s="132"/>
    </row>
    <row r="407" ht="15.75" customHeight="1">
      <c r="A407" s="10"/>
      <c r="B407" s="135"/>
      <c r="G407" s="10"/>
      <c r="H407" s="10"/>
      <c r="Q407" s="132"/>
    </row>
    <row r="408" ht="15.75" customHeight="1">
      <c r="A408" s="10"/>
      <c r="B408" s="135"/>
      <c r="G408" s="10"/>
      <c r="H408" s="10"/>
      <c r="Q408" s="132"/>
    </row>
    <row r="409" ht="15.75" customHeight="1">
      <c r="A409" s="10"/>
      <c r="B409" s="135"/>
      <c r="G409" s="10"/>
      <c r="H409" s="10"/>
      <c r="Q409" s="132"/>
    </row>
    <row r="410" ht="15.75" customHeight="1">
      <c r="A410" s="10"/>
      <c r="B410" s="135"/>
      <c r="G410" s="10"/>
      <c r="H410" s="10"/>
      <c r="Q410" s="132"/>
    </row>
    <row r="411" ht="15.75" customHeight="1">
      <c r="A411" s="10"/>
      <c r="B411" s="135"/>
      <c r="G411" s="10"/>
      <c r="H411" s="10"/>
      <c r="Q411" s="132"/>
    </row>
    <row r="412" ht="15.75" customHeight="1">
      <c r="A412" s="10"/>
      <c r="B412" s="135"/>
      <c r="G412" s="10"/>
      <c r="H412" s="10"/>
      <c r="Q412" s="132"/>
    </row>
    <row r="413" ht="15.75" customHeight="1">
      <c r="A413" s="10"/>
      <c r="B413" s="135"/>
      <c r="G413" s="10"/>
      <c r="H413" s="10"/>
      <c r="Q413" s="132"/>
    </row>
    <row r="414" ht="15.75" customHeight="1">
      <c r="A414" s="10"/>
      <c r="B414" s="135"/>
      <c r="G414" s="10"/>
      <c r="H414" s="10"/>
      <c r="Q414" s="132"/>
    </row>
    <row r="415" ht="15.75" customHeight="1">
      <c r="A415" s="10"/>
      <c r="B415" s="135"/>
      <c r="G415" s="10"/>
      <c r="H415" s="10"/>
      <c r="Q415" s="132"/>
    </row>
    <row r="416" ht="15.75" customHeight="1">
      <c r="A416" s="10"/>
      <c r="B416" s="135"/>
      <c r="G416" s="10"/>
      <c r="H416" s="10"/>
      <c r="Q416" s="132"/>
    </row>
    <row r="417" ht="15.75" customHeight="1">
      <c r="A417" s="10"/>
      <c r="B417" s="135"/>
      <c r="G417" s="10"/>
      <c r="H417" s="10"/>
      <c r="Q417" s="132"/>
    </row>
    <row r="418" ht="15.75" customHeight="1">
      <c r="A418" s="10"/>
      <c r="B418" s="135"/>
      <c r="G418" s="10"/>
      <c r="H418" s="10"/>
      <c r="Q418" s="132"/>
    </row>
    <row r="419" ht="15.75" customHeight="1">
      <c r="A419" s="10"/>
      <c r="B419" s="135"/>
      <c r="G419" s="10"/>
      <c r="H419" s="10"/>
      <c r="Q419" s="132"/>
    </row>
    <row r="420" ht="15.75" customHeight="1">
      <c r="A420" s="10"/>
      <c r="B420" s="135"/>
      <c r="G420" s="10"/>
      <c r="H420" s="10"/>
      <c r="Q420" s="132"/>
    </row>
    <row r="421" ht="15.75" customHeight="1">
      <c r="A421" s="10"/>
      <c r="B421" s="135"/>
      <c r="G421" s="10"/>
      <c r="H421" s="10"/>
      <c r="Q421" s="132"/>
    </row>
    <row r="422" ht="15.75" customHeight="1">
      <c r="A422" s="10"/>
      <c r="B422" s="135"/>
      <c r="G422" s="10"/>
      <c r="H422" s="10"/>
      <c r="Q422" s="132"/>
    </row>
    <row r="423" ht="15.75" customHeight="1">
      <c r="A423" s="10"/>
      <c r="B423" s="135"/>
      <c r="G423" s="10"/>
      <c r="H423" s="10"/>
      <c r="Q423" s="132"/>
    </row>
    <row r="424" ht="15.75" customHeight="1">
      <c r="A424" s="10"/>
      <c r="B424" s="135"/>
      <c r="G424" s="10"/>
      <c r="H424" s="10"/>
      <c r="Q424" s="132"/>
    </row>
    <row r="425" ht="15.75" customHeight="1">
      <c r="A425" s="10"/>
      <c r="B425" s="135"/>
      <c r="G425" s="10"/>
      <c r="H425" s="10"/>
      <c r="Q425" s="132"/>
    </row>
    <row r="426" ht="15.75" customHeight="1">
      <c r="A426" s="10"/>
      <c r="B426" s="135"/>
      <c r="G426" s="10"/>
      <c r="H426" s="10"/>
      <c r="Q426" s="132"/>
    </row>
    <row r="427" ht="15.75" customHeight="1">
      <c r="A427" s="10"/>
      <c r="B427" s="135"/>
      <c r="G427" s="10"/>
      <c r="H427" s="10"/>
      <c r="Q427" s="132"/>
    </row>
    <row r="428" ht="15.75" customHeight="1">
      <c r="A428" s="10"/>
      <c r="B428" s="135"/>
      <c r="G428" s="10"/>
      <c r="H428" s="10"/>
      <c r="Q428" s="132"/>
    </row>
    <row r="429" ht="15.75" customHeight="1">
      <c r="A429" s="10"/>
      <c r="B429" s="135"/>
      <c r="G429" s="10"/>
      <c r="H429" s="10"/>
      <c r="Q429" s="132"/>
    </row>
    <row r="430" ht="15.75" customHeight="1">
      <c r="A430" s="10"/>
      <c r="B430" s="135"/>
      <c r="G430" s="10"/>
      <c r="H430" s="10"/>
      <c r="Q430" s="132"/>
    </row>
    <row r="431" ht="15.75" customHeight="1">
      <c r="A431" s="10"/>
      <c r="B431" s="135"/>
      <c r="G431" s="10"/>
      <c r="H431" s="10"/>
      <c r="Q431" s="132"/>
    </row>
    <row r="432" ht="15.75" customHeight="1">
      <c r="A432" s="10"/>
      <c r="B432" s="135"/>
      <c r="G432" s="10"/>
      <c r="H432" s="10"/>
      <c r="Q432" s="132"/>
    </row>
    <row r="433" ht="15.75" customHeight="1">
      <c r="A433" s="10"/>
      <c r="B433" s="135"/>
      <c r="G433" s="10"/>
      <c r="H433" s="10"/>
      <c r="Q433" s="132"/>
    </row>
    <row r="434" ht="15.75" customHeight="1">
      <c r="A434" s="10"/>
      <c r="B434" s="135"/>
      <c r="G434" s="10"/>
      <c r="H434" s="10"/>
      <c r="Q434" s="132"/>
    </row>
    <row r="435" ht="15.75" customHeight="1">
      <c r="A435" s="10"/>
      <c r="B435" s="135"/>
      <c r="G435" s="10"/>
      <c r="H435" s="10"/>
      <c r="Q435" s="132"/>
    </row>
    <row r="436" ht="15.75" customHeight="1">
      <c r="A436" s="10"/>
      <c r="B436" s="135"/>
      <c r="G436" s="10"/>
      <c r="H436" s="10"/>
      <c r="Q436" s="132"/>
    </row>
    <row r="437" ht="15.75" customHeight="1">
      <c r="A437" s="10"/>
      <c r="B437" s="135"/>
      <c r="G437" s="10"/>
      <c r="H437" s="10"/>
      <c r="Q437" s="132"/>
    </row>
    <row r="438" ht="15.75" customHeight="1">
      <c r="A438" s="10"/>
      <c r="B438" s="135"/>
      <c r="G438" s="10"/>
      <c r="H438" s="10"/>
      <c r="Q438" s="132"/>
    </row>
    <row r="439" ht="15.75" customHeight="1">
      <c r="A439" s="10"/>
      <c r="B439" s="135"/>
      <c r="G439" s="10"/>
      <c r="H439" s="10"/>
      <c r="Q439" s="132"/>
    </row>
    <row r="440" ht="15.75" customHeight="1">
      <c r="A440" s="10"/>
      <c r="B440" s="135"/>
      <c r="G440" s="10"/>
      <c r="H440" s="10"/>
      <c r="Q440" s="132"/>
    </row>
    <row r="441" ht="15.75" customHeight="1">
      <c r="A441" s="10"/>
      <c r="B441" s="135"/>
      <c r="G441" s="10"/>
      <c r="H441" s="10"/>
      <c r="Q441" s="132"/>
    </row>
    <row r="442" ht="15.75" customHeight="1">
      <c r="A442" s="10"/>
      <c r="B442" s="135"/>
      <c r="G442" s="10"/>
      <c r="H442" s="10"/>
      <c r="Q442" s="132"/>
    </row>
    <row r="443" ht="15.75" customHeight="1">
      <c r="A443" s="10"/>
      <c r="B443" s="135"/>
      <c r="G443" s="10"/>
      <c r="H443" s="10"/>
      <c r="Q443" s="132"/>
    </row>
    <row r="444" ht="15.75" customHeight="1">
      <c r="A444" s="10"/>
      <c r="B444" s="135"/>
      <c r="G444" s="10"/>
      <c r="H444" s="10"/>
      <c r="Q444" s="132"/>
    </row>
    <row r="445" ht="15.75" customHeight="1">
      <c r="A445" s="10"/>
      <c r="B445" s="135"/>
      <c r="G445" s="10"/>
      <c r="H445" s="10"/>
      <c r="Q445" s="132"/>
    </row>
    <row r="446" ht="15.75" customHeight="1">
      <c r="A446" s="10"/>
      <c r="B446" s="135"/>
      <c r="G446" s="10"/>
      <c r="H446" s="10"/>
      <c r="Q446" s="132"/>
    </row>
    <row r="447" ht="15.75" customHeight="1">
      <c r="A447" s="10"/>
      <c r="B447" s="135"/>
      <c r="G447" s="10"/>
      <c r="H447" s="10"/>
      <c r="Q447" s="132"/>
    </row>
    <row r="448" ht="15.75" customHeight="1">
      <c r="A448" s="10"/>
      <c r="B448" s="135"/>
      <c r="G448" s="10"/>
      <c r="H448" s="10"/>
      <c r="Q448" s="132"/>
    </row>
    <row r="449" ht="15.75" customHeight="1">
      <c r="A449" s="10"/>
      <c r="B449" s="135"/>
      <c r="G449" s="10"/>
      <c r="H449" s="10"/>
      <c r="Q449" s="132"/>
    </row>
    <row r="450" ht="15.75" customHeight="1">
      <c r="A450" s="10"/>
      <c r="B450" s="135"/>
      <c r="G450" s="10"/>
      <c r="H450" s="10"/>
      <c r="Q450" s="132"/>
    </row>
    <row r="451" ht="15.75" customHeight="1">
      <c r="A451" s="10"/>
      <c r="B451" s="135"/>
      <c r="G451" s="10"/>
      <c r="H451" s="10"/>
      <c r="Q451" s="132"/>
    </row>
    <row r="452" ht="15.75" customHeight="1">
      <c r="A452" s="10"/>
      <c r="B452" s="135"/>
      <c r="G452" s="10"/>
      <c r="H452" s="10"/>
      <c r="Q452" s="132"/>
    </row>
    <row r="453" ht="15.75" customHeight="1">
      <c r="A453" s="10"/>
      <c r="B453" s="135"/>
      <c r="G453" s="10"/>
      <c r="H453" s="10"/>
      <c r="Q453" s="132"/>
    </row>
    <row r="454" ht="15.75" customHeight="1">
      <c r="A454" s="10"/>
      <c r="B454" s="135"/>
      <c r="G454" s="10"/>
      <c r="H454" s="10"/>
      <c r="Q454" s="132"/>
    </row>
    <row r="455" ht="15.75" customHeight="1">
      <c r="A455" s="10"/>
      <c r="B455" s="135"/>
      <c r="G455" s="10"/>
      <c r="H455" s="10"/>
      <c r="Q455" s="132"/>
    </row>
    <row r="456" ht="15.75" customHeight="1">
      <c r="A456" s="10"/>
      <c r="B456" s="135"/>
      <c r="G456" s="10"/>
      <c r="H456" s="10"/>
      <c r="Q456" s="132"/>
    </row>
    <row r="457" ht="15.75" customHeight="1">
      <c r="A457" s="10"/>
      <c r="B457" s="135"/>
      <c r="G457" s="10"/>
      <c r="H457" s="10"/>
      <c r="Q457" s="132"/>
    </row>
    <row r="458" ht="15.75" customHeight="1">
      <c r="A458" s="10"/>
      <c r="B458" s="135"/>
      <c r="G458" s="10"/>
      <c r="H458" s="10"/>
      <c r="Q458" s="132"/>
    </row>
    <row r="459" ht="15.75" customHeight="1">
      <c r="A459" s="10"/>
      <c r="B459" s="135"/>
      <c r="G459" s="10"/>
      <c r="H459" s="10"/>
      <c r="Q459" s="132"/>
    </row>
    <row r="460" ht="15.75" customHeight="1">
      <c r="A460" s="10"/>
      <c r="B460" s="135"/>
      <c r="G460" s="10"/>
      <c r="H460" s="10"/>
      <c r="Q460" s="132"/>
    </row>
    <row r="461" ht="15.75" customHeight="1">
      <c r="A461" s="10"/>
      <c r="B461" s="135"/>
      <c r="G461" s="10"/>
      <c r="H461" s="10"/>
      <c r="Q461" s="132"/>
    </row>
    <row r="462" ht="15.75" customHeight="1">
      <c r="A462" s="10"/>
      <c r="B462" s="135"/>
      <c r="G462" s="10"/>
      <c r="H462" s="10"/>
      <c r="Q462" s="132"/>
    </row>
    <row r="463" ht="15.75" customHeight="1">
      <c r="A463" s="10"/>
      <c r="B463" s="135"/>
      <c r="G463" s="10"/>
      <c r="H463" s="10"/>
      <c r="Q463" s="132"/>
    </row>
    <row r="464" ht="15.75" customHeight="1">
      <c r="A464" s="10"/>
      <c r="B464" s="135"/>
      <c r="G464" s="10"/>
      <c r="H464" s="10"/>
      <c r="Q464" s="132"/>
    </row>
    <row r="465" ht="15.75" customHeight="1">
      <c r="A465" s="10"/>
      <c r="B465" s="135"/>
      <c r="G465" s="10"/>
      <c r="H465" s="10"/>
      <c r="Q465" s="132"/>
    </row>
    <row r="466" ht="15.75" customHeight="1">
      <c r="A466" s="10"/>
      <c r="B466" s="135"/>
      <c r="G466" s="10"/>
      <c r="H466" s="10"/>
      <c r="Q466" s="132"/>
    </row>
    <row r="467" ht="15.75" customHeight="1">
      <c r="A467" s="10"/>
      <c r="B467" s="135"/>
      <c r="G467" s="10"/>
      <c r="H467" s="10"/>
      <c r="Q467" s="132"/>
    </row>
    <row r="468" ht="15.75" customHeight="1">
      <c r="A468" s="10"/>
      <c r="B468" s="135"/>
      <c r="G468" s="10"/>
      <c r="H468" s="10"/>
      <c r="Q468" s="132"/>
    </row>
    <row r="469" ht="15.75" customHeight="1">
      <c r="A469" s="10"/>
      <c r="B469" s="135"/>
      <c r="G469" s="10"/>
      <c r="H469" s="10"/>
      <c r="Q469" s="132"/>
    </row>
    <row r="470" ht="15.75" customHeight="1">
      <c r="A470" s="10"/>
      <c r="B470" s="135"/>
      <c r="G470" s="10"/>
      <c r="H470" s="10"/>
      <c r="Q470" s="132"/>
    </row>
    <row r="471" ht="15.75" customHeight="1">
      <c r="A471" s="10"/>
      <c r="B471" s="135"/>
      <c r="G471" s="10"/>
      <c r="H471" s="10"/>
      <c r="Q471" s="132"/>
    </row>
    <row r="472" ht="15.75" customHeight="1">
      <c r="A472" s="10"/>
      <c r="B472" s="135"/>
      <c r="G472" s="10"/>
      <c r="H472" s="10"/>
      <c r="Q472" s="132"/>
    </row>
    <row r="473" ht="15.75" customHeight="1">
      <c r="A473" s="10"/>
      <c r="B473" s="135"/>
      <c r="G473" s="10"/>
      <c r="H473" s="10"/>
      <c r="Q473" s="132"/>
    </row>
    <row r="474" ht="15.75" customHeight="1">
      <c r="A474" s="10"/>
      <c r="B474" s="135"/>
      <c r="G474" s="10"/>
      <c r="H474" s="10"/>
      <c r="Q474" s="132"/>
    </row>
    <row r="475" ht="15.75" customHeight="1">
      <c r="A475" s="10"/>
      <c r="B475" s="135"/>
      <c r="G475" s="10"/>
      <c r="H475" s="10"/>
      <c r="Q475" s="132"/>
    </row>
    <row r="476" ht="15.75" customHeight="1">
      <c r="A476" s="10"/>
      <c r="B476" s="135"/>
      <c r="G476" s="10"/>
      <c r="H476" s="10"/>
      <c r="Q476" s="132"/>
    </row>
    <row r="477" ht="15.75" customHeight="1">
      <c r="A477" s="10"/>
      <c r="B477" s="135"/>
      <c r="G477" s="10"/>
      <c r="H477" s="10"/>
      <c r="Q477" s="132"/>
    </row>
    <row r="478" ht="15.75" customHeight="1">
      <c r="A478" s="10"/>
      <c r="B478" s="135"/>
      <c r="G478" s="10"/>
      <c r="H478" s="10"/>
      <c r="Q478" s="132"/>
    </row>
    <row r="479" ht="15.75" customHeight="1">
      <c r="A479" s="10"/>
      <c r="B479" s="135"/>
      <c r="G479" s="10"/>
      <c r="H479" s="10"/>
      <c r="Q479" s="132"/>
    </row>
    <row r="480" ht="15.75" customHeight="1">
      <c r="A480" s="10"/>
      <c r="B480" s="135"/>
      <c r="G480" s="10"/>
      <c r="H480" s="10"/>
      <c r="Q480" s="132"/>
    </row>
    <row r="481" ht="15.75" customHeight="1">
      <c r="A481" s="10"/>
      <c r="B481" s="135"/>
      <c r="G481" s="10"/>
      <c r="H481" s="10"/>
      <c r="Q481" s="132"/>
    </row>
    <row r="482" ht="15.75" customHeight="1">
      <c r="A482" s="10"/>
      <c r="B482" s="135"/>
      <c r="G482" s="10"/>
      <c r="H482" s="10"/>
      <c r="Q482" s="132"/>
    </row>
    <row r="483" ht="15.75" customHeight="1">
      <c r="A483" s="10"/>
      <c r="B483" s="135"/>
      <c r="G483" s="10"/>
      <c r="H483" s="10"/>
      <c r="Q483" s="132"/>
    </row>
    <row r="484" ht="15.75" customHeight="1">
      <c r="A484" s="10"/>
      <c r="B484" s="135"/>
      <c r="G484" s="10"/>
      <c r="H484" s="10"/>
      <c r="Q484" s="132"/>
    </row>
    <row r="485" ht="15.75" customHeight="1">
      <c r="A485" s="10"/>
      <c r="B485" s="135"/>
      <c r="G485" s="10"/>
      <c r="H485" s="10"/>
      <c r="Q485" s="132"/>
    </row>
    <row r="486" ht="15.75" customHeight="1">
      <c r="A486" s="10"/>
      <c r="B486" s="135"/>
      <c r="G486" s="10"/>
      <c r="H486" s="10"/>
      <c r="Q486" s="132"/>
    </row>
    <row r="487" ht="15.75" customHeight="1">
      <c r="A487" s="10"/>
      <c r="B487" s="135"/>
      <c r="G487" s="10"/>
      <c r="H487" s="10"/>
      <c r="Q487" s="132"/>
    </row>
    <row r="488" ht="15.75" customHeight="1">
      <c r="A488" s="10"/>
      <c r="B488" s="135"/>
      <c r="G488" s="10"/>
      <c r="H488" s="10"/>
      <c r="Q488" s="132"/>
    </row>
    <row r="489" ht="15.75" customHeight="1">
      <c r="A489" s="10"/>
      <c r="B489" s="135"/>
      <c r="G489" s="10"/>
      <c r="H489" s="10"/>
      <c r="Q489" s="132"/>
    </row>
    <row r="490" ht="15.75" customHeight="1">
      <c r="A490" s="10"/>
      <c r="B490" s="135"/>
      <c r="G490" s="10"/>
      <c r="H490" s="10"/>
      <c r="Q490" s="132"/>
    </row>
    <row r="491" ht="15.75" customHeight="1">
      <c r="A491" s="10"/>
      <c r="B491" s="135"/>
      <c r="G491" s="10"/>
      <c r="H491" s="10"/>
      <c r="Q491" s="132"/>
    </row>
    <row r="492" ht="15.75" customHeight="1">
      <c r="A492" s="10"/>
      <c r="B492" s="135"/>
      <c r="G492" s="10"/>
      <c r="H492" s="10"/>
      <c r="Q492" s="132"/>
    </row>
    <row r="493" ht="15.75" customHeight="1">
      <c r="A493" s="10"/>
      <c r="B493" s="135"/>
      <c r="G493" s="10"/>
      <c r="H493" s="10"/>
      <c r="Q493" s="132"/>
    </row>
    <row r="494" ht="15.75" customHeight="1">
      <c r="A494" s="10"/>
      <c r="B494" s="135"/>
      <c r="G494" s="10"/>
      <c r="H494" s="10"/>
      <c r="Q494" s="132"/>
    </row>
    <row r="495" ht="15.75" customHeight="1">
      <c r="A495" s="10"/>
      <c r="B495" s="135"/>
      <c r="G495" s="10"/>
      <c r="H495" s="10"/>
      <c r="Q495" s="132"/>
    </row>
    <row r="496" ht="15.75" customHeight="1">
      <c r="A496" s="10"/>
      <c r="B496" s="135"/>
      <c r="G496" s="10"/>
      <c r="H496" s="10"/>
      <c r="Q496" s="132"/>
    </row>
    <row r="497" ht="15.75" customHeight="1">
      <c r="A497" s="10"/>
      <c r="B497" s="135"/>
      <c r="G497" s="10"/>
      <c r="H497" s="10"/>
      <c r="Q497" s="132"/>
    </row>
    <row r="498" ht="15.75" customHeight="1">
      <c r="A498" s="10"/>
      <c r="B498" s="135"/>
      <c r="G498" s="10"/>
      <c r="H498" s="10"/>
      <c r="Q498" s="132"/>
    </row>
    <row r="499" ht="15.75" customHeight="1">
      <c r="A499" s="10"/>
      <c r="B499" s="135"/>
      <c r="G499" s="10"/>
      <c r="H499" s="10"/>
      <c r="Q499" s="132"/>
    </row>
    <row r="500" ht="15.75" customHeight="1">
      <c r="A500" s="10"/>
      <c r="B500" s="135"/>
      <c r="G500" s="10"/>
      <c r="H500" s="10"/>
      <c r="Q500" s="132"/>
    </row>
    <row r="501" ht="15.75" customHeight="1">
      <c r="A501" s="10"/>
      <c r="B501" s="135"/>
      <c r="G501" s="10"/>
      <c r="H501" s="10"/>
      <c r="Q501" s="132"/>
    </row>
    <row r="502" ht="15.75" customHeight="1">
      <c r="A502" s="10"/>
      <c r="B502" s="135"/>
      <c r="G502" s="10"/>
      <c r="H502" s="10"/>
      <c r="Q502" s="132"/>
    </row>
    <row r="503" ht="15.75" customHeight="1">
      <c r="A503" s="10"/>
      <c r="B503" s="135"/>
      <c r="G503" s="10"/>
      <c r="H503" s="10"/>
      <c r="Q503" s="132"/>
    </row>
    <row r="504" ht="15.75" customHeight="1">
      <c r="A504" s="10"/>
      <c r="B504" s="135"/>
      <c r="G504" s="10"/>
      <c r="H504" s="10"/>
      <c r="Q504" s="132"/>
    </row>
    <row r="505" ht="15.75" customHeight="1">
      <c r="A505" s="10"/>
      <c r="B505" s="135"/>
      <c r="G505" s="10"/>
      <c r="H505" s="10"/>
      <c r="Q505" s="132"/>
    </row>
    <row r="506" ht="15.75" customHeight="1">
      <c r="A506" s="10"/>
      <c r="B506" s="135"/>
      <c r="G506" s="10"/>
      <c r="H506" s="10"/>
      <c r="Q506" s="132"/>
    </row>
    <row r="507" ht="15.75" customHeight="1">
      <c r="A507" s="10"/>
      <c r="B507" s="135"/>
      <c r="G507" s="10"/>
      <c r="H507" s="10"/>
      <c r="Q507" s="132"/>
    </row>
    <row r="508" ht="15.75" customHeight="1">
      <c r="A508" s="10"/>
      <c r="B508" s="135"/>
      <c r="G508" s="10"/>
      <c r="H508" s="10"/>
      <c r="Q508" s="132"/>
    </row>
    <row r="509" ht="15.75" customHeight="1">
      <c r="A509" s="10"/>
      <c r="B509" s="135"/>
      <c r="G509" s="10"/>
      <c r="H509" s="10"/>
      <c r="Q509" s="132"/>
    </row>
    <row r="510" ht="15.75" customHeight="1">
      <c r="A510" s="10"/>
      <c r="B510" s="135"/>
      <c r="G510" s="10"/>
      <c r="H510" s="10"/>
      <c r="Q510" s="132"/>
    </row>
    <row r="511" ht="15.75" customHeight="1">
      <c r="A511" s="10"/>
      <c r="B511" s="135"/>
      <c r="G511" s="10"/>
      <c r="H511" s="10"/>
      <c r="Q511" s="132"/>
    </row>
    <row r="512" ht="15.75" customHeight="1">
      <c r="A512" s="10"/>
      <c r="B512" s="135"/>
      <c r="G512" s="10"/>
      <c r="H512" s="10"/>
      <c r="Q512" s="132"/>
    </row>
    <row r="513" ht="15.75" customHeight="1">
      <c r="A513" s="10"/>
      <c r="B513" s="135"/>
      <c r="G513" s="10"/>
      <c r="H513" s="10"/>
      <c r="Q513" s="132"/>
    </row>
    <row r="514" ht="15.75" customHeight="1">
      <c r="A514" s="10"/>
      <c r="B514" s="135"/>
      <c r="G514" s="10"/>
      <c r="H514" s="10"/>
      <c r="Q514" s="132"/>
    </row>
    <row r="515" ht="15.75" customHeight="1">
      <c r="A515" s="10"/>
      <c r="B515" s="135"/>
      <c r="G515" s="10"/>
      <c r="H515" s="10"/>
      <c r="Q515" s="132"/>
    </row>
    <row r="516" ht="15.75" customHeight="1">
      <c r="A516" s="10"/>
      <c r="B516" s="135"/>
      <c r="G516" s="10"/>
      <c r="H516" s="10"/>
      <c r="Q516" s="132"/>
    </row>
    <row r="517" ht="15.75" customHeight="1">
      <c r="A517" s="10"/>
      <c r="B517" s="135"/>
      <c r="G517" s="10"/>
      <c r="H517" s="10"/>
      <c r="Q517" s="132"/>
    </row>
    <row r="518" ht="15.75" customHeight="1">
      <c r="A518" s="10"/>
      <c r="B518" s="135"/>
      <c r="G518" s="10"/>
      <c r="H518" s="10"/>
      <c r="Q518" s="132"/>
    </row>
    <row r="519" ht="15.75" customHeight="1">
      <c r="A519" s="10"/>
      <c r="B519" s="135"/>
      <c r="G519" s="10"/>
      <c r="H519" s="10"/>
      <c r="Q519" s="132"/>
    </row>
    <row r="520" ht="15.75" customHeight="1">
      <c r="A520" s="10"/>
      <c r="B520" s="135"/>
      <c r="G520" s="10"/>
      <c r="H520" s="10"/>
      <c r="Q520" s="132"/>
    </row>
    <row r="521" ht="15.75" customHeight="1">
      <c r="A521" s="10"/>
      <c r="B521" s="135"/>
      <c r="G521" s="10"/>
      <c r="H521" s="10"/>
      <c r="Q521" s="132"/>
    </row>
    <row r="522" ht="15.75" customHeight="1">
      <c r="A522" s="10"/>
      <c r="B522" s="135"/>
      <c r="G522" s="10"/>
      <c r="H522" s="10"/>
      <c r="Q522" s="132"/>
    </row>
    <row r="523" ht="15.75" customHeight="1">
      <c r="A523" s="10"/>
      <c r="B523" s="135"/>
      <c r="G523" s="10"/>
      <c r="H523" s="10"/>
      <c r="Q523" s="132"/>
    </row>
    <row r="524" ht="15.75" customHeight="1">
      <c r="A524" s="10"/>
      <c r="B524" s="135"/>
      <c r="G524" s="10"/>
      <c r="H524" s="10"/>
      <c r="Q524" s="132"/>
    </row>
    <row r="525" ht="15.75" customHeight="1">
      <c r="A525" s="10"/>
      <c r="B525" s="135"/>
      <c r="G525" s="10"/>
      <c r="H525" s="10"/>
      <c r="Q525" s="132"/>
    </row>
    <row r="526" ht="15.75" customHeight="1">
      <c r="A526" s="10"/>
      <c r="B526" s="135"/>
      <c r="G526" s="10"/>
      <c r="H526" s="10"/>
      <c r="Q526" s="132"/>
    </row>
    <row r="527" ht="15.75" customHeight="1">
      <c r="A527" s="10"/>
      <c r="B527" s="135"/>
      <c r="G527" s="10"/>
      <c r="H527" s="10"/>
      <c r="Q527" s="132"/>
    </row>
    <row r="528" ht="15.75" customHeight="1">
      <c r="A528" s="10"/>
      <c r="B528" s="135"/>
      <c r="G528" s="10"/>
      <c r="H528" s="10"/>
      <c r="Q528" s="132"/>
    </row>
    <row r="529" ht="15.75" customHeight="1">
      <c r="A529" s="10"/>
      <c r="B529" s="135"/>
      <c r="G529" s="10"/>
      <c r="H529" s="10"/>
      <c r="Q529" s="132"/>
    </row>
    <row r="530" ht="15.75" customHeight="1">
      <c r="A530" s="10"/>
      <c r="B530" s="135"/>
      <c r="G530" s="10"/>
      <c r="H530" s="10"/>
      <c r="Q530" s="132"/>
    </row>
    <row r="531" ht="15.75" customHeight="1">
      <c r="A531" s="10"/>
      <c r="B531" s="135"/>
      <c r="G531" s="10"/>
      <c r="H531" s="10"/>
      <c r="Q531" s="132"/>
    </row>
    <row r="532" ht="15.75" customHeight="1">
      <c r="A532" s="10"/>
      <c r="B532" s="135"/>
      <c r="G532" s="10"/>
      <c r="H532" s="10"/>
      <c r="Q532" s="132"/>
    </row>
    <row r="533" ht="15.75" customHeight="1">
      <c r="A533" s="10"/>
      <c r="B533" s="135"/>
      <c r="G533" s="10"/>
      <c r="H533" s="10"/>
      <c r="Q533" s="132"/>
    </row>
    <row r="534" ht="15.75" customHeight="1">
      <c r="A534" s="10"/>
      <c r="B534" s="135"/>
      <c r="G534" s="10"/>
      <c r="H534" s="10"/>
      <c r="Q534" s="132"/>
    </row>
    <row r="535" ht="15.75" customHeight="1">
      <c r="A535" s="10"/>
      <c r="B535" s="135"/>
      <c r="G535" s="10"/>
      <c r="H535" s="10"/>
      <c r="Q535" s="132"/>
    </row>
    <row r="536" ht="15.75" customHeight="1">
      <c r="A536" s="10"/>
      <c r="B536" s="135"/>
      <c r="G536" s="10"/>
      <c r="H536" s="10"/>
      <c r="Q536" s="132"/>
    </row>
    <row r="537" ht="15.75" customHeight="1">
      <c r="A537" s="10"/>
      <c r="B537" s="135"/>
      <c r="G537" s="10"/>
      <c r="H537" s="10"/>
      <c r="Q537" s="132"/>
    </row>
    <row r="538" ht="15.75" customHeight="1">
      <c r="A538" s="10"/>
      <c r="B538" s="135"/>
      <c r="G538" s="10"/>
      <c r="H538" s="10"/>
      <c r="Q538" s="132"/>
    </row>
    <row r="539" ht="15.75" customHeight="1">
      <c r="A539" s="10"/>
      <c r="B539" s="135"/>
      <c r="G539" s="10"/>
      <c r="H539" s="10"/>
      <c r="Q539" s="132"/>
    </row>
    <row r="540" ht="15.75" customHeight="1">
      <c r="A540" s="10"/>
      <c r="B540" s="135"/>
      <c r="G540" s="10"/>
      <c r="H540" s="10"/>
      <c r="Q540" s="132"/>
    </row>
    <row r="541" ht="15.75" customHeight="1">
      <c r="A541" s="10"/>
      <c r="B541" s="135"/>
      <c r="G541" s="10"/>
      <c r="H541" s="10"/>
      <c r="Q541" s="132"/>
    </row>
    <row r="542" ht="15.75" customHeight="1">
      <c r="A542" s="10"/>
      <c r="B542" s="135"/>
      <c r="G542" s="10"/>
      <c r="H542" s="10"/>
      <c r="Q542" s="132"/>
    </row>
    <row r="543" ht="15.75" customHeight="1">
      <c r="A543" s="10"/>
      <c r="B543" s="135"/>
      <c r="G543" s="10"/>
      <c r="H543" s="10"/>
      <c r="Q543" s="132"/>
    </row>
    <row r="544" ht="15.75" customHeight="1">
      <c r="A544" s="10"/>
      <c r="B544" s="135"/>
      <c r="G544" s="10"/>
      <c r="H544" s="10"/>
      <c r="Q544" s="132"/>
    </row>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 max="6" width="12.63"/>
  </cols>
  <sheetData>
    <row r="1" ht="63.75" customHeight="1">
      <c r="A1" s="10" t="s">
        <v>7018</v>
      </c>
      <c r="B1" s="10" t="s">
        <v>7019</v>
      </c>
      <c r="Q1" s="10"/>
      <c r="R1" s="10"/>
      <c r="S1" s="10"/>
      <c r="T1" s="10"/>
      <c r="U1" s="108"/>
      <c r="V1" s="10"/>
      <c r="W1" s="10"/>
      <c r="X1" s="10"/>
      <c r="Y1" s="10"/>
      <c r="Z1" s="13"/>
      <c r="AA1" s="10"/>
      <c r="AB1" s="10"/>
      <c r="AC1" s="10"/>
      <c r="AD1" s="10"/>
      <c r="AE1" s="10"/>
      <c r="AF1" s="10"/>
      <c r="AG1" s="10"/>
      <c r="AH1" s="10"/>
      <c r="AI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row>
    <row r="2" ht="15.75" customHeight="1">
      <c r="A2" s="126"/>
      <c r="B2" s="220">
        <v>1.0</v>
      </c>
      <c r="C2" s="221">
        <v>2.0</v>
      </c>
      <c r="D2" s="221">
        <v>3.0</v>
      </c>
      <c r="E2" s="222">
        <v>4.0</v>
      </c>
      <c r="F2" s="221">
        <v>5.0</v>
      </c>
      <c r="G2" s="221">
        <v>6.0</v>
      </c>
      <c r="H2" s="223">
        <v>7.0</v>
      </c>
      <c r="I2" s="221">
        <v>8.0</v>
      </c>
      <c r="J2" s="221">
        <v>9.0</v>
      </c>
      <c r="K2" s="220">
        <v>10.0</v>
      </c>
      <c r="L2" s="221">
        <v>11.0</v>
      </c>
      <c r="M2" s="221">
        <v>12.0</v>
      </c>
      <c r="N2" s="222">
        <v>13.0</v>
      </c>
      <c r="O2" s="221">
        <v>14.0</v>
      </c>
      <c r="P2" s="221">
        <v>15.0</v>
      </c>
      <c r="Q2" s="224" t="s">
        <v>120</v>
      </c>
      <c r="R2" s="225" t="s">
        <v>121</v>
      </c>
      <c r="S2" s="226" t="s">
        <v>122</v>
      </c>
      <c r="T2" s="221">
        <v>19.0</v>
      </c>
      <c r="U2" s="227">
        <v>20.0</v>
      </c>
      <c r="V2" s="221">
        <v>21.0</v>
      </c>
      <c r="W2" s="221">
        <v>22.0</v>
      </c>
      <c r="X2" s="223">
        <v>23.0</v>
      </c>
      <c r="Y2" s="221">
        <v>24.0</v>
      </c>
      <c r="Z2" s="221">
        <v>25.0</v>
      </c>
      <c r="AA2" s="220">
        <v>26.0</v>
      </c>
      <c r="AB2" s="221">
        <v>27.0</v>
      </c>
      <c r="AC2" s="221">
        <v>28.0</v>
      </c>
      <c r="AD2" s="222">
        <v>29.0</v>
      </c>
      <c r="AE2" s="221">
        <v>30.0</v>
      </c>
      <c r="AF2" s="221">
        <v>31.0</v>
      </c>
      <c r="AG2" s="228">
        <v>32.0</v>
      </c>
      <c r="AH2" s="220">
        <v>33.0</v>
      </c>
      <c r="AI2" s="221">
        <v>34.0</v>
      </c>
      <c r="AJ2" s="221">
        <v>35.0</v>
      </c>
      <c r="AK2" s="222">
        <v>36.0</v>
      </c>
      <c r="AL2" s="221">
        <v>37.0</v>
      </c>
      <c r="AM2" s="221">
        <v>38.0</v>
      </c>
      <c r="AN2" s="223">
        <v>39.0</v>
      </c>
      <c r="AO2" s="221">
        <v>40.0</v>
      </c>
      <c r="AP2" s="221">
        <v>41.0</v>
      </c>
      <c r="AQ2" s="220">
        <v>42.0</v>
      </c>
      <c r="AR2" s="221">
        <v>43.0</v>
      </c>
      <c r="AS2" s="221">
        <v>44.0</v>
      </c>
      <c r="AT2" s="222">
        <v>45.0</v>
      </c>
      <c r="AU2" s="226" t="s">
        <v>123</v>
      </c>
      <c r="AV2" s="226" t="s">
        <v>124</v>
      </c>
      <c r="AW2" s="229" t="s">
        <v>125</v>
      </c>
      <c r="AX2" s="220">
        <v>49.0</v>
      </c>
      <c r="AY2" s="221">
        <v>50.0</v>
      </c>
      <c r="AZ2" s="221">
        <v>51.0</v>
      </c>
      <c r="BA2" s="222">
        <v>52.0</v>
      </c>
      <c r="BB2" s="221">
        <v>53.0</v>
      </c>
      <c r="BC2" s="221">
        <v>54.0</v>
      </c>
      <c r="BD2" s="223">
        <v>55.0</v>
      </c>
      <c r="BE2" s="221">
        <v>56.0</v>
      </c>
      <c r="BF2" s="221">
        <v>57.0</v>
      </c>
      <c r="BG2" s="220">
        <v>58.0</v>
      </c>
      <c r="BH2" s="221">
        <v>59.0</v>
      </c>
      <c r="BI2" s="221">
        <v>60.0</v>
      </c>
      <c r="BJ2" s="222">
        <v>61.0</v>
      </c>
      <c r="BK2" s="221">
        <v>62.0</v>
      </c>
      <c r="BL2" s="221">
        <v>63.0</v>
      </c>
      <c r="BM2" s="223">
        <v>64.0</v>
      </c>
      <c r="BN2" s="220"/>
      <c r="BO2" s="221"/>
      <c r="BP2" s="221"/>
    </row>
    <row r="3" ht="15.75" customHeight="1">
      <c r="A3" s="230" t="s">
        <v>7020</v>
      </c>
      <c r="B3" s="10" t="s">
        <v>7021</v>
      </c>
      <c r="C3" s="10" t="s">
        <v>7021</v>
      </c>
      <c r="D3" s="10" t="s">
        <v>7021</v>
      </c>
      <c r="E3" s="10" t="s">
        <v>7021</v>
      </c>
      <c r="F3" s="10" t="s">
        <v>7021</v>
      </c>
      <c r="G3" s="10" t="s">
        <v>7021</v>
      </c>
      <c r="H3" s="10" t="s">
        <v>7021</v>
      </c>
      <c r="I3" s="10" t="s">
        <v>7021</v>
      </c>
      <c r="J3" s="10" t="s">
        <v>7021</v>
      </c>
      <c r="K3" s="10" t="s">
        <v>7021</v>
      </c>
      <c r="L3" s="10" t="s">
        <v>7021</v>
      </c>
      <c r="M3" s="10" t="s">
        <v>7021</v>
      </c>
      <c r="N3" s="10" t="s">
        <v>7021</v>
      </c>
      <c r="O3" s="10" t="s">
        <v>7021</v>
      </c>
      <c r="P3" s="10" t="s">
        <v>7021</v>
      </c>
      <c r="Q3" s="10" t="s">
        <v>7021</v>
      </c>
      <c r="R3" s="10" t="s">
        <v>7021</v>
      </c>
      <c r="S3" s="10" t="s">
        <v>7022</v>
      </c>
      <c r="T3" s="10" t="s">
        <v>7023</v>
      </c>
      <c r="U3" s="108" t="s">
        <v>7023</v>
      </c>
      <c r="V3" s="10" t="s">
        <v>7023</v>
      </c>
      <c r="W3" s="10" t="s">
        <v>7023</v>
      </c>
      <c r="X3" s="10" t="s">
        <v>7023</v>
      </c>
      <c r="Y3" s="10" t="s">
        <v>7023</v>
      </c>
      <c r="Z3" s="10" t="s">
        <v>7023</v>
      </c>
      <c r="AA3" s="10" t="s">
        <v>7023</v>
      </c>
      <c r="AB3" s="10" t="s">
        <v>7023</v>
      </c>
      <c r="AC3" s="10" t="s">
        <v>7023</v>
      </c>
      <c r="AD3" s="10" t="s">
        <v>7023</v>
      </c>
      <c r="AE3" s="10" t="s">
        <v>7023</v>
      </c>
      <c r="AF3" s="10" t="s">
        <v>7023</v>
      </c>
      <c r="AG3" s="10" t="s">
        <v>7023</v>
      </c>
      <c r="AH3" s="10" t="s">
        <v>7023</v>
      </c>
      <c r="AI3" s="10" t="s">
        <v>7023</v>
      </c>
      <c r="AJ3" s="10" t="s">
        <v>7023</v>
      </c>
      <c r="AK3" s="10" t="s">
        <v>7023</v>
      </c>
      <c r="AL3" s="231" t="s">
        <v>7023</v>
      </c>
      <c r="AM3" s="231" t="s">
        <v>7023</v>
      </c>
      <c r="AN3" s="231" t="s">
        <v>7023</v>
      </c>
      <c r="AO3" s="231" t="s">
        <v>7023</v>
      </c>
      <c r="AP3" s="231" t="s">
        <v>7023</v>
      </c>
      <c r="AQ3" s="231" t="s">
        <v>7023</v>
      </c>
      <c r="AR3" s="231" t="s">
        <v>7023</v>
      </c>
      <c r="AS3" s="231" t="s">
        <v>7023</v>
      </c>
      <c r="AT3" s="231" t="s">
        <v>7023</v>
      </c>
      <c r="AU3" s="231" t="s">
        <v>7023</v>
      </c>
      <c r="AV3" s="231" t="s">
        <v>7023</v>
      </c>
      <c r="AW3" s="231" t="s">
        <v>7023</v>
      </c>
      <c r="AX3" s="231" t="s">
        <v>7023</v>
      </c>
      <c r="AY3" s="231" t="s">
        <v>7023</v>
      </c>
      <c r="AZ3" s="231" t="s">
        <v>7023</v>
      </c>
      <c r="BA3" s="231" t="s">
        <v>7023</v>
      </c>
      <c r="BB3" s="231" t="s">
        <v>7023</v>
      </c>
      <c r="BC3" s="231" t="s">
        <v>7023</v>
      </c>
      <c r="BD3" s="231" t="s">
        <v>7023</v>
      </c>
      <c r="BE3" s="231" t="s">
        <v>7023</v>
      </c>
      <c r="BF3" s="231" t="s">
        <v>7023</v>
      </c>
      <c r="BG3" s="231" t="s">
        <v>7023</v>
      </c>
      <c r="BH3" s="231" t="s">
        <v>7023</v>
      </c>
      <c r="BI3" s="231" t="s">
        <v>7023</v>
      </c>
      <c r="BJ3" s="231" t="s">
        <v>7023</v>
      </c>
      <c r="BK3" s="231" t="s">
        <v>7023</v>
      </c>
      <c r="BL3" s="231" t="s">
        <v>7023</v>
      </c>
      <c r="BM3" s="231" t="s">
        <v>7023</v>
      </c>
      <c r="BN3" s="10"/>
      <c r="BO3" s="10"/>
      <c r="BP3" s="10"/>
    </row>
    <row r="4" ht="15.75" customHeight="1">
      <c r="A4" s="232" t="s">
        <v>7024</v>
      </c>
      <c r="B4" s="20" t="s">
        <v>7025</v>
      </c>
      <c r="C4" s="10" t="s">
        <v>7025</v>
      </c>
      <c r="D4" s="20" t="s">
        <v>7025</v>
      </c>
      <c r="E4" s="10" t="s">
        <v>7025</v>
      </c>
      <c r="F4" s="20" t="s">
        <v>7025</v>
      </c>
      <c r="G4" s="10" t="s">
        <v>7025</v>
      </c>
      <c r="H4" s="20" t="s">
        <v>7025</v>
      </c>
      <c r="I4" s="10" t="s">
        <v>7025</v>
      </c>
      <c r="J4" s="20" t="s">
        <v>7025</v>
      </c>
      <c r="K4" s="10" t="s">
        <v>7025</v>
      </c>
      <c r="L4" s="20" t="s">
        <v>7025</v>
      </c>
      <c r="M4" s="10" t="s">
        <v>7025</v>
      </c>
      <c r="N4" s="20" t="s">
        <v>7025</v>
      </c>
      <c r="O4" s="10" t="s">
        <v>7025</v>
      </c>
      <c r="P4" s="20" t="s">
        <v>7025</v>
      </c>
      <c r="Q4" s="10" t="s">
        <v>7025</v>
      </c>
      <c r="R4" s="20" t="s">
        <v>7025</v>
      </c>
      <c r="S4" s="10" t="s">
        <v>7025</v>
      </c>
      <c r="T4" s="20" t="s">
        <v>7025</v>
      </c>
      <c r="U4" s="108" t="s">
        <v>7025</v>
      </c>
      <c r="V4" s="20" t="s">
        <v>7025</v>
      </c>
      <c r="W4" s="10" t="s">
        <v>7025</v>
      </c>
      <c r="X4" s="20" t="s">
        <v>7025</v>
      </c>
      <c r="Y4" s="10" t="s">
        <v>7025</v>
      </c>
      <c r="Z4" s="20" t="s">
        <v>7025</v>
      </c>
      <c r="AA4" s="10" t="s">
        <v>7025</v>
      </c>
      <c r="AB4" s="20" t="s">
        <v>7025</v>
      </c>
      <c r="AC4" s="10" t="s">
        <v>7025</v>
      </c>
      <c r="AD4" s="20" t="s">
        <v>7025</v>
      </c>
      <c r="AE4" s="10" t="s">
        <v>7025</v>
      </c>
      <c r="AF4" s="20" t="s">
        <v>7025</v>
      </c>
      <c r="AG4" s="10" t="s">
        <v>7025</v>
      </c>
      <c r="AH4" s="20" t="s">
        <v>7025</v>
      </c>
      <c r="AI4" s="10" t="s">
        <v>7025</v>
      </c>
      <c r="AJ4" s="20" t="s">
        <v>7025</v>
      </c>
      <c r="AK4" s="10" t="s">
        <v>7025</v>
      </c>
      <c r="AL4" s="20" t="s">
        <v>7025</v>
      </c>
      <c r="AM4" s="10" t="s">
        <v>7025</v>
      </c>
      <c r="AN4" s="20" t="s">
        <v>7025</v>
      </c>
      <c r="AO4" s="10" t="s">
        <v>7025</v>
      </c>
      <c r="AP4" s="20" t="s">
        <v>7025</v>
      </c>
      <c r="AQ4" s="10" t="s">
        <v>7025</v>
      </c>
      <c r="AR4" s="20" t="s">
        <v>7025</v>
      </c>
      <c r="AS4" s="10" t="s">
        <v>7025</v>
      </c>
      <c r="AT4" s="20" t="s">
        <v>7025</v>
      </c>
      <c r="AU4" s="10" t="s">
        <v>7025</v>
      </c>
      <c r="AV4" s="20" t="s">
        <v>7025</v>
      </c>
      <c r="AW4" s="10" t="s">
        <v>7025</v>
      </c>
      <c r="AX4" s="20" t="s">
        <v>7025</v>
      </c>
      <c r="AY4" s="10" t="s">
        <v>7025</v>
      </c>
      <c r="AZ4" s="20" t="s">
        <v>7025</v>
      </c>
      <c r="BA4" s="10" t="s">
        <v>7025</v>
      </c>
      <c r="BB4" s="20" t="s">
        <v>7025</v>
      </c>
      <c r="BC4" s="20" t="s">
        <v>7025</v>
      </c>
      <c r="BD4" s="10" t="s">
        <v>7025</v>
      </c>
      <c r="BE4" s="20" t="s">
        <v>7025</v>
      </c>
      <c r="BF4" s="10" t="s">
        <v>7025</v>
      </c>
      <c r="BG4" s="10" t="s">
        <v>7026</v>
      </c>
      <c r="BH4" s="10" t="s">
        <v>7026</v>
      </c>
      <c r="BI4" s="10" t="s">
        <v>7026</v>
      </c>
      <c r="BJ4" s="10" t="s">
        <v>7026</v>
      </c>
      <c r="BK4" s="10" t="s">
        <v>7026</v>
      </c>
      <c r="BL4" s="10" t="s">
        <v>7026</v>
      </c>
      <c r="BM4" s="10" t="s">
        <v>7026</v>
      </c>
      <c r="BN4" s="10"/>
      <c r="BO4" s="10"/>
      <c r="BP4" s="10"/>
    </row>
    <row r="5" ht="15.75" customHeight="1">
      <c r="A5" s="233" t="s">
        <v>7027</v>
      </c>
      <c r="B5" s="13" t="s">
        <v>7021</v>
      </c>
      <c r="C5" s="13" t="s">
        <v>7021</v>
      </c>
      <c r="D5" s="13" t="s">
        <v>7021</v>
      </c>
      <c r="E5" s="13" t="s">
        <v>7021</v>
      </c>
      <c r="F5" s="13" t="s">
        <v>7021</v>
      </c>
      <c r="G5" s="13" t="s">
        <v>7021</v>
      </c>
      <c r="H5" s="13" t="s">
        <v>7021</v>
      </c>
      <c r="I5" s="13" t="s">
        <v>7021</v>
      </c>
      <c r="J5" s="13" t="s">
        <v>7021</v>
      </c>
      <c r="K5" s="13" t="s">
        <v>7021</v>
      </c>
      <c r="L5" s="13" t="s">
        <v>7021</v>
      </c>
      <c r="M5" s="13" t="s">
        <v>7021</v>
      </c>
      <c r="N5" s="13" t="s">
        <v>7021</v>
      </c>
      <c r="O5" s="13" t="s">
        <v>7021</v>
      </c>
      <c r="P5" s="13" t="s">
        <v>7021</v>
      </c>
      <c r="Q5" s="13" t="s">
        <v>7021</v>
      </c>
      <c r="R5" s="13" t="s">
        <v>7021</v>
      </c>
      <c r="S5" s="13" t="s">
        <v>7021</v>
      </c>
      <c r="T5" s="13" t="s">
        <v>7021</v>
      </c>
      <c r="U5" s="116" t="s">
        <v>7021</v>
      </c>
      <c r="V5" s="13" t="s">
        <v>7021</v>
      </c>
      <c r="W5" s="13" t="s">
        <v>7021</v>
      </c>
      <c r="X5" s="13" t="s">
        <v>7021</v>
      </c>
      <c r="Y5" s="13" t="s">
        <v>7021</v>
      </c>
      <c r="Z5" s="13" t="s">
        <v>7021</v>
      </c>
      <c r="AA5" s="13" t="s">
        <v>7021</v>
      </c>
      <c r="AB5" s="13" t="s">
        <v>7021</v>
      </c>
      <c r="AC5" s="13" t="s">
        <v>7021</v>
      </c>
      <c r="AD5" s="13" t="s">
        <v>7021</v>
      </c>
      <c r="AE5" s="13" t="s">
        <v>7021</v>
      </c>
      <c r="AF5" s="13" t="s">
        <v>7021</v>
      </c>
      <c r="AG5" s="13" t="s">
        <v>7021</v>
      </c>
      <c r="AH5" s="13" t="s">
        <v>7021</v>
      </c>
      <c r="AI5" s="13" t="s">
        <v>7021</v>
      </c>
      <c r="AJ5" s="13" t="s">
        <v>7021</v>
      </c>
      <c r="AK5" s="13" t="s">
        <v>7021</v>
      </c>
      <c r="AL5" s="13" t="s">
        <v>7021</v>
      </c>
      <c r="AM5" s="13" t="s">
        <v>7021</v>
      </c>
      <c r="AN5" s="13" t="s">
        <v>7021</v>
      </c>
      <c r="AO5" s="13" t="s">
        <v>7021</v>
      </c>
      <c r="AP5" s="13" t="s">
        <v>7021</v>
      </c>
      <c r="AQ5" s="13" t="s">
        <v>7021</v>
      </c>
      <c r="AR5" s="13" t="s">
        <v>7021</v>
      </c>
      <c r="AS5" s="13" t="s">
        <v>7021</v>
      </c>
      <c r="AT5" s="13" t="s">
        <v>7021</v>
      </c>
      <c r="AU5" s="13" t="s">
        <v>7021</v>
      </c>
      <c r="AV5" s="13" t="s">
        <v>7023</v>
      </c>
      <c r="AW5" s="13" t="s">
        <v>7023</v>
      </c>
      <c r="AX5" s="13" t="s">
        <v>7023</v>
      </c>
      <c r="AY5" s="13" t="s">
        <v>7023</v>
      </c>
      <c r="AZ5" s="13" t="s">
        <v>7023</v>
      </c>
      <c r="BA5" s="13" t="s">
        <v>7022</v>
      </c>
      <c r="BB5" s="13" t="s">
        <v>7022</v>
      </c>
      <c r="BC5" s="13" t="s">
        <v>7022</v>
      </c>
      <c r="BD5" s="13" t="s">
        <v>7022</v>
      </c>
      <c r="BE5" s="13" t="s">
        <v>7022</v>
      </c>
      <c r="BF5" s="13" t="s">
        <v>7022</v>
      </c>
      <c r="BG5" s="13" t="s">
        <v>7022</v>
      </c>
      <c r="BH5" s="13" t="s">
        <v>7022</v>
      </c>
      <c r="BI5" s="13" t="s">
        <v>7022</v>
      </c>
      <c r="BJ5" s="13" t="s">
        <v>7022</v>
      </c>
      <c r="BK5" s="13" t="s">
        <v>7022</v>
      </c>
      <c r="BL5" s="13" t="s">
        <v>7022</v>
      </c>
      <c r="BM5" s="13" t="s">
        <v>7022</v>
      </c>
    </row>
    <row r="6" ht="15.75" customHeight="1">
      <c r="A6" s="233" t="s">
        <v>7028</v>
      </c>
      <c r="B6" s="13" t="s">
        <v>7023</v>
      </c>
      <c r="C6" s="13" t="s">
        <v>7023</v>
      </c>
      <c r="D6" s="13" t="s">
        <v>7023</v>
      </c>
      <c r="E6" s="13" t="s">
        <v>7023</v>
      </c>
      <c r="F6" s="13" t="s">
        <v>7023</v>
      </c>
      <c r="G6" s="13" t="s">
        <v>7023</v>
      </c>
      <c r="H6" s="13" t="s">
        <v>7023</v>
      </c>
      <c r="I6" s="13" t="s">
        <v>7029</v>
      </c>
      <c r="J6" s="13" t="s">
        <v>7030</v>
      </c>
      <c r="K6" s="13" t="s">
        <v>7023</v>
      </c>
      <c r="L6" s="13" t="s">
        <v>7023</v>
      </c>
      <c r="M6" s="13" t="s">
        <v>7023</v>
      </c>
      <c r="N6" s="13" t="s">
        <v>7023</v>
      </c>
      <c r="O6" s="13" t="s">
        <v>7023</v>
      </c>
      <c r="P6" s="13" t="s">
        <v>7023</v>
      </c>
      <c r="Q6" s="13" t="s">
        <v>7023</v>
      </c>
      <c r="R6" s="13" t="s">
        <v>7021</v>
      </c>
      <c r="S6" s="13" t="s">
        <v>7021</v>
      </c>
      <c r="T6" s="13" t="s">
        <v>7023</v>
      </c>
      <c r="U6" s="116" t="s">
        <v>7031</v>
      </c>
      <c r="V6" s="13" t="s">
        <v>7032</v>
      </c>
      <c r="W6" s="13" t="s">
        <v>7021</v>
      </c>
      <c r="X6" s="13" t="s">
        <v>7021</v>
      </c>
      <c r="Y6" s="13" t="s">
        <v>7021</v>
      </c>
      <c r="Z6" s="13" t="s">
        <v>7021</v>
      </c>
      <c r="AA6" s="13" t="s">
        <v>7021</v>
      </c>
      <c r="AB6" s="13" t="s">
        <v>7021</v>
      </c>
      <c r="AC6" s="13" t="s">
        <v>7021</v>
      </c>
      <c r="AD6" s="13" t="s">
        <v>7021</v>
      </c>
      <c r="AE6" s="13" t="s">
        <v>7021</v>
      </c>
      <c r="AF6" s="13" t="s">
        <v>7021</v>
      </c>
      <c r="AG6" s="13" t="s">
        <v>7021</v>
      </c>
      <c r="AH6" s="13" t="s">
        <v>7033</v>
      </c>
      <c r="AI6" s="13" t="s">
        <v>7023</v>
      </c>
      <c r="AJ6" s="13" t="s">
        <v>7023</v>
      </c>
      <c r="AK6" s="13" t="s">
        <v>7023</v>
      </c>
      <c r="AL6" s="13" t="s">
        <v>7023</v>
      </c>
      <c r="AM6" s="13" t="s">
        <v>7023</v>
      </c>
      <c r="AN6" s="13" t="s">
        <v>7023</v>
      </c>
      <c r="AO6" s="13" t="s">
        <v>7023</v>
      </c>
      <c r="AP6" s="13" t="s">
        <v>7021</v>
      </c>
      <c r="AQ6" s="13" t="s">
        <v>7021</v>
      </c>
      <c r="AR6" s="13" t="s">
        <v>7021</v>
      </c>
      <c r="AS6" s="13" t="s">
        <v>7021</v>
      </c>
      <c r="AT6" s="13" t="s">
        <v>7021</v>
      </c>
      <c r="AU6" s="13" t="s">
        <v>7021</v>
      </c>
      <c r="AV6" s="13" t="s">
        <v>7021</v>
      </c>
      <c r="AW6" s="13" t="s">
        <v>7021</v>
      </c>
      <c r="AX6" s="13" t="s">
        <v>7021</v>
      </c>
      <c r="AY6" s="13" t="s">
        <v>7034</v>
      </c>
      <c r="AZ6" s="13" t="s">
        <v>7034</v>
      </c>
      <c r="BA6" s="13" t="s">
        <v>7034</v>
      </c>
      <c r="BB6" s="13" t="s">
        <v>7034</v>
      </c>
      <c r="BC6" s="13" t="s">
        <v>7034</v>
      </c>
      <c r="BD6" s="13" t="s">
        <v>7034</v>
      </c>
      <c r="BE6" s="13" t="s">
        <v>7023</v>
      </c>
      <c r="BF6" s="13" t="s">
        <v>7023</v>
      </c>
      <c r="BG6" s="13" t="s">
        <v>7023</v>
      </c>
      <c r="BH6" s="13" t="s">
        <v>7035</v>
      </c>
      <c r="BI6" s="13" t="s">
        <v>7023</v>
      </c>
      <c r="BJ6" s="13" t="s">
        <v>7021</v>
      </c>
      <c r="BK6" s="13" t="s">
        <v>7021</v>
      </c>
      <c r="BL6" s="13" t="s">
        <v>7021</v>
      </c>
      <c r="BM6" s="13" t="s">
        <v>7021</v>
      </c>
    </row>
    <row r="7" ht="15.75" customHeight="1">
      <c r="A7" s="233" t="s">
        <v>7036</v>
      </c>
      <c r="B7" s="13" t="s">
        <v>7023</v>
      </c>
      <c r="C7" s="13" t="s">
        <v>7023</v>
      </c>
      <c r="D7" s="13" t="s">
        <v>7023</v>
      </c>
      <c r="E7" s="13" t="s">
        <v>7023</v>
      </c>
      <c r="F7" s="13" t="s">
        <v>7023</v>
      </c>
      <c r="G7" s="13" t="s">
        <v>7023</v>
      </c>
      <c r="H7" s="13" t="s">
        <v>7023</v>
      </c>
      <c r="I7" s="13" t="s">
        <v>7023</v>
      </c>
      <c r="J7" s="13" t="s">
        <v>7037</v>
      </c>
      <c r="U7" s="116"/>
      <c r="Z7" s="13" t="s">
        <v>7021</v>
      </c>
      <c r="AA7" s="13" t="s">
        <v>7021</v>
      </c>
      <c r="AB7" s="13" t="s">
        <v>7021</v>
      </c>
      <c r="AC7" s="13" t="s">
        <v>7021</v>
      </c>
      <c r="AD7" s="13" t="s">
        <v>7021</v>
      </c>
      <c r="AE7" s="13" t="s">
        <v>7021</v>
      </c>
      <c r="AF7" s="13" t="s">
        <v>7021</v>
      </c>
      <c r="AG7" s="13" t="s">
        <v>7021</v>
      </c>
      <c r="AH7" s="13" t="s">
        <v>7022</v>
      </c>
      <c r="AI7" s="13" t="s">
        <v>7022</v>
      </c>
      <c r="AJ7" s="13" t="s">
        <v>7022</v>
      </c>
      <c r="AK7" s="13" t="s">
        <v>7022</v>
      </c>
      <c r="AL7" s="13" t="s">
        <v>7022</v>
      </c>
      <c r="AM7" s="13" t="s">
        <v>7022</v>
      </c>
      <c r="AN7" s="13" t="s">
        <v>7022</v>
      </c>
      <c r="AO7" s="13" t="s">
        <v>7022</v>
      </c>
      <c r="AP7" s="13" t="s">
        <v>7022</v>
      </c>
      <c r="AQ7" s="13" t="s">
        <v>7022</v>
      </c>
      <c r="AR7" s="13" t="s">
        <v>7022</v>
      </c>
      <c r="AS7" s="13" t="s">
        <v>7022</v>
      </c>
      <c r="AT7" s="13" t="s">
        <v>7022</v>
      </c>
      <c r="AU7" s="13" t="s">
        <v>7022</v>
      </c>
      <c r="AV7" s="13" t="s">
        <v>7022</v>
      </c>
      <c r="AW7" s="13" t="s">
        <v>7022</v>
      </c>
      <c r="AX7" s="13" t="s">
        <v>7023</v>
      </c>
      <c r="AY7" s="13" t="s">
        <v>7023</v>
      </c>
      <c r="AZ7" s="13" t="s">
        <v>7023</v>
      </c>
      <c r="BA7" s="13" t="s">
        <v>7023</v>
      </c>
      <c r="BB7" s="13" t="s">
        <v>7023</v>
      </c>
      <c r="BC7" s="13" t="s">
        <v>7023</v>
      </c>
      <c r="BD7" s="13" t="s">
        <v>7023</v>
      </c>
      <c r="BE7" s="13" t="s">
        <v>7023</v>
      </c>
      <c r="BF7" s="13" t="s">
        <v>7023</v>
      </c>
      <c r="BG7" s="13" t="s">
        <v>7023</v>
      </c>
      <c r="BH7" s="13" t="s">
        <v>7023</v>
      </c>
      <c r="BI7" s="13" t="s">
        <v>7023</v>
      </c>
      <c r="BJ7" s="13" t="s">
        <v>7023</v>
      </c>
      <c r="BK7" s="13" t="s">
        <v>7023</v>
      </c>
      <c r="BL7" s="13" t="s">
        <v>7023</v>
      </c>
      <c r="BM7" s="13" t="s">
        <v>7023</v>
      </c>
    </row>
    <row r="8" ht="15.75" customHeight="1">
      <c r="A8" s="233" t="s">
        <v>7038</v>
      </c>
      <c r="Q8" s="13" t="s">
        <v>7039</v>
      </c>
      <c r="T8" s="13" t="s">
        <v>7039</v>
      </c>
      <c r="U8" s="116" t="s">
        <v>7040</v>
      </c>
    </row>
    <row r="9" ht="15.75" customHeight="1">
      <c r="A9" s="233"/>
      <c r="I9" s="13" t="s">
        <v>7039</v>
      </c>
      <c r="U9" s="116"/>
      <c r="AX9" s="13" t="s">
        <v>7039</v>
      </c>
    </row>
    <row r="10" ht="15.75" customHeight="1">
      <c r="A10" s="233"/>
      <c r="U10" s="116"/>
    </row>
    <row r="11" ht="15.75" customHeight="1">
      <c r="G11" s="13" t="s">
        <v>7041</v>
      </c>
      <c r="U11" s="116"/>
    </row>
    <row r="12" ht="15.75" customHeight="1">
      <c r="U12" s="116"/>
    </row>
    <row r="13" ht="15.75" customHeight="1">
      <c r="U13" s="116"/>
    </row>
    <row r="14" ht="15.75" customHeight="1">
      <c r="U14" s="116"/>
    </row>
    <row r="15" ht="15.75" customHeight="1">
      <c r="U15" s="116"/>
    </row>
    <row r="16" ht="15.75" customHeight="1">
      <c r="U16" s="116"/>
    </row>
    <row r="17" ht="15.75" customHeight="1">
      <c r="U17" s="116"/>
    </row>
    <row r="18" ht="15.75" customHeight="1">
      <c r="U18" s="116"/>
    </row>
    <row r="19" ht="15.75" customHeight="1">
      <c r="U19" s="116"/>
    </row>
    <row r="20" ht="15.75" customHeight="1">
      <c r="U20" s="116"/>
    </row>
    <row r="21" ht="15.75" customHeight="1">
      <c r="U21" s="116"/>
    </row>
    <row r="22" ht="15.75" customHeight="1">
      <c r="U22" s="116"/>
    </row>
    <row r="23" ht="15.75" customHeight="1">
      <c r="U23" s="116"/>
    </row>
    <row r="24" ht="15.75" customHeight="1">
      <c r="U24" s="116"/>
    </row>
    <row r="25" ht="15.75" customHeight="1">
      <c r="U25" s="116"/>
    </row>
    <row r="26" ht="15.75" customHeight="1">
      <c r="U26" s="116"/>
    </row>
    <row r="27" ht="15.75" customHeight="1">
      <c r="U27" s="116"/>
    </row>
    <row r="28" ht="15.75" customHeight="1">
      <c r="U28" s="116"/>
    </row>
    <row r="29" ht="15.75" customHeight="1">
      <c r="U29" s="116"/>
    </row>
    <row r="30" ht="15.75" customHeight="1">
      <c r="U30" s="116"/>
    </row>
    <row r="31" ht="15.75" customHeight="1">
      <c r="U31" s="116"/>
    </row>
    <row r="32" ht="15.75" customHeight="1">
      <c r="U32" s="116"/>
    </row>
    <row r="33" ht="15.75" customHeight="1">
      <c r="U33" s="116"/>
    </row>
    <row r="34" ht="15.75" customHeight="1">
      <c r="U34" s="116"/>
    </row>
    <row r="35" ht="15.75" customHeight="1">
      <c r="U35" s="116"/>
    </row>
    <row r="36" ht="15.75" customHeight="1">
      <c r="U36" s="116"/>
    </row>
    <row r="37" ht="15.75" customHeight="1">
      <c r="U37" s="116"/>
    </row>
    <row r="38" ht="15.75" customHeight="1">
      <c r="U38" s="116"/>
    </row>
    <row r="39" ht="15.75" customHeight="1">
      <c r="U39" s="116"/>
    </row>
    <row r="40" ht="15.75" customHeight="1">
      <c r="U40" s="116"/>
    </row>
    <row r="41" ht="15.75" customHeight="1">
      <c r="U41" s="116"/>
    </row>
    <row r="42" ht="15.75" customHeight="1">
      <c r="U42" s="116"/>
    </row>
    <row r="43" ht="15.75" customHeight="1">
      <c r="U43" s="116"/>
    </row>
    <row r="44" ht="15.75" customHeight="1">
      <c r="U44" s="116"/>
    </row>
    <row r="45" ht="15.75" customHeight="1">
      <c r="U45" s="116"/>
    </row>
    <row r="46" ht="15.75" customHeight="1">
      <c r="U46" s="116"/>
    </row>
    <row r="47" ht="15.75" customHeight="1">
      <c r="U47" s="116"/>
    </row>
    <row r="48" ht="15.75" customHeight="1">
      <c r="U48" s="116"/>
    </row>
    <row r="49" ht="15.75" customHeight="1">
      <c r="U49" s="116"/>
    </row>
    <row r="50" ht="15.75" customHeight="1">
      <c r="U50" s="116"/>
    </row>
    <row r="51" ht="15.75" customHeight="1">
      <c r="U51" s="116"/>
    </row>
    <row r="52" ht="15.75" customHeight="1">
      <c r="U52" s="116"/>
    </row>
    <row r="53" ht="15.75" customHeight="1">
      <c r="U53" s="116"/>
    </row>
    <row r="54" ht="15.75" customHeight="1">
      <c r="U54" s="116"/>
    </row>
    <row r="55" ht="15.75" customHeight="1">
      <c r="U55" s="116"/>
    </row>
    <row r="56" ht="15.75" customHeight="1">
      <c r="U56" s="116"/>
    </row>
    <row r="57" ht="15.75" customHeight="1">
      <c r="U57" s="116"/>
    </row>
    <row r="58" ht="15.75" customHeight="1">
      <c r="U58" s="116"/>
    </row>
    <row r="59" ht="15.75" customHeight="1">
      <c r="U59" s="116"/>
    </row>
    <row r="60" ht="15.75" customHeight="1">
      <c r="U60" s="116"/>
    </row>
    <row r="61" ht="15.75" customHeight="1">
      <c r="U61" s="116"/>
    </row>
    <row r="62" ht="15.75" customHeight="1">
      <c r="U62" s="116"/>
    </row>
    <row r="63" ht="15.75" customHeight="1">
      <c r="U63" s="116"/>
    </row>
    <row r="64" ht="15.75" customHeight="1">
      <c r="U64" s="116"/>
    </row>
    <row r="65" ht="15.75" customHeight="1">
      <c r="U65" s="116"/>
    </row>
    <row r="66" ht="15.75" customHeight="1">
      <c r="U66" s="116"/>
    </row>
    <row r="67" ht="15.75" customHeight="1">
      <c r="U67" s="116"/>
    </row>
    <row r="68" ht="15.75" customHeight="1">
      <c r="U68" s="116"/>
    </row>
    <row r="69" ht="15.75" customHeight="1">
      <c r="U69" s="116"/>
    </row>
    <row r="70" ht="15.75" customHeight="1">
      <c r="U70" s="116"/>
    </row>
    <row r="71" ht="15.75" customHeight="1">
      <c r="U71" s="116"/>
    </row>
    <row r="72" ht="15.75" customHeight="1">
      <c r="U72" s="116"/>
    </row>
    <row r="73" ht="15.75" customHeight="1">
      <c r="U73" s="116"/>
    </row>
    <row r="74" ht="15.75" customHeight="1">
      <c r="U74" s="116"/>
    </row>
    <row r="75" ht="15.75" customHeight="1">
      <c r="U75" s="116"/>
    </row>
    <row r="76" ht="15.75" customHeight="1">
      <c r="U76" s="116"/>
    </row>
    <row r="77" ht="15.75" customHeight="1">
      <c r="U77" s="116"/>
    </row>
    <row r="78" ht="15.75" customHeight="1">
      <c r="U78" s="116"/>
    </row>
    <row r="79" ht="15.75" customHeight="1">
      <c r="U79" s="116"/>
    </row>
    <row r="80" ht="15.75" customHeight="1">
      <c r="U80" s="116"/>
    </row>
    <row r="81" ht="15.75" customHeight="1">
      <c r="U81" s="116"/>
    </row>
    <row r="82" ht="15.75" customHeight="1">
      <c r="U82" s="116"/>
    </row>
    <row r="83" ht="15.75" customHeight="1">
      <c r="U83" s="116"/>
    </row>
    <row r="84" ht="15.75" customHeight="1">
      <c r="U84" s="116"/>
    </row>
    <row r="85" ht="15.75" customHeight="1">
      <c r="U85" s="116"/>
    </row>
    <row r="86" ht="15.75" customHeight="1">
      <c r="U86" s="116"/>
    </row>
    <row r="87" ht="15.75" customHeight="1">
      <c r="U87" s="116"/>
    </row>
    <row r="88" ht="15.75" customHeight="1">
      <c r="U88" s="116"/>
    </row>
    <row r="89" ht="15.75" customHeight="1">
      <c r="U89" s="116"/>
    </row>
    <row r="90" ht="15.75" customHeight="1">
      <c r="U90" s="116"/>
    </row>
    <row r="91" ht="15.75" customHeight="1">
      <c r="U91" s="116"/>
    </row>
    <row r="92" ht="15.75" customHeight="1">
      <c r="U92" s="116"/>
    </row>
    <row r="93" ht="15.75" customHeight="1">
      <c r="U93" s="116"/>
    </row>
    <row r="94" ht="15.75" customHeight="1">
      <c r="U94" s="116"/>
    </row>
    <row r="95" ht="15.75" customHeight="1">
      <c r="U95" s="116"/>
    </row>
    <row r="96" ht="15.75" customHeight="1">
      <c r="U96" s="116"/>
    </row>
    <row r="97" ht="15.75" customHeight="1">
      <c r="U97" s="116"/>
    </row>
    <row r="98" ht="15.75" customHeight="1">
      <c r="U98" s="116"/>
    </row>
    <row r="99" ht="15.75" customHeight="1">
      <c r="U99" s="116"/>
    </row>
    <row r="100" ht="15.75" customHeight="1">
      <c r="U100" s="116"/>
    </row>
    <row r="101" ht="15.75" customHeight="1">
      <c r="U101" s="116"/>
    </row>
    <row r="102" ht="15.75" customHeight="1">
      <c r="U102" s="116"/>
    </row>
    <row r="103" ht="15.75" customHeight="1">
      <c r="U103" s="116"/>
    </row>
    <row r="104" ht="15.75" customHeight="1">
      <c r="U104" s="116"/>
    </row>
    <row r="105" ht="15.75" customHeight="1">
      <c r="U105" s="116"/>
    </row>
    <row r="106" ht="15.75" customHeight="1">
      <c r="U106" s="116"/>
    </row>
    <row r="107" ht="15.75" customHeight="1">
      <c r="U107" s="116"/>
    </row>
    <row r="108" ht="15.75" customHeight="1">
      <c r="U108" s="116"/>
    </row>
    <row r="109" ht="15.75" customHeight="1">
      <c r="U109" s="116"/>
    </row>
    <row r="110" ht="15.75" customHeight="1">
      <c r="U110" s="116"/>
    </row>
    <row r="111" ht="15.75" customHeight="1">
      <c r="U111" s="116"/>
    </row>
    <row r="112" ht="15.75" customHeight="1">
      <c r="U112" s="116"/>
    </row>
    <row r="113" ht="15.75" customHeight="1">
      <c r="U113" s="116"/>
    </row>
    <row r="114" ht="15.75" customHeight="1">
      <c r="U114" s="116"/>
    </row>
    <row r="115" ht="15.75" customHeight="1">
      <c r="U115" s="116"/>
    </row>
    <row r="116" ht="15.75" customHeight="1">
      <c r="U116" s="116"/>
    </row>
    <row r="117" ht="15.75" customHeight="1">
      <c r="U117" s="116"/>
    </row>
    <row r="118" ht="15.75" customHeight="1">
      <c r="U118" s="116"/>
    </row>
    <row r="119" ht="15.75" customHeight="1">
      <c r="U119" s="116"/>
    </row>
    <row r="120" ht="15.75" customHeight="1">
      <c r="U120" s="116"/>
    </row>
    <row r="121" ht="15.75" customHeight="1">
      <c r="U121" s="116"/>
    </row>
    <row r="122" ht="15.75" customHeight="1">
      <c r="U122" s="116"/>
    </row>
    <row r="123" ht="15.75" customHeight="1">
      <c r="U123" s="116"/>
    </row>
    <row r="124" ht="15.75" customHeight="1">
      <c r="U124" s="116"/>
    </row>
    <row r="125" ht="15.75" customHeight="1">
      <c r="U125" s="116"/>
    </row>
    <row r="126" ht="15.75" customHeight="1">
      <c r="U126" s="116"/>
    </row>
    <row r="127" ht="15.75" customHeight="1">
      <c r="U127" s="116"/>
    </row>
    <row r="128" ht="15.75" customHeight="1">
      <c r="U128" s="116"/>
    </row>
    <row r="129" ht="15.75" customHeight="1">
      <c r="U129" s="116"/>
    </row>
    <row r="130" ht="15.75" customHeight="1">
      <c r="U130" s="116"/>
    </row>
    <row r="131" ht="15.75" customHeight="1">
      <c r="U131" s="116"/>
    </row>
    <row r="132" ht="15.75" customHeight="1">
      <c r="U132" s="116"/>
    </row>
    <row r="133" ht="15.75" customHeight="1">
      <c r="U133" s="116"/>
    </row>
    <row r="134" ht="15.75" customHeight="1">
      <c r="U134" s="116"/>
    </row>
    <row r="135" ht="15.75" customHeight="1">
      <c r="U135" s="116"/>
    </row>
    <row r="136" ht="15.75" customHeight="1">
      <c r="U136" s="116"/>
    </row>
    <row r="137" ht="15.75" customHeight="1">
      <c r="U137" s="116"/>
    </row>
    <row r="138" ht="15.75" customHeight="1">
      <c r="U138" s="116"/>
    </row>
    <row r="139" ht="15.75" customHeight="1">
      <c r="U139" s="116"/>
    </row>
    <row r="140" ht="15.75" customHeight="1">
      <c r="U140" s="116"/>
    </row>
    <row r="141" ht="15.75" customHeight="1">
      <c r="U141" s="116"/>
    </row>
    <row r="142" ht="15.75" customHeight="1">
      <c r="U142" s="116"/>
    </row>
    <row r="143" ht="15.75" customHeight="1">
      <c r="U143" s="116"/>
    </row>
    <row r="144" ht="15.75" customHeight="1">
      <c r="U144" s="116"/>
    </row>
    <row r="145" ht="15.75" customHeight="1">
      <c r="U145" s="116"/>
    </row>
    <row r="146" ht="15.75" customHeight="1">
      <c r="U146" s="116"/>
    </row>
    <row r="147" ht="15.75" customHeight="1">
      <c r="U147" s="116"/>
    </row>
    <row r="148" ht="15.75" customHeight="1">
      <c r="U148" s="116"/>
    </row>
    <row r="149" ht="15.75" customHeight="1">
      <c r="U149" s="116"/>
    </row>
    <row r="150" ht="15.75" customHeight="1">
      <c r="U150" s="116"/>
    </row>
    <row r="151" ht="15.75" customHeight="1">
      <c r="U151" s="116"/>
    </row>
    <row r="152" ht="15.75" customHeight="1">
      <c r="U152" s="116"/>
    </row>
    <row r="153" ht="15.75" customHeight="1">
      <c r="U153" s="116"/>
    </row>
    <row r="154" ht="15.75" customHeight="1">
      <c r="U154" s="116"/>
    </row>
    <row r="155" ht="15.75" customHeight="1">
      <c r="U155" s="116"/>
    </row>
    <row r="156" ht="15.75" customHeight="1">
      <c r="U156" s="116"/>
    </row>
    <row r="157" ht="15.75" customHeight="1">
      <c r="U157" s="116"/>
    </row>
    <row r="158" ht="15.75" customHeight="1">
      <c r="U158" s="116"/>
    </row>
    <row r="159" ht="15.75" customHeight="1">
      <c r="U159" s="116"/>
    </row>
    <row r="160" ht="15.75" customHeight="1">
      <c r="U160" s="116"/>
    </row>
    <row r="161" ht="15.75" customHeight="1">
      <c r="U161" s="116"/>
    </row>
    <row r="162" ht="15.75" customHeight="1">
      <c r="U162" s="116"/>
    </row>
    <row r="163" ht="15.75" customHeight="1">
      <c r="U163" s="116"/>
    </row>
    <row r="164" ht="15.75" customHeight="1">
      <c r="U164" s="116"/>
    </row>
    <row r="165" ht="15.75" customHeight="1">
      <c r="U165" s="116"/>
    </row>
    <row r="166" ht="15.75" customHeight="1">
      <c r="U166" s="116"/>
    </row>
    <row r="167" ht="15.75" customHeight="1">
      <c r="U167" s="116"/>
    </row>
    <row r="168" ht="15.75" customHeight="1">
      <c r="U168" s="116"/>
    </row>
    <row r="169" ht="15.75" customHeight="1">
      <c r="U169" s="116"/>
    </row>
    <row r="170" ht="15.75" customHeight="1">
      <c r="U170" s="116"/>
    </row>
    <row r="171" ht="15.75" customHeight="1">
      <c r="U171" s="116"/>
    </row>
    <row r="172" ht="15.75" customHeight="1">
      <c r="U172" s="116"/>
    </row>
    <row r="173" ht="15.75" customHeight="1">
      <c r="U173" s="116"/>
    </row>
    <row r="174" ht="15.75" customHeight="1">
      <c r="U174" s="116"/>
    </row>
    <row r="175" ht="15.75" customHeight="1">
      <c r="U175" s="116"/>
    </row>
    <row r="176" ht="15.75" customHeight="1">
      <c r="U176" s="116"/>
    </row>
    <row r="177" ht="15.75" customHeight="1">
      <c r="U177" s="116"/>
    </row>
    <row r="178" ht="15.75" customHeight="1">
      <c r="U178" s="116"/>
    </row>
    <row r="179" ht="15.75" customHeight="1">
      <c r="U179" s="116"/>
    </row>
    <row r="180" ht="15.75" customHeight="1">
      <c r="U180" s="116"/>
    </row>
    <row r="181" ht="15.75" customHeight="1">
      <c r="U181" s="116"/>
    </row>
    <row r="182" ht="15.75" customHeight="1">
      <c r="U182" s="116"/>
    </row>
    <row r="183" ht="15.75" customHeight="1">
      <c r="U183" s="116"/>
    </row>
    <row r="184" ht="15.75" customHeight="1">
      <c r="U184" s="116"/>
    </row>
    <row r="185" ht="15.75" customHeight="1">
      <c r="U185" s="116"/>
    </row>
    <row r="186" ht="15.75" customHeight="1">
      <c r="U186" s="116"/>
    </row>
    <row r="187" ht="15.75" customHeight="1">
      <c r="U187" s="116"/>
    </row>
    <row r="188" ht="15.75" customHeight="1">
      <c r="U188" s="116"/>
    </row>
    <row r="189" ht="15.75" customHeight="1">
      <c r="U189" s="116"/>
    </row>
    <row r="190" ht="15.75" customHeight="1">
      <c r="U190" s="116"/>
    </row>
    <row r="191" ht="15.75" customHeight="1">
      <c r="U191" s="116"/>
    </row>
    <row r="192" ht="15.75" customHeight="1">
      <c r="U192" s="116"/>
    </row>
    <row r="193" ht="15.75" customHeight="1">
      <c r="U193" s="116"/>
    </row>
    <row r="194" ht="15.75" customHeight="1">
      <c r="U194" s="116"/>
    </row>
    <row r="195" ht="15.75" customHeight="1">
      <c r="U195" s="116"/>
    </row>
    <row r="196" ht="15.75" customHeight="1">
      <c r="U196" s="116"/>
    </row>
    <row r="197" ht="15.75" customHeight="1">
      <c r="U197" s="116"/>
    </row>
    <row r="198" ht="15.75" customHeight="1">
      <c r="U198" s="116"/>
    </row>
    <row r="199" ht="15.75" customHeight="1">
      <c r="U199" s="116"/>
    </row>
    <row r="200" ht="15.75" customHeight="1">
      <c r="U200" s="116"/>
    </row>
    <row r="201" ht="15.75" customHeight="1">
      <c r="U201" s="116"/>
    </row>
    <row r="202" ht="15.75" customHeight="1">
      <c r="U202" s="116"/>
    </row>
    <row r="203" ht="15.75" customHeight="1">
      <c r="U203" s="116"/>
    </row>
    <row r="204" ht="15.75" customHeight="1">
      <c r="U204" s="116"/>
    </row>
    <row r="205" ht="15.75" customHeight="1">
      <c r="U205" s="116"/>
    </row>
    <row r="206" ht="15.75" customHeight="1">
      <c r="U206" s="116"/>
    </row>
    <row r="207" ht="15.75" customHeight="1">
      <c r="U207" s="116"/>
    </row>
    <row r="208" ht="15.75" customHeight="1">
      <c r="U208" s="116"/>
    </row>
    <row r="209" ht="15.75" customHeight="1">
      <c r="U209" s="116"/>
    </row>
    <row r="210" ht="15.75" customHeight="1">
      <c r="U210" s="116"/>
    </row>
    <row r="211" ht="15.75" customHeight="1">
      <c r="U211" s="116"/>
    </row>
    <row r="212" ht="15.75" customHeight="1">
      <c r="U212" s="116"/>
    </row>
    <row r="213" ht="15.75" customHeight="1">
      <c r="U213" s="116"/>
    </row>
    <row r="214" ht="15.75" customHeight="1">
      <c r="U214" s="116"/>
    </row>
    <row r="215" ht="15.75" customHeight="1">
      <c r="U215" s="116"/>
    </row>
    <row r="216" ht="15.75" customHeight="1">
      <c r="U216" s="116"/>
    </row>
    <row r="217" ht="15.75" customHeight="1">
      <c r="U217" s="116"/>
    </row>
    <row r="218" ht="15.75" customHeight="1">
      <c r="U218" s="116"/>
    </row>
    <row r="219" ht="15.75" customHeight="1">
      <c r="U219" s="116"/>
    </row>
    <row r="220" ht="15.75" customHeight="1">
      <c r="U220" s="1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P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 max="1" width="14.13"/>
    <col customWidth="1" min="2" max="6" width="12.63"/>
  </cols>
  <sheetData>
    <row r="1" ht="63.75" customHeight="1">
      <c r="A1" s="10" t="s">
        <v>7018</v>
      </c>
      <c r="B1" s="10" t="s">
        <v>7042</v>
      </c>
      <c r="C1" s="234" t="s">
        <v>7043</v>
      </c>
      <c r="D1" s="10"/>
      <c r="E1" s="10"/>
      <c r="F1" s="10"/>
      <c r="G1" s="10"/>
      <c r="H1" s="10"/>
      <c r="I1" s="10"/>
      <c r="J1" s="10"/>
      <c r="K1" s="10"/>
      <c r="L1" s="10"/>
      <c r="M1" s="10"/>
      <c r="N1" s="10"/>
      <c r="O1" s="10"/>
      <c r="P1" s="10"/>
      <c r="Q1" s="10"/>
      <c r="R1" s="10"/>
      <c r="S1" s="10"/>
      <c r="T1" s="10"/>
      <c r="U1" s="10"/>
      <c r="V1" s="10"/>
      <c r="W1" s="10"/>
      <c r="X1" s="10"/>
      <c r="Y1" s="10"/>
      <c r="Z1" s="13"/>
      <c r="AA1" s="10"/>
      <c r="AB1" s="10"/>
      <c r="AC1" s="10"/>
      <c r="AD1" s="10"/>
      <c r="AE1" s="10"/>
      <c r="AF1" s="10"/>
      <c r="AH1" s="108" t="s">
        <v>7044</v>
      </c>
      <c r="AI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row>
    <row r="2" ht="15.75" customHeight="1">
      <c r="A2" s="126"/>
      <c r="B2" s="220">
        <v>1.0</v>
      </c>
      <c r="C2" s="221">
        <v>2.0</v>
      </c>
      <c r="D2" s="221">
        <v>3.0</v>
      </c>
      <c r="E2" s="222">
        <v>4.0</v>
      </c>
      <c r="F2" s="221">
        <v>5.0</v>
      </c>
      <c r="G2" s="221">
        <v>6.0</v>
      </c>
      <c r="H2" s="223">
        <v>7.0</v>
      </c>
      <c r="I2" s="221">
        <v>8.0</v>
      </c>
      <c r="J2" s="221">
        <v>9.0</v>
      </c>
      <c r="K2" s="220">
        <v>10.0</v>
      </c>
      <c r="L2" s="221">
        <v>11.0</v>
      </c>
      <c r="M2" s="221">
        <v>12.0</v>
      </c>
      <c r="N2" s="222">
        <v>13.0</v>
      </c>
      <c r="O2" s="221">
        <v>14.0</v>
      </c>
      <c r="P2" s="221">
        <v>15.0</v>
      </c>
      <c r="Q2" s="224" t="s">
        <v>120</v>
      </c>
      <c r="R2" s="225" t="s">
        <v>121</v>
      </c>
      <c r="S2" s="226" t="s">
        <v>122</v>
      </c>
      <c r="T2" s="221">
        <v>19.0</v>
      </c>
      <c r="U2" s="222">
        <v>20.0</v>
      </c>
      <c r="V2" s="221">
        <v>21.0</v>
      </c>
      <c r="W2" s="221">
        <v>22.0</v>
      </c>
      <c r="X2" s="223">
        <v>23.0</v>
      </c>
      <c r="Y2" s="221">
        <v>24.0</v>
      </c>
      <c r="Z2" s="221">
        <v>25.0</v>
      </c>
      <c r="AA2" s="220">
        <v>26.0</v>
      </c>
      <c r="AB2" s="221">
        <v>27.0</v>
      </c>
      <c r="AC2" s="221">
        <v>28.0</v>
      </c>
      <c r="AD2" s="222">
        <v>29.0</v>
      </c>
      <c r="AE2" s="221">
        <v>30.0</v>
      </c>
      <c r="AF2" s="221">
        <v>31.0</v>
      </c>
      <c r="AG2" s="228">
        <v>32.0</v>
      </c>
      <c r="AH2" s="235">
        <v>33.0</v>
      </c>
      <c r="AI2" s="221">
        <v>34.0</v>
      </c>
      <c r="AJ2" s="221">
        <v>35.0</v>
      </c>
      <c r="AK2" s="222">
        <v>36.0</v>
      </c>
      <c r="AL2" s="221">
        <v>37.0</v>
      </c>
      <c r="AM2" s="221">
        <v>38.0</v>
      </c>
      <c r="AN2" s="223">
        <v>39.0</v>
      </c>
      <c r="AO2" s="221">
        <v>40.0</v>
      </c>
      <c r="AP2" s="221">
        <v>41.0</v>
      </c>
      <c r="AQ2" s="220">
        <v>42.0</v>
      </c>
      <c r="AR2" s="221">
        <v>43.0</v>
      </c>
      <c r="AS2" s="221">
        <v>44.0</v>
      </c>
      <c r="AT2" s="222">
        <v>45.0</v>
      </c>
      <c r="AU2" s="226" t="s">
        <v>123</v>
      </c>
      <c r="AV2" s="226" t="s">
        <v>124</v>
      </c>
      <c r="AW2" s="229" t="s">
        <v>125</v>
      </c>
      <c r="AX2" s="220">
        <v>49.0</v>
      </c>
      <c r="AY2" s="221">
        <v>50.0</v>
      </c>
      <c r="AZ2" s="221">
        <v>51.0</v>
      </c>
      <c r="BA2" s="222">
        <v>52.0</v>
      </c>
      <c r="BB2" s="221">
        <v>53.0</v>
      </c>
      <c r="BC2" s="221">
        <v>54.0</v>
      </c>
      <c r="BD2" s="223">
        <v>55.0</v>
      </c>
      <c r="BE2" s="221">
        <v>56.0</v>
      </c>
      <c r="BF2" s="221">
        <v>57.0</v>
      </c>
      <c r="BG2" s="220">
        <v>58.0</v>
      </c>
      <c r="BH2" s="221">
        <v>59.0</v>
      </c>
      <c r="BI2" s="221">
        <v>60.0</v>
      </c>
      <c r="BJ2" s="222">
        <v>61.0</v>
      </c>
      <c r="BK2" s="221">
        <v>62.0</v>
      </c>
      <c r="BL2" s="221">
        <v>63.0</v>
      </c>
      <c r="BM2" s="223">
        <v>64.0</v>
      </c>
    </row>
    <row r="3" ht="15.75" customHeight="1">
      <c r="A3" s="230" t="s">
        <v>7045</v>
      </c>
      <c r="B3" s="10" t="s">
        <v>7046</v>
      </c>
      <c r="C3" s="10" t="s">
        <v>7022</v>
      </c>
      <c r="D3" s="10" t="s">
        <v>7022</v>
      </c>
      <c r="E3" s="13" t="s">
        <v>7022</v>
      </c>
      <c r="F3" s="10" t="s">
        <v>7022</v>
      </c>
      <c r="G3" s="10" t="s">
        <v>7023</v>
      </c>
      <c r="H3" s="10" t="s">
        <v>7023</v>
      </c>
      <c r="I3" s="10" t="s">
        <v>7023</v>
      </c>
      <c r="J3" s="10" t="s">
        <v>7023</v>
      </c>
      <c r="K3" s="10" t="s">
        <v>7023</v>
      </c>
      <c r="L3" s="10" t="s">
        <v>7023</v>
      </c>
      <c r="M3" s="10" t="s">
        <v>7023</v>
      </c>
      <c r="N3" s="10" t="s">
        <v>7023</v>
      </c>
      <c r="O3" s="10" t="s">
        <v>7023</v>
      </c>
      <c r="P3" s="10" t="s">
        <v>7023</v>
      </c>
      <c r="Q3" s="10" t="s">
        <v>7023</v>
      </c>
      <c r="R3" s="10" t="s">
        <v>7021</v>
      </c>
      <c r="S3" s="10" t="s">
        <v>7021</v>
      </c>
      <c r="T3" s="10" t="s">
        <v>7021</v>
      </c>
      <c r="U3" s="10" t="s">
        <v>7021</v>
      </c>
      <c r="V3" s="10" t="s">
        <v>7021</v>
      </c>
      <c r="W3" s="10" t="s">
        <v>7021</v>
      </c>
      <c r="X3" s="10" t="s">
        <v>7021</v>
      </c>
      <c r="Y3" s="10" t="s">
        <v>7021</v>
      </c>
      <c r="Z3" s="10" t="s">
        <v>7021</v>
      </c>
      <c r="AA3" s="10" t="s">
        <v>7021</v>
      </c>
      <c r="AB3" s="10" t="s">
        <v>7021</v>
      </c>
      <c r="AC3" s="10" t="s">
        <v>7021</v>
      </c>
      <c r="AD3" s="10" t="s">
        <v>7021</v>
      </c>
      <c r="AE3" s="10" t="s">
        <v>7021</v>
      </c>
      <c r="AF3" s="10" t="s">
        <v>7021</v>
      </c>
      <c r="AG3" s="10" t="s">
        <v>7021</v>
      </c>
      <c r="AH3" s="108" t="s">
        <v>7021</v>
      </c>
      <c r="AI3" s="10" t="s">
        <v>7021</v>
      </c>
      <c r="AJ3" s="10" t="s">
        <v>7021</v>
      </c>
      <c r="AK3" s="10" t="s">
        <v>7021</v>
      </c>
      <c r="AL3" s="10" t="s">
        <v>7021</v>
      </c>
      <c r="AM3" s="10" t="s">
        <v>7021</v>
      </c>
      <c r="AN3" s="10" t="s">
        <v>7021</v>
      </c>
      <c r="AO3" s="10" t="s">
        <v>7021</v>
      </c>
      <c r="AP3" s="10" t="s">
        <v>7021</v>
      </c>
      <c r="AQ3" s="10" t="s">
        <v>7021</v>
      </c>
      <c r="AR3" s="10" t="s">
        <v>7021</v>
      </c>
      <c r="AS3" s="10" t="s">
        <v>7021</v>
      </c>
      <c r="AT3" s="10" t="s">
        <v>7021</v>
      </c>
      <c r="AU3" s="10" t="s">
        <v>7021</v>
      </c>
      <c r="AV3" s="10" t="s">
        <v>7047</v>
      </c>
      <c r="AW3" s="10" t="s">
        <v>7046</v>
      </c>
      <c r="AX3" s="10" t="s">
        <v>7046</v>
      </c>
      <c r="AY3" s="10" t="s">
        <v>7046</v>
      </c>
      <c r="AZ3" s="10" t="s">
        <v>7046</v>
      </c>
      <c r="BA3" s="10" t="s">
        <v>7046</v>
      </c>
      <c r="BB3" s="10" t="s">
        <v>7046</v>
      </c>
      <c r="BC3" s="10" t="s">
        <v>7046</v>
      </c>
      <c r="BD3" s="10" t="s">
        <v>7046</v>
      </c>
      <c r="BE3" s="10" t="s">
        <v>7046</v>
      </c>
      <c r="BF3" s="10" t="s">
        <v>7046</v>
      </c>
      <c r="BG3" s="10" t="s">
        <v>7046</v>
      </c>
      <c r="BH3" s="10" t="s">
        <v>7046</v>
      </c>
      <c r="BI3" s="10" t="s">
        <v>7046</v>
      </c>
      <c r="BJ3" s="10" t="s">
        <v>7046</v>
      </c>
      <c r="BK3" s="10" t="s">
        <v>7046</v>
      </c>
      <c r="BL3" s="10" t="s">
        <v>7046</v>
      </c>
      <c r="BM3" s="10" t="s">
        <v>7022</v>
      </c>
    </row>
    <row r="4" ht="15.75" customHeight="1">
      <c r="A4" s="233" t="s">
        <v>7024</v>
      </c>
      <c r="B4" s="13" t="s">
        <v>7025</v>
      </c>
      <c r="C4" s="13" t="s">
        <v>7025</v>
      </c>
      <c r="D4" s="13" t="s">
        <v>7025</v>
      </c>
      <c r="E4" s="13" t="s">
        <v>7025</v>
      </c>
      <c r="F4" s="13" t="s">
        <v>7025</v>
      </c>
      <c r="G4" s="13" t="s">
        <v>7025</v>
      </c>
      <c r="H4" s="13" t="s">
        <v>7025</v>
      </c>
      <c r="I4" s="13" t="s">
        <v>7025</v>
      </c>
      <c r="J4" s="13" t="s">
        <v>7025</v>
      </c>
      <c r="K4" s="13" t="s">
        <v>7025</v>
      </c>
      <c r="L4" s="13" t="s">
        <v>7025</v>
      </c>
      <c r="M4" s="13" t="s">
        <v>7025</v>
      </c>
      <c r="N4" s="13" t="s">
        <v>7025</v>
      </c>
      <c r="O4" s="13" t="s">
        <v>7025</v>
      </c>
      <c r="P4" s="13" t="s">
        <v>7025</v>
      </c>
      <c r="Q4" s="13" t="s">
        <v>7025</v>
      </c>
      <c r="R4" s="13" t="s">
        <v>7025</v>
      </c>
      <c r="S4" s="13" t="s">
        <v>7025</v>
      </c>
      <c r="T4" s="13" t="s">
        <v>7025</v>
      </c>
      <c r="U4" s="13" t="s">
        <v>7025</v>
      </c>
      <c r="V4" s="13" t="s">
        <v>7025</v>
      </c>
      <c r="W4" s="13" t="s">
        <v>7025</v>
      </c>
      <c r="X4" s="13" t="s">
        <v>7025</v>
      </c>
      <c r="Y4" s="13" t="s">
        <v>7025</v>
      </c>
      <c r="Z4" s="13" t="s">
        <v>7025</v>
      </c>
      <c r="AA4" s="13" t="s">
        <v>7025</v>
      </c>
      <c r="AB4" s="13" t="s">
        <v>7025</v>
      </c>
      <c r="AC4" s="13" t="s">
        <v>7025</v>
      </c>
      <c r="AD4" s="13" t="s">
        <v>7025</v>
      </c>
      <c r="AE4" s="13" t="s">
        <v>7025</v>
      </c>
      <c r="AF4" s="13" t="s">
        <v>7025</v>
      </c>
      <c r="AG4" s="13" t="s">
        <v>7025</v>
      </c>
      <c r="AH4" s="116" t="s">
        <v>7025</v>
      </c>
      <c r="AI4" s="13" t="s">
        <v>7025</v>
      </c>
      <c r="AJ4" s="13" t="s">
        <v>7025</v>
      </c>
      <c r="AK4" s="13" t="s">
        <v>7025</v>
      </c>
      <c r="AL4" s="13" t="s">
        <v>7025</v>
      </c>
      <c r="AM4" s="13" t="s">
        <v>7025</v>
      </c>
      <c r="AN4" s="13" t="s">
        <v>7025</v>
      </c>
      <c r="AO4" s="13" t="s">
        <v>7025</v>
      </c>
      <c r="AP4" s="13" t="s">
        <v>7025</v>
      </c>
      <c r="AQ4" s="13" t="s">
        <v>7025</v>
      </c>
      <c r="AR4" s="13" t="s">
        <v>7025</v>
      </c>
      <c r="AS4" s="13" t="s">
        <v>7025</v>
      </c>
      <c r="AT4" s="13" t="s">
        <v>7025</v>
      </c>
      <c r="AU4" s="13" t="s">
        <v>7025</v>
      </c>
      <c r="AV4" s="13" t="s">
        <v>7025</v>
      </c>
      <c r="AW4" s="13" t="s">
        <v>7025</v>
      </c>
      <c r="AX4" s="13" t="s">
        <v>7025</v>
      </c>
      <c r="AY4" s="13" t="s">
        <v>7025</v>
      </c>
      <c r="AZ4" s="13" t="s">
        <v>7025</v>
      </c>
      <c r="BA4" s="13" t="s">
        <v>7025</v>
      </c>
      <c r="BB4" s="13" t="s">
        <v>7025</v>
      </c>
      <c r="BC4" s="13" t="s">
        <v>7025</v>
      </c>
      <c r="BD4" s="13" t="s">
        <v>7025</v>
      </c>
      <c r="BE4" s="13" t="s">
        <v>7025</v>
      </c>
      <c r="BF4" s="13" t="s">
        <v>7025</v>
      </c>
      <c r="BG4" s="13" t="s">
        <v>7025</v>
      </c>
      <c r="BH4" s="13" t="s">
        <v>7025</v>
      </c>
      <c r="BI4" s="13" t="s">
        <v>7025</v>
      </c>
      <c r="BJ4" s="13" t="s">
        <v>7025</v>
      </c>
      <c r="BK4" s="13" t="s">
        <v>7025</v>
      </c>
      <c r="BL4" s="13" t="s">
        <v>7025</v>
      </c>
      <c r="BM4" s="13" t="s">
        <v>7025</v>
      </c>
    </row>
    <row r="5" ht="15.75" customHeight="1">
      <c r="A5" s="233" t="s">
        <v>7048</v>
      </c>
      <c r="B5" s="13" t="s">
        <v>7049</v>
      </c>
      <c r="C5" s="13" t="s">
        <v>7023</v>
      </c>
      <c r="D5" s="13" t="s">
        <v>7049</v>
      </c>
      <c r="E5" s="13" t="s">
        <v>7023</v>
      </c>
      <c r="F5" s="13" t="s">
        <v>7049</v>
      </c>
      <c r="G5" s="13" t="s">
        <v>7023</v>
      </c>
      <c r="H5" s="13" t="s">
        <v>7049</v>
      </c>
      <c r="I5" s="13" t="s">
        <v>7023</v>
      </c>
      <c r="J5" s="13" t="s">
        <v>7049</v>
      </c>
      <c r="K5" s="13" t="s">
        <v>7023</v>
      </c>
      <c r="L5" s="13" t="s">
        <v>7049</v>
      </c>
      <c r="M5" s="13" t="s">
        <v>7023</v>
      </c>
      <c r="N5" s="13" t="s">
        <v>7049</v>
      </c>
      <c r="O5" s="13" t="s">
        <v>7023</v>
      </c>
      <c r="P5" s="13" t="s">
        <v>7049</v>
      </c>
      <c r="Q5" s="13" t="s">
        <v>7023</v>
      </c>
      <c r="R5" s="13" t="s">
        <v>7049</v>
      </c>
      <c r="S5" s="13" t="s">
        <v>7049</v>
      </c>
      <c r="T5" s="13" t="s">
        <v>7023</v>
      </c>
      <c r="U5" s="13" t="s">
        <v>7049</v>
      </c>
      <c r="V5" s="13" t="s">
        <v>7023</v>
      </c>
      <c r="W5" s="13" t="s">
        <v>7049</v>
      </c>
      <c r="X5" s="13" t="s">
        <v>7023</v>
      </c>
      <c r="Y5" s="13" t="s">
        <v>7049</v>
      </c>
      <c r="Z5" s="13" t="s">
        <v>7049</v>
      </c>
      <c r="AA5" s="13" t="s">
        <v>7023</v>
      </c>
      <c r="AB5" s="13" t="s">
        <v>7049</v>
      </c>
      <c r="AC5" s="13" t="s">
        <v>7023</v>
      </c>
      <c r="AD5" s="13" t="s">
        <v>7049</v>
      </c>
      <c r="AE5" s="13" t="s">
        <v>7023</v>
      </c>
      <c r="AF5" s="13" t="s">
        <v>7049</v>
      </c>
      <c r="AH5" s="116" t="s">
        <v>7023</v>
      </c>
      <c r="AI5" s="13" t="s">
        <v>7023</v>
      </c>
      <c r="AJ5" s="13" t="s">
        <v>7023</v>
      </c>
      <c r="AK5" s="13" t="s">
        <v>7023</v>
      </c>
      <c r="AL5" s="13" t="s">
        <v>7023</v>
      </c>
      <c r="AM5" s="13" t="s">
        <v>7023</v>
      </c>
      <c r="AN5" s="13" t="s">
        <v>7023</v>
      </c>
      <c r="AO5" s="13" t="s">
        <v>7023</v>
      </c>
      <c r="AP5" s="13" t="s">
        <v>7023</v>
      </c>
      <c r="AQ5" s="13" t="s">
        <v>7023</v>
      </c>
      <c r="AR5" s="13" t="s">
        <v>7023</v>
      </c>
      <c r="AS5" s="13" t="s">
        <v>7023</v>
      </c>
      <c r="AT5" s="13" t="s">
        <v>7023</v>
      </c>
      <c r="AU5" s="13" t="s">
        <v>7023</v>
      </c>
      <c r="AV5" s="13" t="s">
        <v>7023</v>
      </c>
      <c r="AW5" s="13" t="s">
        <v>7023</v>
      </c>
      <c r="AX5" s="13" t="s">
        <v>7023</v>
      </c>
      <c r="AY5" s="13" t="s">
        <v>7023</v>
      </c>
      <c r="AZ5" s="13" t="s">
        <v>7023</v>
      </c>
      <c r="BA5" s="13" t="s">
        <v>7023</v>
      </c>
      <c r="BB5" s="13" t="s">
        <v>7023</v>
      </c>
      <c r="BC5" s="13" t="s">
        <v>7023</v>
      </c>
      <c r="BD5" s="13" t="s">
        <v>7023</v>
      </c>
      <c r="BE5" s="13" t="s">
        <v>7023</v>
      </c>
      <c r="BF5" s="13" t="s">
        <v>7023</v>
      </c>
      <c r="BG5" s="13" t="s">
        <v>7023</v>
      </c>
      <c r="BH5" s="13" t="s">
        <v>7023</v>
      </c>
      <c r="BI5" s="13" t="s">
        <v>7023</v>
      </c>
      <c r="BJ5" s="13" t="s">
        <v>7023</v>
      </c>
      <c r="BK5" s="13" t="s">
        <v>7023</v>
      </c>
      <c r="BL5" s="13" t="s">
        <v>7023</v>
      </c>
      <c r="BM5" s="13" t="s">
        <v>7023</v>
      </c>
    </row>
    <row r="6" ht="15.75" customHeight="1">
      <c r="A6" s="13" t="s">
        <v>7050</v>
      </c>
      <c r="B6" s="13">
        <v>1.0</v>
      </c>
      <c r="C6" s="13">
        <v>2.0</v>
      </c>
      <c r="D6" s="13">
        <v>3.0</v>
      </c>
      <c r="E6" s="13">
        <v>4.0</v>
      </c>
      <c r="F6" s="13">
        <v>5.0</v>
      </c>
      <c r="G6" s="13">
        <v>6.0</v>
      </c>
      <c r="H6" s="13">
        <v>7.0</v>
      </c>
      <c r="I6" s="13">
        <v>8.0</v>
      </c>
      <c r="J6" s="13">
        <v>9.0</v>
      </c>
      <c r="K6" s="13">
        <v>10.0</v>
      </c>
      <c r="L6" s="13">
        <v>11.0</v>
      </c>
      <c r="M6" s="13">
        <v>12.0</v>
      </c>
      <c r="N6" s="13">
        <v>13.0</v>
      </c>
      <c r="O6" s="13">
        <v>14.0</v>
      </c>
      <c r="P6" s="13">
        <v>15.0</v>
      </c>
      <c r="Q6" s="13">
        <v>16.0</v>
      </c>
      <c r="R6" s="13">
        <v>17.0</v>
      </c>
      <c r="S6" s="13">
        <v>18.0</v>
      </c>
      <c r="T6" s="13">
        <v>19.0</v>
      </c>
      <c r="U6" s="13">
        <v>20.0</v>
      </c>
      <c r="V6" s="13">
        <v>21.0</v>
      </c>
      <c r="W6" s="13">
        <v>22.0</v>
      </c>
      <c r="X6" s="13">
        <v>23.0</v>
      </c>
      <c r="Y6" s="13">
        <v>24.0</v>
      </c>
      <c r="Z6" s="13">
        <v>25.0</v>
      </c>
      <c r="AA6" s="13">
        <v>26.0</v>
      </c>
      <c r="AB6" s="13">
        <v>27.0</v>
      </c>
      <c r="AC6" s="13">
        <v>28.0</v>
      </c>
      <c r="AD6" s="13">
        <v>29.0</v>
      </c>
      <c r="AE6" s="13">
        <v>30.0</v>
      </c>
      <c r="AF6" s="13">
        <v>31.0</v>
      </c>
      <c r="AG6" s="13">
        <v>32.0</v>
      </c>
      <c r="AH6" s="116" t="s">
        <v>7051</v>
      </c>
      <c r="AI6" s="236">
        <v>33.0</v>
      </c>
      <c r="AJ6" s="236">
        <v>34.0</v>
      </c>
      <c r="AK6" s="236">
        <v>35.0</v>
      </c>
      <c r="AL6" s="236">
        <v>36.0</v>
      </c>
      <c r="AM6" s="236">
        <v>37.0</v>
      </c>
      <c r="AN6" s="236">
        <v>38.0</v>
      </c>
      <c r="AO6" s="236">
        <v>39.0</v>
      </c>
      <c r="AP6" s="236">
        <v>40.0</v>
      </c>
      <c r="AQ6" s="236">
        <v>41.0</v>
      </c>
      <c r="AR6" s="236">
        <v>42.0</v>
      </c>
      <c r="AS6" s="236">
        <v>43.0</v>
      </c>
      <c r="AT6" s="236">
        <v>44.0</v>
      </c>
      <c r="AU6" s="236">
        <v>45.0</v>
      </c>
      <c r="AV6" s="236">
        <v>46.0</v>
      </c>
      <c r="AW6" s="236" t="s">
        <v>7052</v>
      </c>
      <c r="AX6" s="237">
        <v>49.0</v>
      </c>
      <c r="AY6" s="237">
        <v>50.0</v>
      </c>
      <c r="AZ6" s="238">
        <v>53.0</v>
      </c>
      <c r="BA6" s="238">
        <v>54.0</v>
      </c>
      <c r="BB6" s="238">
        <v>55.0</v>
      </c>
      <c r="BC6" s="238">
        <v>56.0</v>
      </c>
      <c r="BD6" s="238">
        <v>57.0</v>
      </c>
      <c r="BE6" s="238">
        <v>58.0</v>
      </c>
      <c r="BF6" s="238">
        <v>59.0</v>
      </c>
      <c r="BG6" s="238">
        <v>60.0</v>
      </c>
      <c r="BH6" s="118">
        <v>51.0</v>
      </c>
      <c r="BI6" s="118">
        <v>52.0</v>
      </c>
      <c r="BJ6" s="13">
        <v>61.0</v>
      </c>
      <c r="BK6" s="13">
        <v>62.0</v>
      </c>
      <c r="BL6" s="13">
        <v>63.0</v>
      </c>
      <c r="BM6" s="13">
        <v>64.0</v>
      </c>
    </row>
    <row r="7" ht="15.75" customHeight="1">
      <c r="A7" s="233" t="s">
        <v>7053</v>
      </c>
      <c r="B7" s="10"/>
      <c r="C7" s="10"/>
      <c r="D7" s="10" t="s">
        <v>7054</v>
      </c>
      <c r="E7" s="10"/>
      <c r="F7" s="10"/>
      <c r="G7" s="10"/>
      <c r="H7" s="10"/>
      <c r="I7" s="10"/>
      <c r="J7" s="10"/>
      <c r="K7" s="10"/>
      <c r="L7" s="10"/>
      <c r="M7" s="10"/>
      <c r="N7" s="10"/>
      <c r="O7" s="10"/>
      <c r="P7" s="10" t="s">
        <v>7055</v>
      </c>
      <c r="Q7" s="10" t="s">
        <v>7055</v>
      </c>
      <c r="R7" s="10"/>
      <c r="S7" s="10" t="s">
        <v>7056</v>
      </c>
      <c r="T7" s="10" t="s">
        <v>7057</v>
      </c>
      <c r="U7" s="10" t="s">
        <v>7056</v>
      </c>
      <c r="V7" s="10" t="s">
        <v>7058</v>
      </c>
      <c r="W7" s="10"/>
      <c r="X7" s="10" t="s">
        <v>7059</v>
      </c>
      <c r="Y7" s="10" t="s">
        <v>7060</v>
      </c>
      <c r="Z7" s="119" t="s">
        <v>7061</v>
      </c>
      <c r="AA7" s="10"/>
      <c r="AB7" s="10" t="s">
        <v>7060</v>
      </c>
      <c r="AC7" s="10"/>
      <c r="AD7" s="10" t="s">
        <v>7062</v>
      </c>
      <c r="AE7" s="10"/>
      <c r="AF7" s="119" t="s">
        <v>7063</v>
      </c>
      <c r="AG7" s="10" t="s">
        <v>7064</v>
      </c>
      <c r="AH7" s="108"/>
      <c r="AI7" s="10" t="s">
        <v>7065</v>
      </c>
      <c r="AJ7" s="10"/>
      <c r="AK7" s="10" t="s">
        <v>7066</v>
      </c>
      <c r="AL7" s="10"/>
      <c r="AM7" s="10" t="s">
        <v>7056</v>
      </c>
      <c r="AN7" s="10"/>
      <c r="AO7" s="10" t="s">
        <v>7067</v>
      </c>
      <c r="AP7" s="10" t="s">
        <v>7068</v>
      </c>
      <c r="AQ7" s="10" t="s">
        <v>7069</v>
      </c>
      <c r="AR7" s="10"/>
      <c r="AS7" s="10" t="s">
        <v>7070</v>
      </c>
      <c r="AT7" s="10"/>
      <c r="AU7" s="10" t="s">
        <v>7069</v>
      </c>
      <c r="AV7" s="10"/>
      <c r="AW7" s="10" t="s">
        <v>7071</v>
      </c>
      <c r="AX7" s="119" t="s">
        <v>7072</v>
      </c>
      <c r="AY7" s="119" t="s">
        <v>7072</v>
      </c>
      <c r="AZ7" s="10"/>
      <c r="BA7" s="10"/>
      <c r="BB7" s="10"/>
      <c r="BC7" s="10"/>
      <c r="BD7" s="10"/>
      <c r="BE7" s="10"/>
      <c r="BF7" s="10"/>
      <c r="BG7" s="10"/>
      <c r="BH7" s="10"/>
      <c r="BI7" s="10"/>
      <c r="BJ7" s="10"/>
      <c r="BK7" s="10"/>
      <c r="BL7" s="10" t="s">
        <v>7073</v>
      </c>
      <c r="BM7" s="10"/>
    </row>
    <row r="8" ht="15.75" customHeight="1">
      <c r="A8" s="233"/>
      <c r="AH8" s="116"/>
    </row>
    <row r="9" ht="15.75" customHeight="1">
      <c r="A9" s="233"/>
      <c r="AH9" s="116"/>
    </row>
    <row r="10" ht="15.75" customHeight="1">
      <c r="AH10" s="116"/>
    </row>
    <row r="11" ht="15.75" customHeight="1">
      <c r="AH11" s="116"/>
    </row>
    <row r="12" ht="15.75" customHeight="1">
      <c r="AH12" s="116"/>
    </row>
    <row r="13" ht="15.75" customHeight="1">
      <c r="AH13" s="116"/>
    </row>
    <row r="14" ht="15.75" customHeight="1">
      <c r="AH14" s="116"/>
    </row>
    <row r="15" ht="15.75" customHeight="1">
      <c r="AH15" s="116"/>
    </row>
    <row r="16" ht="15.75" customHeight="1">
      <c r="AH16" s="116"/>
    </row>
    <row r="17" ht="15.75" customHeight="1">
      <c r="AH17" s="116"/>
    </row>
    <row r="18" ht="15.75" customHeight="1">
      <c r="AH18" s="116"/>
    </row>
    <row r="19" ht="15.75" customHeight="1">
      <c r="AH19" s="116"/>
    </row>
    <row r="20" ht="15.75" customHeight="1">
      <c r="AH20" s="116"/>
    </row>
    <row r="21" ht="15.75" customHeight="1">
      <c r="AH21" s="116"/>
    </row>
    <row r="22" ht="15.75" customHeight="1">
      <c r="AH22" s="116"/>
    </row>
    <row r="23" ht="15.75" customHeight="1">
      <c r="AH23" s="116"/>
    </row>
    <row r="24" ht="15.75" customHeight="1">
      <c r="AH24" s="116"/>
    </row>
    <row r="25" ht="15.75" customHeight="1">
      <c r="AH25" s="116"/>
    </row>
    <row r="26" ht="15.75" customHeight="1">
      <c r="AH26" s="116"/>
    </row>
    <row r="27" ht="15.75" customHeight="1">
      <c r="AH27" s="116"/>
    </row>
    <row r="28" ht="15.75" customHeight="1">
      <c r="AH28" s="116"/>
    </row>
    <row r="29" ht="15.75" customHeight="1">
      <c r="AH29" s="116"/>
    </row>
    <row r="30" ht="15.75" customHeight="1">
      <c r="AH30" s="116"/>
    </row>
    <row r="31" ht="15.75" customHeight="1">
      <c r="AH31" s="116"/>
    </row>
    <row r="32" ht="15.75" customHeight="1">
      <c r="AH32" s="116"/>
    </row>
    <row r="33" ht="15.75" customHeight="1">
      <c r="AH33" s="116"/>
    </row>
    <row r="34" ht="15.75" customHeight="1">
      <c r="AH34" s="116"/>
    </row>
    <row r="35" ht="15.75" customHeight="1">
      <c r="AH35" s="116"/>
    </row>
    <row r="36" ht="15.75" customHeight="1">
      <c r="AH36" s="116"/>
    </row>
    <row r="37" ht="15.75" customHeight="1">
      <c r="AH37" s="116"/>
    </row>
    <row r="38" ht="15.75" customHeight="1">
      <c r="AH38" s="116"/>
    </row>
    <row r="39" ht="15.75" customHeight="1">
      <c r="AH39" s="116"/>
    </row>
    <row r="40" ht="15.75" customHeight="1">
      <c r="AH40" s="116"/>
    </row>
    <row r="41" ht="15.75" customHeight="1">
      <c r="AH41" s="116"/>
    </row>
    <row r="42" ht="15.75" customHeight="1">
      <c r="AH42" s="116"/>
    </row>
    <row r="43" ht="15.75" customHeight="1">
      <c r="AH43" s="116"/>
    </row>
    <row r="44" ht="15.75" customHeight="1">
      <c r="AH44" s="116"/>
    </row>
    <row r="45" ht="15.75" customHeight="1">
      <c r="AH45" s="116"/>
    </row>
    <row r="46" ht="15.75" customHeight="1">
      <c r="AH46" s="116"/>
    </row>
    <row r="47" ht="15.75" customHeight="1">
      <c r="AH47" s="116"/>
    </row>
    <row r="48" ht="15.75" customHeight="1">
      <c r="AH48" s="116"/>
    </row>
    <row r="49" ht="15.75" customHeight="1">
      <c r="AH49" s="116"/>
    </row>
    <row r="50" ht="15.75" customHeight="1">
      <c r="AH50" s="116"/>
    </row>
    <row r="51" ht="15.75" customHeight="1">
      <c r="AH51" s="116"/>
    </row>
    <row r="52" ht="15.75" customHeight="1">
      <c r="AH52" s="116"/>
    </row>
    <row r="53" ht="15.75" customHeight="1">
      <c r="AH53" s="116"/>
    </row>
    <row r="54" ht="15.75" customHeight="1">
      <c r="AH54" s="116"/>
    </row>
    <row r="55" ht="15.75" customHeight="1">
      <c r="AH55" s="116"/>
    </row>
    <row r="56" ht="15.75" customHeight="1">
      <c r="AH56" s="116"/>
    </row>
    <row r="57" ht="15.75" customHeight="1">
      <c r="AH57" s="116"/>
    </row>
    <row r="58" ht="15.75" customHeight="1">
      <c r="AH58" s="116"/>
    </row>
    <row r="59" ht="15.75" customHeight="1">
      <c r="AH59" s="116"/>
    </row>
    <row r="60" ht="15.75" customHeight="1">
      <c r="AH60" s="116"/>
    </row>
    <row r="61" ht="15.75" customHeight="1">
      <c r="AH61" s="116"/>
    </row>
    <row r="62" ht="15.75" customHeight="1">
      <c r="AH62" s="116"/>
    </row>
    <row r="63" ht="15.75" customHeight="1">
      <c r="AH63" s="116"/>
    </row>
    <row r="64" ht="15.75" customHeight="1">
      <c r="AH64" s="116"/>
    </row>
    <row r="65" ht="15.75" customHeight="1">
      <c r="AH65" s="116"/>
    </row>
    <row r="66" ht="15.75" customHeight="1">
      <c r="AH66" s="116"/>
    </row>
    <row r="67" ht="15.75" customHeight="1">
      <c r="AH67" s="116"/>
    </row>
    <row r="68" ht="15.75" customHeight="1">
      <c r="AH68" s="116"/>
    </row>
    <row r="69" ht="15.75" customHeight="1">
      <c r="AH69" s="116"/>
    </row>
    <row r="70" ht="15.75" customHeight="1">
      <c r="AH70" s="116"/>
    </row>
    <row r="71" ht="15.75" customHeight="1">
      <c r="AH71" s="116"/>
    </row>
    <row r="72" ht="15.75" customHeight="1">
      <c r="AH72" s="116"/>
    </row>
    <row r="73" ht="15.75" customHeight="1">
      <c r="AH73" s="116"/>
    </row>
    <row r="74" ht="15.75" customHeight="1">
      <c r="AH74" s="116"/>
    </row>
    <row r="75" ht="15.75" customHeight="1">
      <c r="AH75" s="116"/>
    </row>
    <row r="76" ht="15.75" customHeight="1">
      <c r="AH76" s="116"/>
    </row>
    <row r="77" ht="15.75" customHeight="1">
      <c r="AH77" s="116"/>
    </row>
    <row r="78" ht="15.75" customHeight="1">
      <c r="AH78" s="116"/>
    </row>
    <row r="79" ht="15.75" customHeight="1">
      <c r="AH79" s="116"/>
    </row>
    <row r="80" ht="15.75" customHeight="1">
      <c r="AH80" s="116"/>
    </row>
    <row r="81" ht="15.75" customHeight="1">
      <c r="AH81" s="116"/>
    </row>
    <row r="82" ht="15.75" customHeight="1">
      <c r="AH82" s="116"/>
    </row>
    <row r="83" ht="15.75" customHeight="1">
      <c r="AH83" s="116"/>
    </row>
    <row r="84" ht="15.75" customHeight="1">
      <c r="AH84" s="116"/>
    </row>
    <row r="85" ht="15.75" customHeight="1">
      <c r="AH85" s="116"/>
    </row>
    <row r="86" ht="15.75" customHeight="1">
      <c r="AH86" s="116"/>
    </row>
    <row r="87" ht="15.75" customHeight="1">
      <c r="AH87" s="116"/>
    </row>
    <row r="88" ht="15.75" customHeight="1">
      <c r="AH88" s="116"/>
    </row>
    <row r="89" ht="15.75" customHeight="1">
      <c r="AH89" s="116"/>
    </row>
    <row r="90" ht="15.75" customHeight="1">
      <c r="AH90" s="116"/>
    </row>
    <row r="91" ht="15.75" customHeight="1">
      <c r="AH91" s="116"/>
    </row>
    <row r="92" ht="15.75" customHeight="1">
      <c r="AH92" s="116"/>
    </row>
    <row r="93" ht="15.75" customHeight="1">
      <c r="AH93" s="116"/>
    </row>
    <row r="94" ht="15.75" customHeight="1">
      <c r="AH94" s="116"/>
    </row>
    <row r="95" ht="15.75" customHeight="1">
      <c r="AH95" s="116"/>
    </row>
    <row r="96" ht="15.75" customHeight="1">
      <c r="AH96" s="116"/>
    </row>
    <row r="97" ht="15.75" customHeight="1">
      <c r="AH97" s="116"/>
    </row>
    <row r="98" ht="15.75" customHeight="1">
      <c r="AH98" s="116"/>
    </row>
    <row r="99" ht="15.75" customHeight="1">
      <c r="AH99" s="116"/>
    </row>
    <row r="100" ht="15.75" customHeight="1">
      <c r="AH100" s="116"/>
    </row>
    <row r="101" ht="15.75" customHeight="1">
      <c r="AH101" s="116"/>
    </row>
    <row r="102" ht="15.75" customHeight="1">
      <c r="AH102" s="116"/>
    </row>
    <row r="103" ht="15.75" customHeight="1">
      <c r="AH103" s="116"/>
    </row>
    <row r="104" ht="15.75" customHeight="1">
      <c r="AH104" s="116"/>
    </row>
    <row r="105" ht="15.75" customHeight="1">
      <c r="AH105" s="116"/>
    </row>
    <row r="106" ht="15.75" customHeight="1">
      <c r="AH106" s="116"/>
    </row>
    <row r="107" ht="15.75" customHeight="1">
      <c r="AH107" s="116"/>
    </row>
    <row r="108" ht="15.75" customHeight="1">
      <c r="AH108" s="116"/>
    </row>
    <row r="109" ht="15.75" customHeight="1">
      <c r="AH109" s="116"/>
    </row>
    <row r="110" ht="15.75" customHeight="1">
      <c r="AH110" s="116"/>
    </row>
    <row r="111" ht="15.75" customHeight="1">
      <c r="AH111" s="116"/>
    </row>
    <row r="112" ht="15.75" customHeight="1">
      <c r="AH112" s="116"/>
    </row>
    <row r="113" ht="15.75" customHeight="1">
      <c r="AH113" s="116"/>
    </row>
    <row r="114" ht="15.75" customHeight="1">
      <c r="AH114" s="116"/>
    </row>
    <row r="115" ht="15.75" customHeight="1">
      <c r="AH115" s="116"/>
    </row>
    <row r="116" ht="15.75" customHeight="1">
      <c r="AH116" s="116"/>
    </row>
    <row r="117" ht="15.75" customHeight="1">
      <c r="AH117" s="116"/>
    </row>
    <row r="118" ht="15.75" customHeight="1">
      <c r="AH118" s="116"/>
    </row>
    <row r="119" ht="15.75" customHeight="1">
      <c r="AH119" s="116"/>
    </row>
    <row r="120" ht="15.75" customHeight="1">
      <c r="AH120" s="116"/>
    </row>
    <row r="121" ht="15.75" customHeight="1">
      <c r="AH121" s="116"/>
    </row>
    <row r="122" ht="15.75" customHeight="1">
      <c r="AH122" s="116"/>
    </row>
    <row r="123" ht="15.75" customHeight="1">
      <c r="AH123" s="116"/>
    </row>
    <row r="124" ht="15.75" customHeight="1">
      <c r="AH124" s="116"/>
    </row>
    <row r="125" ht="15.75" customHeight="1">
      <c r="AH125" s="116"/>
    </row>
    <row r="126" ht="15.75" customHeight="1">
      <c r="AH126" s="116"/>
    </row>
    <row r="127" ht="15.75" customHeight="1">
      <c r="AH127" s="116"/>
    </row>
    <row r="128" ht="15.75" customHeight="1">
      <c r="AH128" s="116"/>
    </row>
    <row r="129" ht="15.75" customHeight="1">
      <c r="AH129" s="116"/>
    </row>
    <row r="130" ht="15.75" customHeight="1">
      <c r="AH130" s="116"/>
    </row>
    <row r="131" ht="15.75" customHeight="1">
      <c r="AH131" s="116"/>
    </row>
    <row r="132" ht="15.75" customHeight="1">
      <c r="AH132" s="116"/>
    </row>
    <row r="133" ht="15.75" customHeight="1">
      <c r="AH133" s="116"/>
    </row>
    <row r="134" ht="15.75" customHeight="1">
      <c r="AH134" s="116"/>
    </row>
    <row r="135" ht="15.75" customHeight="1">
      <c r="AH135" s="116"/>
    </row>
    <row r="136" ht="15.75" customHeight="1">
      <c r="AH136" s="116"/>
    </row>
    <row r="137" ht="15.75" customHeight="1">
      <c r="AH137" s="116"/>
    </row>
    <row r="138" ht="15.75" customHeight="1">
      <c r="AH138" s="116"/>
    </row>
    <row r="139" ht="15.75" customHeight="1">
      <c r="AH139" s="116"/>
    </row>
    <row r="140" ht="15.75" customHeight="1">
      <c r="AH140" s="116"/>
    </row>
    <row r="141" ht="15.75" customHeight="1">
      <c r="AH141" s="116"/>
    </row>
    <row r="142" ht="15.75" customHeight="1">
      <c r="AH142" s="116"/>
    </row>
    <row r="143" ht="15.75" customHeight="1">
      <c r="AH143" s="116"/>
    </row>
    <row r="144" ht="15.75" customHeight="1">
      <c r="AH144" s="116"/>
    </row>
    <row r="145" ht="15.75" customHeight="1">
      <c r="AH145" s="116"/>
    </row>
    <row r="146" ht="15.75" customHeight="1">
      <c r="AH146" s="116"/>
    </row>
    <row r="147" ht="15.75" customHeight="1">
      <c r="AH147" s="116"/>
    </row>
    <row r="148" ht="15.75" customHeight="1">
      <c r="AH148" s="116"/>
    </row>
    <row r="149" ht="15.75" customHeight="1">
      <c r="AH149" s="116"/>
    </row>
    <row r="150" ht="15.75" customHeight="1">
      <c r="AH150" s="116"/>
    </row>
    <row r="151" ht="15.75" customHeight="1">
      <c r="AH151" s="116"/>
    </row>
    <row r="152" ht="15.75" customHeight="1">
      <c r="AH152" s="116"/>
    </row>
    <row r="153" ht="15.75" customHeight="1">
      <c r="AH153" s="116"/>
    </row>
    <row r="154" ht="15.75" customHeight="1">
      <c r="AH154" s="116"/>
    </row>
    <row r="155" ht="15.75" customHeight="1">
      <c r="AH155" s="116"/>
    </row>
    <row r="156" ht="15.75" customHeight="1">
      <c r="AH156" s="116"/>
    </row>
    <row r="157" ht="15.75" customHeight="1">
      <c r="AH157" s="116"/>
    </row>
    <row r="158" ht="15.75" customHeight="1">
      <c r="AH158" s="116"/>
    </row>
    <row r="159" ht="15.75" customHeight="1">
      <c r="AH159" s="116"/>
    </row>
    <row r="160" ht="15.75" customHeight="1">
      <c r="AH160" s="116"/>
    </row>
    <row r="161" ht="15.75" customHeight="1">
      <c r="AH161" s="116"/>
    </row>
    <row r="162" ht="15.75" customHeight="1">
      <c r="AH162" s="116"/>
    </row>
    <row r="163" ht="15.75" customHeight="1">
      <c r="AH163" s="116"/>
    </row>
    <row r="164" ht="15.75" customHeight="1">
      <c r="AH164" s="116"/>
    </row>
    <row r="165" ht="15.75" customHeight="1">
      <c r="AH165" s="116"/>
    </row>
    <row r="166" ht="15.75" customHeight="1">
      <c r="AH166" s="116"/>
    </row>
    <row r="167" ht="15.75" customHeight="1">
      <c r="AH167" s="116"/>
    </row>
    <row r="168" ht="15.75" customHeight="1">
      <c r="AH168" s="116"/>
    </row>
    <row r="169" ht="15.75" customHeight="1">
      <c r="AH169" s="116"/>
    </row>
    <row r="170" ht="15.75" customHeight="1">
      <c r="AH170" s="116"/>
    </row>
    <row r="171" ht="15.75" customHeight="1">
      <c r="AH171" s="116"/>
    </row>
    <row r="172" ht="15.75" customHeight="1">
      <c r="AH172" s="116"/>
    </row>
    <row r="173" ht="15.75" customHeight="1">
      <c r="AH173" s="116"/>
    </row>
    <row r="174" ht="15.75" customHeight="1">
      <c r="AH174" s="116"/>
    </row>
    <row r="175" ht="15.75" customHeight="1">
      <c r="AH175" s="116"/>
    </row>
    <row r="176" ht="15.75" customHeight="1">
      <c r="AH176" s="116"/>
    </row>
    <row r="177" ht="15.75" customHeight="1">
      <c r="AH177" s="116"/>
    </row>
    <row r="178" ht="15.75" customHeight="1">
      <c r="AH178" s="116"/>
    </row>
    <row r="179" ht="15.75" customHeight="1">
      <c r="AH179" s="116"/>
    </row>
    <row r="180" ht="15.75" customHeight="1">
      <c r="AH180" s="116"/>
    </row>
    <row r="181" ht="15.75" customHeight="1">
      <c r="AH181" s="116"/>
    </row>
    <row r="182" ht="15.75" customHeight="1">
      <c r="AH182" s="116"/>
    </row>
    <row r="183" ht="15.75" customHeight="1">
      <c r="AH183" s="116"/>
    </row>
    <row r="184" ht="15.75" customHeight="1">
      <c r="AH184" s="116"/>
    </row>
    <row r="185" ht="15.75" customHeight="1">
      <c r="AH185" s="116"/>
    </row>
    <row r="186" ht="15.75" customHeight="1">
      <c r="AH186" s="116"/>
    </row>
    <row r="187" ht="15.75" customHeight="1">
      <c r="AH187" s="116"/>
    </row>
    <row r="188" ht="15.75" customHeight="1">
      <c r="AH188" s="116"/>
    </row>
    <row r="189" ht="15.75" customHeight="1">
      <c r="AH189" s="116"/>
    </row>
    <row r="190" ht="15.75" customHeight="1">
      <c r="AH190" s="116"/>
    </row>
    <row r="191" ht="15.75" customHeight="1">
      <c r="AH191" s="116"/>
    </row>
    <row r="192" ht="15.75" customHeight="1">
      <c r="AH192" s="116"/>
    </row>
    <row r="193" ht="15.75" customHeight="1">
      <c r="AH193" s="116"/>
    </row>
    <row r="194" ht="15.75" customHeight="1">
      <c r="AH194" s="116"/>
    </row>
    <row r="195" ht="15.75" customHeight="1">
      <c r="AH195" s="116"/>
    </row>
    <row r="196" ht="15.75" customHeight="1">
      <c r="AH196" s="116"/>
    </row>
    <row r="197" ht="15.75" customHeight="1">
      <c r="AH197" s="116"/>
    </row>
    <row r="198" ht="15.75" customHeight="1">
      <c r="AH198" s="116"/>
    </row>
    <row r="199" ht="15.75" customHeight="1">
      <c r="AH199" s="116"/>
    </row>
    <row r="200" ht="15.75" customHeight="1">
      <c r="AH200" s="116"/>
    </row>
    <row r="201" ht="15.75" customHeight="1">
      <c r="AH201" s="116"/>
    </row>
    <row r="202" ht="15.75" customHeight="1">
      <c r="AH202" s="116"/>
    </row>
    <row r="203" ht="15.75" customHeight="1">
      <c r="AH203" s="116"/>
    </row>
    <row r="204" ht="15.75" customHeight="1">
      <c r="AH204" s="116"/>
    </row>
    <row r="205" ht="15.75" customHeight="1">
      <c r="AH205" s="116"/>
    </row>
    <row r="206" ht="15.75" customHeight="1">
      <c r="AH206" s="116"/>
    </row>
    <row r="207" ht="15.75" customHeight="1">
      <c r="AH207" s="116"/>
    </row>
    <row r="208" ht="15.75" customHeight="1">
      <c r="AH208" s="116"/>
    </row>
    <row r="209" ht="15.75" customHeight="1">
      <c r="AH209" s="116"/>
    </row>
    <row r="210" ht="15.75" customHeight="1">
      <c r="AH210" s="116"/>
    </row>
    <row r="211" ht="15.75" customHeight="1">
      <c r="AH211" s="116"/>
    </row>
    <row r="212" ht="15.75" customHeight="1">
      <c r="AH212" s="116"/>
    </row>
    <row r="213" ht="15.75" customHeight="1">
      <c r="AH213" s="116"/>
    </row>
    <row r="214" ht="15.75" customHeight="1">
      <c r="AH214" s="116"/>
    </row>
    <row r="215" ht="15.75" customHeight="1">
      <c r="AH215" s="116"/>
    </row>
    <row r="216" ht="15.75" customHeight="1">
      <c r="AH216" s="116"/>
    </row>
    <row r="217" ht="15.75" customHeight="1">
      <c r="AH217" s="116"/>
    </row>
    <row r="218" ht="15.75" customHeight="1">
      <c r="AH218" s="116"/>
    </row>
    <row r="219" ht="15.75" customHeight="1">
      <c r="AH219" s="116"/>
    </row>
    <row r="220" ht="15.75" customHeight="1">
      <c r="AH220" s="1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 max="1" width="14.5"/>
    <col customWidth="1" min="2" max="6" width="12.63"/>
  </cols>
  <sheetData>
    <row r="1" ht="63.75" customHeight="1">
      <c r="A1" s="10" t="s">
        <v>7018</v>
      </c>
      <c r="B1" s="10"/>
      <c r="C1" s="10"/>
      <c r="D1" s="10"/>
      <c r="E1" s="10"/>
      <c r="F1" s="10"/>
      <c r="G1" s="10"/>
      <c r="H1" s="10"/>
      <c r="I1" s="10"/>
      <c r="J1" s="10"/>
      <c r="K1" s="10"/>
      <c r="L1" s="10"/>
      <c r="M1" s="10"/>
      <c r="N1" s="10"/>
      <c r="O1" s="10"/>
      <c r="P1" s="10"/>
      <c r="Q1" s="10"/>
      <c r="R1" s="10"/>
      <c r="S1" s="10"/>
      <c r="T1" s="10"/>
      <c r="U1" s="10"/>
      <c r="V1" s="10"/>
      <c r="W1" s="10"/>
      <c r="X1" s="10"/>
      <c r="Y1" s="10"/>
      <c r="Z1" s="13"/>
      <c r="AA1" s="10"/>
      <c r="AB1" s="10"/>
      <c r="AC1" s="10"/>
      <c r="AD1" s="10"/>
      <c r="AE1" s="10"/>
      <c r="AF1" s="10"/>
      <c r="AG1" s="188" t="s">
        <v>7044</v>
      </c>
      <c r="AH1" s="10"/>
      <c r="AI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row>
    <row r="2" ht="15.75" customHeight="1">
      <c r="A2" s="126"/>
      <c r="B2" s="220">
        <v>1.0</v>
      </c>
      <c r="C2" s="221">
        <v>2.0</v>
      </c>
      <c r="D2" s="221">
        <v>3.0</v>
      </c>
      <c r="E2" s="222">
        <v>4.0</v>
      </c>
      <c r="F2" s="221">
        <v>5.0</v>
      </c>
      <c r="G2" s="221">
        <v>6.0</v>
      </c>
      <c r="H2" s="223">
        <v>7.0</v>
      </c>
      <c r="I2" s="221">
        <v>8.0</v>
      </c>
      <c r="J2" s="221">
        <v>9.0</v>
      </c>
      <c r="K2" s="220">
        <v>10.0</v>
      </c>
      <c r="L2" s="221">
        <v>11.0</v>
      </c>
      <c r="M2" s="221">
        <v>12.0</v>
      </c>
      <c r="N2" s="222">
        <v>13.0</v>
      </c>
      <c r="O2" s="221">
        <v>14.0</v>
      </c>
      <c r="P2" s="221">
        <v>15.0</v>
      </c>
      <c r="Q2" s="224" t="s">
        <v>120</v>
      </c>
      <c r="R2" s="225" t="s">
        <v>121</v>
      </c>
      <c r="S2" s="226" t="s">
        <v>122</v>
      </c>
      <c r="T2" s="221">
        <v>19.0</v>
      </c>
      <c r="U2" s="222">
        <v>20.0</v>
      </c>
      <c r="V2" s="221">
        <v>21.0</v>
      </c>
      <c r="W2" s="221">
        <v>22.0</v>
      </c>
      <c r="X2" s="223">
        <v>23.0</v>
      </c>
      <c r="Y2" s="221">
        <v>24.0</v>
      </c>
      <c r="Z2" s="221">
        <v>25.0</v>
      </c>
      <c r="AA2" s="220">
        <v>26.0</v>
      </c>
      <c r="AB2" s="221">
        <v>27.0</v>
      </c>
      <c r="AC2" s="221">
        <v>28.0</v>
      </c>
      <c r="AD2" s="222">
        <v>29.0</v>
      </c>
      <c r="AE2" s="221">
        <v>30.0</v>
      </c>
      <c r="AF2" s="221">
        <v>31.0</v>
      </c>
      <c r="AG2" s="239">
        <v>32.0</v>
      </c>
      <c r="AH2" s="220">
        <v>33.0</v>
      </c>
      <c r="AI2" s="221">
        <v>34.0</v>
      </c>
      <c r="AJ2" s="221">
        <v>35.0</v>
      </c>
      <c r="AK2" s="222">
        <v>36.0</v>
      </c>
      <c r="AL2" s="221">
        <v>37.0</v>
      </c>
      <c r="AM2" s="221">
        <v>38.0</v>
      </c>
      <c r="AN2" s="223">
        <v>39.0</v>
      </c>
      <c r="AO2" s="221">
        <v>40.0</v>
      </c>
      <c r="AP2" s="221">
        <v>41.0</v>
      </c>
      <c r="AQ2" s="220">
        <v>42.0</v>
      </c>
      <c r="AR2" s="221">
        <v>43.0</v>
      </c>
      <c r="AS2" s="221">
        <v>44.0</v>
      </c>
      <c r="AT2" s="222">
        <v>45.0</v>
      </c>
      <c r="AU2" s="226" t="s">
        <v>123</v>
      </c>
      <c r="AV2" s="226" t="s">
        <v>124</v>
      </c>
      <c r="AW2" s="229" t="s">
        <v>125</v>
      </c>
      <c r="AX2" s="220">
        <v>49.0</v>
      </c>
      <c r="AY2" s="221">
        <v>50.0</v>
      </c>
      <c r="AZ2" s="221">
        <v>51.0</v>
      </c>
      <c r="BA2" s="222">
        <v>52.0</v>
      </c>
      <c r="BB2" s="221">
        <v>53.0</v>
      </c>
      <c r="BC2" s="221">
        <v>54.0</v>
      </c>
      <c r="BD2" s="223">
        <v>55.0</v>
      </c>
      <c r="BE2" s="221">
        <v>56.0</v>
      </c>
      <c r="BF2" s="221">
        <v>57.0</v>
      </c>
      <c r="BG2" s="220">
        <v>58.0</v>
      </c>
      <c r="BH2" s="221">
        <v>59.0</v>
      </c>
      <c r="BI2" s="221">
        <v>60.0</v>
      </c>
      <c r="BJ2" s="222">
        <v>61.0</v>
      </c>
      <c r="BK2" s="221">
        <v>62.0</v>
      </c>
      <c r="BL2" s="221">
        <v>63.0</v>
      </c>
      <c r="BM2" s="223">
        <v>64.0</v>
      </c>
    </row>
    <row r="3" ht="15.75" customHeight="1">
      <c r="A3" s="232" t="s">
        <v>7074</v>
      </c>
      <c r="B3" s="10" t="s">
        <v>7075</v>
      </c>
      <c r="C3" s="10" t="s">
        <v>7075</v>
      </c>
      <c r="D3" s="10" t="s">
        <v>7075</v>
      </c>
      <c r="E3" s="10" t="s">
        <v>7075</v>
      </c>
      <c r="F3" s="10" t="s">
        <v>7075</v>
      </c>
      <c r="G3" s="10" t="s">
        <v>7075</v>
      </c>
      <c r="H3" s="10" t="s">
        <v>7075</v>
      </c>
      <c r="I3" s="10" t="s">
        <v>7075</v>
      </c>
      <c r="J3" s="10" t="s">
        <v>7075</v>
      </c>
      <c r="K3" s="10" t="s">
        <v>7075</v>
      </c>
      <c r="L3" s="10" t="s">
        <v>7075</v>
      </c>
      <c r="M3" s="10" t="s">
        <v>7075</v>
      </c>
      <c r="N3" s="10" t="s">
        <v>7075</v>
      </c>
      <c r="O3" s="10" t="s">
        <v>7075</v>
      </c>
      <c r="P3" s="10" t="s">
        <v>7075</v>
      </c>
      <c r="Q3" s="10" t="s">
        <v>7075</v>
      </c>
      <c r="R3" s="10" t="s">
        <v>7075</v>
      </c>
      <c r="S3" s="10" t="s">
        <v>7075</v>
      </c>
      <c r="T3" s="10" t="s">
        <v>7075</v>
      </c>
      <c r="U3" s="10" t="s">
        <v>7075</v>
      </c>
      <c r="V3" s="10" t="s">
        <v>7075</v>
      </c>
      <c r="W3" s="10" t="s">
        <v>7075</v>
      </c>
      <c r="X3" s="10" t="s">
        <v>7075</v>
      </c>
      <c r="Y3" s="10" t="s">
        <v>7075</v>
      </c>
      <c r="Z3" s="10" t="s">
        <v>7075</v>
      </c>
      <c r="AA3" s="10" t="s">
        <v>7075</v>
      </c>
      <c r="AB3" s="10" t="s">
        <v>7075</v>
      </c>
      <c r="AC3" s="10" t="s">
        <v>7075</v>
      </c>
      <c r="AD3" s="10" t="s">
        <v>7075</v>
      </c>
      <c r="AE3" s="10" t="s">
        <v>7075</v>
      </c>
      <c r="AF3" s="10" t="s">
        <v>7075</v>
      </c>
      <c r="AG3" s="10" t="s">
        <v>7075</v>
      </c>
      <c r="AH3" s="10" t="s">
        <v>7075</v>
      </c>
      <c r="AI3" s="10" t="s">
        <v>7075</v>
      </c>
      <c r="AJ3" s="10" t="s">
        <v>7075</v>
      </c>
      <c r="AK3" s="10" t="s">
        <v>7075</v>
      </c>
      <c r="AL3" s="10" t="s">
        <v>7075</v>
      </c>
      <c r="AM3" s="10" t="s">
        <v>7075</v>
      </c>
      <c r="AN3" s="10" t="s">
        <v>7075</v>
      </c>
      <c r="AO3" s="10" t="s">
        <v>7075</v>
      </c>
      <c r="AP3" s="10" t="s">
        <v>7075</v>
      </c>
      <c r="AQ3" s="10" t="s">
        <v>7075</v>
      </c>
      <c r="AR3" s="10" t="s">
        <v>7075</v>
      </c>
      <c r="AS3" s="10" t="s">
        <v>7075</v>
      </c>
      <c r="AT3" s="10" t="s">
        <v>7075</v>
      </c>
      <c r="AU3" s="10" t="s">
        <v>7075</v>
      </c>
      <c r="AV3" s="10" t="s">
        <v>7075</v>
      </c>
      <c r="AW3" s="10" t="s">
        <v>7075</v>
      </c>
      <c r="AX3" s="10" t="s">
        <v>7075</v>
      </c>
      <c r="AY3" s="10" t="s">
        <v>7075</v>
      </c>
      <c r="AZ3" s="10" t="s">
        <v>7075</v>
      </c>
      <c r="BA3" s="10" t="s">
        <v>7075</v>
      </c>
      <c r="BB3" s="10" t="s">
        <v>7075</v>
      </c>
      <c r="BC3" s="10" t="s">
        <v>7075</v>
      </c>
      <c r="BD3" s="10" t="s">
        <v>7075</v>
      </c>
      <c r="BE3" s="10" t="s">
        <v>7075</v>
      </c>
      <c r="BF3" s="10" t="s">
        <v>7075</v>
      </c>
      <c r="BG3" s="10" t="s">
        <v>7075</v>
      </c>
      <c r="BH3" s="10" t="s">
        <v>7075</v>
      </c>
      <c r="BI3" s="10" t="s">
        <v>7075</v>
      </c>
      <c r="BJ3" s="10" t="s">
        <v>7075</v>
      </c>
      <c r="BK3" s="10" t="s">
        <v>7075</v>
      </c>
      <c r="BL3" s="10" t="s">
        <v>7075</v>
      </c>
      <c r="BM3" s="10" t="s">
        <v>7075</v>
      </c>
    </row>
    <row r="4" ht="15.75" customHeight="1">
      <c r="A4" s="233" t="s">
        <v>7048</v>
      </c>
      <c r="AG4" s="193"/>
    </row>
    <row r="5" ht="15.75" customHeight="1">
      <c r="A5" s="233" t="s">
        <v>7076</v>
      </c>
      <c r="AG5" s="193"/>
    </row>
    <row r="6" ht="15.75" customHeight="1">
      <c r="A6" s="233"/>
      <c r="AG6" s="193"/>
    </row>
    <row r="7" ht="15.75" customHeight="1">
      <c r="A7" s="233"/>
      <c r="AG7" s="193"/>
    </row>
    <row r="8" ht="15.75" customHeight="1">
      <c r="A8" s="233"/>
      <c r="AG8" s="193"/>
    </row>
    <row r="9" ht="15.75" customHeight="1">
      <c r="A9" s="233"/>
      <c r="AG9" s="193"/>
    </row>
    <row r="10" ht="15.75" customHeight="1">
      <c r="AG10" s="193"/>
    </row>
    <row r="11" ht="15.75" customHeight="1">
      <c r="AG11" s="193"/>
    </row>
    <row r="12" ht="15.75" customHeight="1">
      <c r="AG12" s="193"/>
    </row>
    <row r="13" ht="15.75" customHeight="1">
      <c r="AG13" s="193"/>
    </row>
    <row r="14" ht="15.75" customHeight="1">
      <c r="AG14" s="193"/>
    </row>
    <row r="15" ht="15.75" customHeight="1">
      <c r="AG15" s="193"/>
    </row>
    <row r="16" ht="15.75" customHeight="1">
      <c r="AG16" s="193"/>
    </row>
    <row r="17" ht="15.75" customHeight="1">
      <c r="AG17" s="193"/>
    </row>
    <row r="18" ht="15.75" customHeight="1">
      <c r="AG18" s="193"/>
    </row>
    <row r="19" ht="15.75" customHeight="1">
      <c r="AG19" s="193"/>
    </row>
    <row r="20" ht="15.75" customHeight="1">
      <c r="AG20" s="193"/>
    </row>
    <row r="21" ht="15.75" customHeight="1">
      <c r="AG21" s="193"/>
    </row>
    <row r="22" ht="15.75" customHeight="1">
      <c r="AG22" s="193"/>
    </row>
    <row r="23" ht="15.75" customHeight="1">
      <c r="AG23" s="193"/>
    </row>
    <row r="24" ht="15.75" customHeight="1">
      <c r="AG24" s="193"/>
    </row>
    <row r="25" ht="15.75" customHeight="1">
      <c r="AG25" s="193"/>
    </row>
    <row r="26" ht="15.75" customHeight="1">
      <c r="AG26" s="193"/>
    </row>
    <row r="27" ht="15.75" customHeight="1">
      <c r="AG27" s="193"/>
    </row>
    <row r="28" ht="15.75" customHeight="1">
      <c r="AG28" s="193"/>
    </row>
    <row r="29" ht="15.75" customHeight="1">
      <c r="AG29" s="193"/>
    </row>
    <row r="30" ht="15.75" customHeight="1">
      <c r="AG30" s="193"/>
    </row>
    <row r="31" ht="15.75" customHeight="1">
      <c r="AG31" s="193"/>
    </row>
    <row r="32" ht="15.75" customHeight="1">
      <c r="AG32" s="193"/>
    </row>
    <row r="33" ht="15.75" customHeight="1">
      <c r="AG33" s="193"/>
    </row>
    <row r="34" ht="15.75" customHeight="1">
      <c r="AG34" s="193"/>
    </row>
    <row r="35" ht="15.75" customHeight="1">
      <c r="AG35" s="193"/>
    </row>
    <row r="36" ht="15.75" customHeight="1">
      <c r="AG36" s="193"/>
    </row>
    <row r="37" ht="15.75" customHeight="1">
      <c r="AG37" s="193"/>
    </row>
    <row r="38" ht="15.75" customHeight="1">
      <c r="AG38" s="193"/>
    </row>
    <row r="39" ht="15.75" customHeight="1">
      <c r="AG39" s="193"/>
    </row>
    <row r="40" ht="15.75" customHeight="1">
      <c r="AG40" s="193"/>
    </row>
    <row r="41" ht="15.75" customHeight="1">
      <c r="AG41" s="193"/>
    </row>
    <row r="42" ht="15.75" customHeight="1">
      <c r="AG42" s="193"/>
    </row>
    <row r="43" ht="15.75" customHeight="1">
      <c r="AG43" s="193"/>
    </row>
    <row r="44" ht="15.75" customHeight="1">
      <c r="AG44" s="193"/>
    </row>
    <row r="45" ht="15.75" customHeight="1">
      <c r="AG45" s="193"/>
    </row>
    <row r="46" ht="15.75" customHeight="1">
      <c r="AG46" s="193"/>
    </row>
    <row r="47" ht="15.75" customHeight="1">
      <c r="AG47" s="193"/>
    </row>
    <row r="48" ht="15.75" customHeight="1">
      <c r="AG48" s="193"/>
    </row>
    <row r="49" ht="15.75" customHeight="1">
      <c r="AG49" s="193"/>
    </row>
    <row r="50" ht="15.75" customHeight="1">
      <c r="AG50" s="193"/>
    </row>
    <row r="51" ht="15.75" customHeight="1">
      <c r="AG51" s="193"/>
    </row>
    <row r="52" ht="15.75" customHeight="1">
      <c r="AG52" s="193"/>
    </row>
    <row r="53" ht="15.75" customHeight="1">
      <c r="AG53" s="193"/>
    </row>
    <row r="54" ht="15.75" customHeight="1">
      <c r="AG54" s="193"/>
    </row>
    <row r="55" ht="15.75" customHeight="1">
      <c r="AG55" s="193"/>
    </row>
    <row r="56" ht="15.75" customHeight="1">
      <c r="AG56" s="193"/>
    </row>
    <row r="57" ht="15.75" customHeight="1">
      <c r="AG57" s="193"/>
    </row>
    <row r="58" ht="15.75" customHeight="1">
      <c r="AG58" s="193"/>
    </row>
    <row r="59" ht="15.75" customHeight="1">
      <c r="AG59" s="193"/>
    </row>
    <row r="60" ht="15.75" customHeight="1">
      <c r="AG60" s="193"/>
    </row>
    <row r="61" ht="15.75" customHeight="1">
      <c r="AG61" s="193"/>
    </row>
    <row r="62" ht="15.75" customHeight="1">
      <c r="AG62" s="193"/>
    </row>
    <row r="63" ht="15.75" customHeight="1">
      <c r="AG63" s="193"/>
    </row>
    <row r="64" ht="15.75" customHeight="1">
      <c r="AG64" s="193"/>
    </row>
    <row r="65" ht="15.75" customHeight="1">
      <c r="AG65" s="193"/>
    </row>
    <row r="66" ht="15.75" customHeight="1">
      <c r="AG66" s="193"/>
    </row>
    <row r="67" ht="15.75" customHeight="1">
      <c r="AG67" s="193"/>
    </row>
    <row r="68" ht="15.75" customHeight="1">
      <c r="AG68" s="193"/>
    </row>
    <row r="69" ht="15.75" customHeight="1">
      <c r="AG69" s="193"/>
    </row>
    <row r="70" ht="15.75" customHeight="1">
      <c r="AG70" s="193"/>
    </row>
    <row r="71" ht="15.75" customHeight="1">
      <c r="AG71" s="193"/>
    </row>
    <row r="72" ht="15.75" customHeight="1">
      <c r="AG72" s="193"/>
    </row>
    <row r="73" ht="15.75" customHeight="1">
      <c r="AG73" s="193"/>
    </row>
    <row r="74" ht="15.75" customHeight="1">
      <c r="AG74" s="193"/>
    </row>
    <row r="75" ht="15.75" customHeight="1">
      <c r="AG75" s="193"/>
    </row>
    <row r="76" ht="15.75" customHeight="1">
      <c r="AG76" s="193"/>
    </row>
    <row r="77" ht="15.75" customHeight="1">
      <c r="AG77" s="193"/>
    </row>
    <row r="78" ht="15.75" customHeight="1">
      <c r="AG78" s="193"/>
    </row>
    <row r="79" ht="15.75" customHeight="1">
      <c r="AG79" s="193"/>
    </row>
    <row r="80" ht="15.75" customHeight="1">
      <c r="AG80" s="193"/>
    </row>
    <row r="81" ht="15.75" customHeight="1">
      <c r="AG81" s="193"/>
    </row>
    <row r="82" ht="15.75" customHeight="1">
      <c r="AG82" s="193"/>
    </row>
    <row r="83" ht="15.75" customHeight="1">
      <c r="AG83" s="193"/>
    </row>
    <row r="84" ht="15.75" customHeight="1">
      <c r="AG84" s="193"/>
    </row>
    <row r="85" ht="15.75" customHeight="1">
      <c r="AG85" s="193"/>
    </row>
    <row r="86" ht="15.75" customHeight="1">
      <c r="AG86" s="193"/>
    </row>
    <row r="87" ht="15.75" customHeight="1">
      <c r="AG87" s="193"/>
    </row>
    <row r="88" ht="15.75" customHeight="1">
      <c r="AG88" s="193"/>
    </row>
    <row r="89" ht="15.75" customHeight="1">
      <c r="AG89" s="193"/>
    </row>
    <row r="90" ht="15.75" customHeight="1">
      <c r="AG90" s="193"/>
    </row>
    <row r="91" ht="15.75" customHeight="1">
      <c r="AG91" s="193"/>
    </row>
    <row r="92" ht="15.75" customHeight="1">
      <c r="AG92" s="193"/>
    </row>
    <row r="93" ht="15.75" customHeight="1">
      <c r="AG93" s="193"/>
    </row>
    <row r="94" ht="15.75" customHeight="1">
      <c r="AG94" s="193"/>
    </row>
    <row r="95" ht="15.75" customHeight="1">
      <c r="AG95" s="193"/>
    </row>
    <row r="96" ht="15.75" customHeight="1">
      <c r="AG96" s="193"/>
    </row>
    <row r="97" ht="15.75" customHeight="1">
      <c r="AG97" s="193"/>
    </row>
    <row r="98" ht="15.75" customHeight="1">
      <c r="AG98" s="193"/>
    </row>
    <row r="99" ht="15.75" customHeight="1">
      <c r="AG99" s="193"/>
    </row>
    <row r="100" ht="15.75" customHeight="1">
      <c r="AG100" s="193"/>
    </row>
    <row r="101" ht="15.75" customHeight="1">
      <c r="AG101" s="193"/>
    </row>
    <row r="102" ht="15.75" customHeight="1">
      <c r="AG102" s="193"/>
    </row>
    <row r="103" ht="15.75" customHeight="1">
      <c r="AG103" s="193"/>
    </row>
    <row r="104" ht="15.75" customHeight="1">
      <c r="AG104" s="193"/>
    </row>
    <row r="105" ht="15.75" customHeight="1">
      <c r="AG105" s="193"/>
    </row>
    <row r="106" ht="15.75" customHeight="1">
      <c r="AG106" s="193"/>
    </row>
    <row r="107" ht="15.75" customHeight="1">
      <c r="AG107" s="193"/>
    </row>
    <row r="108" ht="15.75" customHeight="1">
      <c r="AG108" s="193"/>
    </row>
    <row r="109" ht="15.75" customHeight="1">
      <c r="AG109" s="193"/>
    </row>
    <row r="110" ht="15.75" customHeight="1">
      <c r="AG110" s="193"/>
    </row>
    <row r="111" ht="15.75" customHeight="1">
      <c r="AG111" s="193"/>
    </row>
    <row r="112" ht="15.75" customHeight="1">
      <c r="AG112" s="193"/>
    </row>
    <row r="113" ht="15.75" customHeight="1">
      <c r="AG113" s="193"/>
    </row>
    <row r="114" ht="15.75" customHeight="1">
      <c r="AG114" s="193"/>
    </row>
    <row r="115" ht="15.75" customHeight="1">
      <c r="AG115" s="193"/>
    </row>
    <row r="116" ht="15.75" customHeight="1">
      <c r="AG116" s="193"/>
    </row>
    <row r="117" ht="15.75" customHeight="1">
      <c r="AG117" s="193"/>
    </row>
    <row r="118" ht="15.75" customHeight="1">
      <c r="AG118" s="193"/>
    </row>
    <row r="119" ht="15.75" customHeight="1">
      <c r="AG119" s="193"/>
    </row>
    <row r="120" ht="15.75" customHeight="1">
      <c r="AG120" s="193"/>
    </row>
    <row r="121" ht="15.75" customHeight="1">
      <c r="AG121" s="193"/>
    </row>
    <row r="122" ht="15.75" customHeight="1">
      <c r="AG122" s="193"/>
    </row>
    <row r="123" ht="15.75" customHeight="1">
      <c r="AG123" s="193"/>
    </row>
    <row r="124" ht="15.75" customHeight="1">
      <c r="AG124" s="193"/>
    </row>
    <row r="125" ht="15.75" customHeight="1">
      <c r="AG125" s="193"/>
    </row>
    <row r="126" ht="15.75" customHeight="1">
      <c r="AG126" s="193"/>
    </row>
    <row r="127" ht="15.75" customHeight="1">
      <c r="AG127" s="193"/>
    </row>
    <row r="128" ht="15.75" customHeight="1">
      <c r="AG128" s="193"/>
    </row>
    <row r="129" ht="15.75" customHeight="1">
      <c r="AG129" s="193"/>
    </row>
    <row r="130" ht="15.75" customHeight="1">
      <c r="AG130" s="193"/>
    </row>
    <row r="131" ht="15.75" customHeight="1">
      <c r="AG131" s="193"/>
    </row>
    <row r="132" ht="15.75" customHeight="1">
      <c r="AG132" s="193"/>
    </row>
    <row r="133" ht="15.75" customHeight="1">
      <c r="AG133" s="193"/>
    </row>
    <row r="134" ht="15.75" customHeight="1">
      <c r="AG134" s="193"/>
    </row>
    <row r="135" ht="15.75" customHeight="1">
      <c r="AG135" s="193"/>
    </row>
    <row r="136" ht="15.75" customHeight="1">
      <c r="AG136" s="193"/>
    </row>
    <row r="137" ht="15.75" customHeight="1">
      <c r="AG137" s="193"/>
    </row>
    <row r="138" ht="15.75" customHeight="1">
      <c r="AG138" s="193"/>
    </row>
    <row r="139" ht="15.75" customHeight="1">
      <c r="AG139" s="193"/>
    </row>
    <row r="140" ht="15.75" customHeight="1">
      <c r="AG140" s="193"/>
    </row>
    <row r="141" ht="15.75" customHeight="1">
      <c r="AG141" s="193"/>
    </row>
    <row r="142" ht="15.75" customHeight="1">
      <c r="AG142" s="193"/>
    </row>
    <row r="143" ht="15.75" customHeight="1">
      <c r="AG143" s="193"/>
    </row>
    <row r="144" ht="15.75" customHeight="1">
      <c r="AG144" s="193"/>
    </row>
    <row r="145" ht="15.75" customHeight="1">
      <c r="AG145" s="193"/>
    </row>
    <row r="146" ht="15.75" customHeight="1">
      <c r="AG146" s="193"/>
    </row>
    <row r="147" ht="15.75" customHeight="1">
      <c r="AG147" s="193"/>
    </row>
    <row r="148" ht="15.75" customHeight="1">
      <c r="AG148" s="193"/>
    </row>
    <row r="149" ht="15.75" customHeight="1">
      <c r="AG149" s="193"/>
    </row>
    <row r="150" ht="15.75" customHeight="1">
      <c r="AG150" s="193"/>
    </row>
    <row r="151" ht="15.75" customHeight="1">
      <c r="AG151" s="193"/>
    </row>
    <row r="152" ht="15.75" customHeight="1">
      <c r="AG152" s="193"/>
    </row>
    <row r="153" ht="15.75" customHeight="1">
      <c r="AG153" s="193"/>
    </row>
    <row r="154" ht="15.75" customHeight="1">
      <c r="AG154" s="193"/>
    </row>
    <row r="155" ht="15.75" customHeight="1">
      <c r="AG155" s="193"/>
    </row>
    <row r="156" ht="15.75" customHeight="1">
      <c r="AG156" s="193"/>
    </row>
    <row r="157" ht="15.75" customHeight="1">
      <c r="AG157" s="193"/>
    </row>
    <row r="158" ht="15.75" customHeight="1">
      <c r="AG158" s="193"/>
    </row>
    <row r="159" ht="15.75" customHeight="1">
      <c r="AG159" s="193"/>
    </row>
    <row r="160" ht="15.75" customHeight="1">
      <c r="AG160" s="193"/>
    </row>
    <row r="161" ht="15.75" customHeight="1">
      <c r="AG161" s="193"/>
    </row>
    <row r="162" ht="15.75" customHeight="1">
      <c r="AG162" s="193"/>
    </row>
    <row r="163" ht="15.75" customHeight="1">
      <c r="AG163" s="193"/>
    </row>
    <row r="164" ht="15.75" customHeight="1">
      <c r="AG164" s="193"/>
    </row>
    <row r="165" ht="15.75" customHeight="1">
      <c r="AG165" s="193"/>
    </row>
    <row r="166" ht="15.75" customHeight="1">
      <c r="AG166" s="193"/>
    </row>
    <row r="167" ht="15.75" customHeight="1">
      <c r="AG167" s="193"/>
    </row>
    <row r="168" ht="15.75" customHeight="1">
      <c r="AG168" s="193"/>
    </row>
    <row r="169" ht="15.75" customHeight="1">
      <c r="AG169" s="193"/>
    </row>
    <row r="170" ht="15.75" customHeight="1">
      <c r="AG170" s="193"/>
    </row>
    <row r="171" ht="15.75" customHeight="1">
      <c r="AG171" s="193"/>
    </row>
    <row r="172" ht="15.75" customHeight="1">
      <c r="AG172" s="193"/>
    </row>
    <row r="173" ht="15.75" customHeight="1">
      <c r="AG173" s="193"/>
    </row>
    <row r="174" ht="15.75" customHeight="1">
      <c r="AG174" s="193"/>
    </row>
    <row r="175" ht="15.75" customHeight="1">
      <c r="AG175" s="193"/>
    </row>
    <row r="176" ht="15.75" customHeight="1">
      <c r="AG176" s="193"/>
    </row>
    <row r="177" ht="15.75" customHeight="1">
      <c r="AG177" s="193"/>
    </row>
    <row r="178" ht="15.75" customHeight="1">
      <c r="AG178" s="193"/>
    </row>
    <row r="179" ht="15.75" customHeight="1">
      <c r="AG179" s="193"/>
    </row>
    <row r="180" ht="15.75" customHeight="1">
      <c r="AG180" s="193"/>
    </row>
    <row r="181" ht="15.75" customHeight="1">
      <c r="AG181" s="193"/>
    </row>
    <row r="182" ht="15.75" customHeight="1">
      <c r="AG182" s="193"/>
    </row>
    <row r="183" ht="15.75" customHeight="1">
      <c r="AG183" s="193"/>
    </row>
    <row r="184" ht="15.75" customHeight="1">
      <c r="AG184" s="193"/>
    </row>
    <row r="185" ht="15.75" customHeight="1">
      <c r="AG185" s="193"/>
    </row>
    <row r="186" ht="15.75" customHeight="1">
      <c r="AG186" s="193"/>
    </row>
    <row r="187" ht="15.75" customHeight="1">
      <c r="AG187" s="193"/>
    </row>
    <row r="188" ht="15.75" customHeight="1">
      <c r="AG188" s="193"/>
    </row>
    <row r="189" ht="15.75" customHeight="1">
      <c r="AG189" s="193"/>
    </row>
    <row r="190" ht="15.75" customHeight="1">
      <c r="AG190" s="193"/>
    </row>
    <row r="191" ht="15.75" customHeight="1">
      <c r="AG191" s="193"/>
    </row>
    <row r="192" ht="15.75" customHeight="1">
      <c r="AG192" s="193"/>
    </row>
    <row r="193" ht="15.75" customHeight="1">
      <c r="AG193" s="193"/>
    </row>
    <row r="194" ht="15.75" customHeight="1">
      <c r="AG194" s="193"/>
    </row>
    <row r="195" ht="15.75" customHeight="1">
      <c r="AG195" s="193"/>
    </row>
    <row r="196" ht="15.75" customHeight="1">
      <c r="AG196" s="193"/>
    </row>
    <row r="197" ht="15.75" customHeight="1">
      <c r="AG197" s="193"/>
    </row>
    <row r="198" ht="15.75" customHeight="1">
      <c r="AG198" s="193"/>
    </row>
    <row r="199" ht="15.75" customHeight="1">
      <c r="AG199" s="193"/>
    </row>
    <row r="200" ht="15.75" customHeight="1">
      <c r="AG200" s="193"/>
    </row>
    <row r="201" ht="15.75" customHeight="1">
      <c r="AG201" s="193"/>
    </row>
    <row r="202" ht="15.75" customHeight="1">
      <c r="AG202" s="193"/>
    </row>
    <row r="203" ht="15.75" customHeight="1">
      <c r="AG203" s="193"/>
    </row>
    <row r="204" ht="15.75" customHeight="1">
      <c r="AG204" s="193"/>
    </row>
    <row r="205" ht="15.75" customHeight="1">
      <c r="AG205" s="193"/>
    </row>
    <row r="206" ht="15.75" customHeight="1">
      <c r="AG206" s="193"/>
    </row>
    <row r="207" ht="15.75" customHeight="1">
      <c r="AG207" s="193"/>
    </row>
    <row r="208" ht="15.75" customHeight="1">
      <c r="AG208" s="193"/>
    </row>
    <row r="209" ht="15.75" customHeight="1">
      <c r="AG209" s="193"/>
    </row>
    <row r="210" ht="15.75" customHeight="1">
      <c r="AG210" s="193"/>
    </row>
    <row r="211" ht="15.75" customHeight="1">
      <c r="AG211" s="193"/>
    </row>
    <row r="212" ht="15.75" customHeight="1">
      <c r="AG212" s="193"/>
    </row>
    <row r="213" ht="15.75" customHeight="1">
      <c r="AG213" s="193"/>
    </row>
    <row r="214" ht="15.75" customHeight="1">
      <c r="AG214" s="193"/>
    </row>
    <row r="215" ht="15.75" customHeight="1">
      <c r="AG215" s="193"/>
    </row>
    <row r="216" ht="15.75" customHeight="1">
      <c r="AG216" s="193"/>
    </row>
    <row r="217" ht="15.75" customHeight="1">
      <c r="AG217" s="193"/>
    </row>
    <row r="218" ht="15.75" customHeight="1">
      <c r="AG218" s="193"/>
    </row>
    <row r="219" ht="15.75" customHeight="1">
      <c r="AG219" s="193"/>
    </row>
    <row r="220" ht="15.75" customHeight="1">
      <c r="AG220" s="19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88"/>
    <col customWidth="1" min="3" max="3" width="6.13"/>
    <col customWidth="1" min="4" max="4" width="6.0"/>
    <col customWidth="1" min="5" max="5" width="6.13"/>
    <col customWidth="1" min="6" max="6" width="32.63"/>
    <col customWidth="1" min="7" max="7" width="43.0"/>
    <col customWidth="1" min="8" max="8" width="5.88"/>
    <col customWidth="1" min="9" max="9" width="5.0"/>
    <col customWidth="1" min="10" max="10" width="4.25"/>
    <col customWidth="1" min="11" max="11" width="5.25"/>
    <col customWidth="1" min="12" max="12" width="5.88"/>
    <col customWidth="1" min="13" max="13" width="5.75"/>
    <col customWidth="1" min="14" max="14" width="5.38"/>
    <col customWidth="1" min="15" max="15" width="6.75"/>
  </cols>
  <sheetData>
    <row r="1" ht="15.75" customHeight="1">
      <c r="A1" s="20"/>
      <c r="B1" s="122" t="s">
        <v>2656</v>
      </c>
      <c r="C1" s="123" t="s">
        <v>2658</v>
      </c>
      <c r="D1" s="123" t="s">
        <v>35</v>
      </c>
      <c r="E1" s="123" t="s">
        <v>36</v>
      </c>
      <c r="F1" s="20" t="s">
        <v>37</v>
      </c>
      <c r="G1" s="20" t="s">
        <v>38</v>
      </c>
      <c r="H1" s="20" t="s">
        <v>39</v>
      </c>
      <c r="I1" s="123" t="s">
        <v>40</v>
      </c>
      <c r="J1" s="20" t="s">
        <v>41</v>
      </c>
      <c r="K1" s="123" t="s">
        <v>42</v>
      </c>
      <c r="L1" s="123" t="s">
        <v>43</v>
      </c>
      <c r="M1" s="123" t="s">
        <v>44</v>
      </c>
      <c r="N1" s="123" t="s">
        <v>45</v>
      </c>
      <c r="O1" s="123" t="s">
        <v>46</v>
      </c>
      <c r="P1" s="124" t="s">
        <v>47</v>
      </c>
      <c r="Q1" s="125" t="s">
        <v>48</v>
      </c>
    </row>
    <row r="2" ht="15.75" customHeight="1">
      <c r="A2" s="211">
        <v>44514.0</v>
      </c>
      <c r="B2" s="13">
        <v>20.0</v>
      </c>
      <c r="C2" s="13">
        <v>1.0</v>
      </c>
      <c r="D2" s="28">
        <v>0.15694444444444444</v>
      </c>
      <c r="E2" s="28">
        <v>0.2</v>
      </c>
      <c r="F2" s="130" t="s">
        <v>7077</v>
      </c>
      <c r="G2" s="10" t="s">
        <v>7078</v>
      </c>
      <c r="H2" s="13">
        <v>66.0</v>
      </c>
      <c r="I2" s="13">
        <v>15.0</v>
      </c>
      <c r="J2" s="13">
        <v>19.0</v>
      </c>
      <c r="K2" s="13">
        <v>29.0</v>
      </c>
      <c r="L2" s="13">
        <v>35.0</v>
      </c>
      <c r="M2" s="13">
        <v>1.0</v>
      </c>
      <c r="N2" s="13">
        <v>7.0</v>
      </c>
    </row>
    <row r="3" ht="15.75" customHeight="1">
      <c r="D3" s="28"/>
      <c r="E3" s="28"/>
      <c r="F3" s="20"/>
      <c r="G3" s="10"/>
    </row>
    <row r="4" ht="15.75" customHeight="1">
      <c r="A4" s="29">
        <v>44515.0</v>
      </c>
      <c r="B4" s="13">
        <v>20.0</v>
      </c>
      <c r="C4" s="13">
        <v>1.0</v>
      </c>
      <c r="D4" s="28">
        <v>0.5375</v>
      </c>
      <c r="E4" s="28">
        <v>0.08125</v>
      </c>
      <c r="F4" s="130" t="s">
        <v>7077</v>
      </c>
      <c r="G4" s="10" t="s">
        <v>7079</v>
      </c>
      <c r="H4" s="13">
        <v>132.0</v>
      </c>
      <c r="I4" s="13">
        <v>18.0</v>
      </c>
      <c r="J4" s="13">
        <v>43.0</v>
      </c>
      <c r="K4" s="13">
        <v>60.0</v>
      </c>
      <c r="L4" s="13">
        <v>64.0</v>
      </c>
      <c r="M4" s="13">
        <v>8.0</v>
      </c>
      <c r="N4" s="13">
        <v>2.0</v>
      </c>
    </row>
    <row r="5" ht="15.75" customHeight="1">
      <c r="C5" s="13">
        <v>2.0</v>
      </c>
      <c r="D5" s="28">
        <v>0.17708333333333334</v>
      </c>
      <c r="E5" s="28">
        <v>0.21875</v>
      </c>
      <c r="F5" s="130" t="s">
        <v>7080</v>
      </c>
      <c r="G5" s="10" t="s">
        <v>7081</v>
      </c>
      <c r="H5" s="13">
        <v>123.0</v>
      </c>
      <c r="I5" s="13">
        <v>9.0</v>
      </c>
      <c r="J5" s="13">
        <v>38.0</v>
      </c>
      <c r="K5" s="13">
        <v>71.0</v>
      </c>
      <c r="L5" s="13">
        <v>56.0</v>
      </c>
      <c r="M5" s="13">
        <v>0.0</v>
      </c>
      <c r="N5" s="13">
        <v>0.0</v>
      </c>
    </row>
    <row r="6" ht="15.75" customHeight="1">
      <c r="G6" s="10"/>
    </row>
    <row r="7" ht="15.75" customHeight="1">
      <c r="A7" s="29">
        <v>44516.0</v>
      </c>
      <c r="B7" s="13">
        <v>20.0</v>
      </c>
      <c r="C7" s="13">
        <v>1.0</v>
      </c>
      <c r="D7" s="28">
        <v>0.058333333333333334</v>
      </c>
      <c r="E7" s="28">
        <v>0.10069444444444445</v>
      </c>
      <c r="F7" s="130" t="s">
        <v>6727</v>
      </c>
      <c r="G7" s="10" t="s">
        <v>7082</v>
      </c>
      <c r="H7" s="13">
        <v>118.0</v>
      </c>
      <c r="I7" s="13">
        <v>20.0</v>
      </c>
      <c r="J7" s="13">
        <v>39.0</v>
      </c>
      <c r="K7" s="13">
        <v>52.0</v>
      </c>
      <c r="L7" s="13">
        <v>60.0</v>
      </c>
      <c r="M7" s="13">
        <v>5.0</v>
      </c>
      <c r="N7" s="13">
        <v>5.0</v>
      </c>
    </row>
    <row r="8" ht="15.75" customHeight="1">
      <c r="C8" s="13">
        <v>2.0</v>
      </c>
      <c r="D8" s="28">
        <v>0.12638888888888888</v>
      </c>
      <c r="E8" s="28">
        <v>0.16944444444444445</v>
      </c>
      <c r="F8" s="130" t="s">
        <v>7083</v>
      </c>
      <c r="G8" s="10" t="s">
        <v>7084</v>
      </c>
      <c r="H8" s="13">
        <v>104.0</v>
      </c>
      <c r="I8" s="13">
        <v>61.0</v>
      </c>
      <c r="J8" s="13">
        <v>16.0</v>
      </c>
      <c r="K8" s="13">
        <v>24.0</v>
      </c>
      <c r="L8" s="13">
        <v>44.0</v>
      </c>
      <c r="M8" s="13">
        <v>0.0</v>
      </c>
      <c r="N8" s="13">
        <v>43.0</v>
      </c>
    </row>
    <row r="9" ht="15.75" customHeight="1">
      <c r="F9" s="20"/>
      <c r="G9" s="10"/>
    </row>
    <row r="10" ht="15.75" customHeight="1">
      <c r="A10" s="29">
        <v>44517.0</v>
      </c>
      <c r="C10" s="13">
        <v>1.0</v>
      </c>
      <c r="D10" s="28">
        <v>0.35555555555555557</v>
      </c>
      <c r="E10" s="28">
        <v>0.40208333333333335</v>
      </c>
      <c r="F10" s="130" t="s">
        <v>6732</v>
      </c>
      <c r="G10" s="10" t="s">
        <v>7085</v>
      </c>
      <c r="H10" s="13">
        <v>119.0</v>
      </c>
      <c r="I10" s="13">
        <v>47.0</v>
      </c>
      <c r="J10" s="13">
        <v>41.0</v>
      </c>
      <c r="K10" s="13">
        <v>7.0</v>
      </c>
      <c r="L10" s="13">
        <v>34.0</v>
      </c>
      <c r="M10" s="13">
        <v>10.0</v>
      </c>
      <c r="N10" s="13">
        <v>70.0</v>
      </c>
    </row>
    <row r="11" ht="15.75" customHeight="1">
      <c r="A11" s="13" t="s">
        <v>7086</v>
      </c>
      <c r="C11" s="13">
        <v>2.0</v>
      </c>
      <c r="D11" s="28">
        <v>0.42569444444444443</v>
      </c>
      <c r="E11" s="28">
        <v>0.48125</v>
      </c>
      <c r="F11" s="84" t="s">
        <v>7087</v>
      </c>
      <c r="G11" s="10" t="s">
        <v>7088</v>
      </c>
      <c r="H11" s="13">
        <v>67.0</v>
      </c>
      <c r="I11" s="13">
        <v>33.0</v>
      </c>
      <c r="J11" s="13">
        <v>25.0</v>
      </c>
      <c r="K11" s="13">
        <v>7.0</v>
      </c>
      <c r="L11" s="13">
        <v>31.0</v>
      </c>
      <c r="M11" s="13">
        <v>0.0</v>
      </c>
      <c r="N11" s="13">
        <v>22.0</v>
      </c>
      <c r="O11" s="13">
        <v>10.0</v>
      </c>
    </row>
    <row r="12" ht="15.75" customHeight="1">
      <c r="C12" s="13">
        <v>3.0</v>
      </c>
      <c r="D12" s="28">
        <v>0.5048611111111111</v>
      </c>
      <c r="E12" s="28">
        <v>0.5368055555555555</v>
      </c>
      <c r="F12" s="84" t="s">
        <v>7089</v>
      </c>
      <c r="G12" s="10" t="s">
        <v>7090</v>
      </c>
      <c r="H12" s="13">
        <v>36.0</v>
      </c>
      <c r="I12" s="13">
        <v>10.0</v>
      </c>
      <c r="J12" s="13">
        <v>21.0</v>
      </c>
      <c r="K12" s="13">
        <v>5.0</v>
      </c>
      <c r="L12" s="13">
        <v>16.0</v>
      </c>
      <c r="M12" s="13">
        <v>0.0</v>
      </c>
      <c r="N12" s="13">
        <v>3.0</v>
      </c>
      <c r="O12" s="13">
        <v>13.0</v>
      </c>
    </row>
    <row r="13" ht="15.75" customHeight="1">
      <c r="C13" s="13">
        <v>4.0</v>
      </c>
      <c r="D13" s="28">
        <v>0.09027777777777778</v>
      </c>
      <c r="E13" s="28">
        <v>0.13541666666666666</v>
      </c>
      <c r="F13" s="84" t="s">
        <v>7091</v>
      </c>
      <c r="G13" s="10" t="s">
        <v>7092</v>
      </c>
      <c r="H13" s="13">
        <v>87.0</v>
      </c>
      <c r="I13" s="13">
        <v>48.0</v>
      </c>
      <c r="J13" s="13">
        <v>36.0</v>
      </c>
      <c r="K13" s="13">
        <v>3.0</v>
      </c>
      <c r="L13" s="13">
        <v>27.0</v>
      </c>
      <c r="M13" s="13">
        <v>0.0</v>
      </c>
      <c r="N13" s="13">
        <v>27.0</v>
      </c>
      <c r="O13" s="13">
        <v>33.0</v>
      </c>
    </row>
    <row r="14" ht="15.75" customHeight="1">
      <c r="G14" s="10"/>
    </row>
    <row r="15" ht="15.75" customHeight="1">
      <c r="A15" s="29">
        <v>44518.0</v>
      </c>
      <c r="C15" s="13">
        <v>1.0</v>
      </c>
      <c r="D15" s="28">
        <v>0.4548611111111111</v>
      </c>
      <c r="E15" s="28">
        <v>0.5006944444444444</v>
      </c>
      <c r="F15" s="184" t="s">
        <v>7093</v>
      </c>
      <c r="G15" s="10" t="s">
        <v>7094</v>
      </c>
      <c r="H15" s="13">
        <v>122.0</v>
      </c>
      <c r="I15" s="13">
        <v>54.0</v>
      </c>
      <c r="J15" s="13">
        <v>53.0</v>
      </c>
      <c r="K15" s="13">
        <v>3.0</v>
      </c>
      <c r="L15" s="13">
        <v>24.0</v>
      </c>
      <c r="M15" s="13">
        <v>7.0</v>
      </c>
      <c r="N15" s="13">
        <v>45.0</v>
      </c>
      <c r="O15" s="13">
        <v>47.0</v>
      </c>
    </row>
    <row r="16" ht="15.75" customHeight="1">
      <c r="C16" s="13">
        <v>2.0</v>
      </c>
      <c r="D16" s="28">
        <v>0.05555555555555555</v>
      </c>
      <c r="E16" s="28">
        <v>0.10138888888888889</v>
      </c>
      <c r="F16" s="190" t="s">
        <v>7095</v>
      </c>
      <c r="G16" s="10" t="s">
        <v>7096</v>
      </c>
      <c r="H16" s="13">
        <v>114.0</v>
      </c>
      <c r="I16" s="13">
        <v>50.0</v>
      </c>
      <c r="J16" s="13">
        <v>60.0</v>
      </c>
      <c r="K16" s="13">
        <v>4.0</v>
      </c>
      <c r="L16" s="13">
        <v>28.0</v>
      </c>
      <c r="M16" s="13">
        <v>0.0</v>
      </c>
      <c r="N16" s="13">
        <v>15.0</v>
      </c>
      <c r="O16" s="13">
        <v>68.0</v>
      </c>
    </row>
    <row r="17" ht="15.75" customHeight="1">
      <c r="C17" s="13">
        <v>3.0</v>
      </c>
      <c r="D17" s="28">
        <v>0.13194444444444445</v>
      </c>
      <c r="E17" s="28">
        <v>0.175</v>
      </c>
      <c r="F17" s="190" t="s">
        <v>7097</v>
      </c>
      <c r="G17" s="10" t="s">
        <v>7098</v>
      </c>
      <c r="H17" s="13">
        <v>91.0</v>
      </c>
      <c r="I17" s="13">
        <v>48.0</v>
      </c>
      <c r="J17" s="13">
        <v>43.0</v>
      </c>
      <c r="K17" s="13">
        <v>0.0</v>
      </c>
      <c r="L17" s="13">
        <v>21.0</v>
      </c>
      <c r="M17" s="13">
        <v>0.0</v>
      </c>
      <c r="N17" s="13">
        <v>26.0</v>
      </c>
      <c r="O17" s="13">
        <v>44.0</v>
      </c>
    </row>
    <row r="18" ht="15.75" customHeight="1">
      <c r="C18" s="13">
        <v>4.0</v>
      </c>
      <c r="D18" s="28">
        <v>0.19930555555555557</v>
      </c>
      <c r="E18" s="28">
        <v>0.24861111111111112</v>
      </c>
      <c r="F18" s="190" t="s">
        <v>7099</v>
      </c>
      <c r="G18" s="10" t="s">
        <v>7100</v>
      </c>
      <c r="H18" s="13">
        <v>52.0</v>
      </c>
      <c r="I18" s="13">
        <v>25.0</v>
      </c>
      <c r="J18" s="13">
        <v>27.0</v>
      </c>
      <c r="K18" s="13">
        <v>0.0</v>
      </c>
      <c r="L18" s="13">
        <v>14.0</v>
      </c>
      <c r="M18" s="13">
        <v>0.0</v>
      </c>
      <c r="N18" s="13">
        <v>4.0</v>
      </c>
      <c r="O18" s="13">
        <v>34.0</v>
      </c>
    </row>
    <row r="19" ht="15.75" customHeight="1"/>
    <row r="20" ht="15.75" customHeight="1">
      <c r="A20" s="30">
        <v>44519.0</v>
      </c>
      <c r="C20" s="13">
        <v>1.0</v>
      </c>
      <c r="D20" s="28">
        <v>0.44166666666666665</v>
      </c>
      <c r="E20" s="28">
        <v>0.4708333333333333</v>
      </c>
      <c r="F20" s="190" t="s">
        <v>7101</v>
      </c>
      <c r="G20" s="10" t="s">
        <v>7102</v>
      </c>
      <c r="H20" s="13">
        <v>34.0</v>
      </c>
      <c r="I20" s="13">
        <v>13.0</v>
      </c>
      <c r="J20" s="13">
        <v>8.0</v>
      </c>
      <c r="K20" s="13">
        <v>5.0</v>
      </c>
      <c r="L20" s="13">
        <v>9.0</v>
      </c>
      <c r="M20" s="13">
        <v>4.0</v>
      </c>
      <c r="N20" s="13">
        <v>2.0</v>
      </c>
      <c r="O20" s="13">
        <v>14.0</v>
      </c>
    </row>
    <row r="21" ht="15.75" customHeight="1">
      <c r="C21" s="13">
        <v>2.0</v>
      </c>
      <c r="D21" s="28">
        <v>0.5090277777777777</v>
      </c>
      <c r="E21" s="28">
        <v>0.05</v>
      </c>
      <c r="F21" s="190" t="s">
        <v>7103</v>
      </c>
      <c r="G21" s="10" t="s">
        <v>7104</v>
      </c>
      <c r="H21" s="13">
        <v>44.0</v>
      </c>
      <c r="I21" s="13">
        <v>29.0</v>
      </c>
      <c r="J21" s="13">
        <v>12.0</v>
      </c>
      <c r="K21" s="13">
        <v>3.0</v>
      </c>
      <c r="L21" s="13">
        <v>3.0</v>
      </c>
      <c r="M21" s="13">
        <v>0.0</v>
      </c>
      <c r="N21" s="13">
        <v>16.0</v>
      </c>
      <c r="O21" s="13">
        <v>22.0</v>
      </c>
    </row>
    <row r="22" ht="15.75" customHeight="1">
      <c r="C22" s="13">
        <v>3.0</v>
      </c>
      <c r="D22" s="28">
        <v>0.09444444444444444</v>
      </c>
      <c r="E22" s="28">
        <v>0.1361111111111111</v>
      </c>
      <c r="F22" s="190" t="s">
        <v>7105</v>
      </c>
      <c r="G22" s="10" t="s">
        <v>7106</v>
      </c>
      <c r="H22" s="13">
        <v>38.0</v>
      </c>
      <c r="I22" s="13">
        <v>19.0</v>
      </c>
      <c r="J22" s="13">
        <v>16.0</v>
      </c>
      <c r="K22" s="13">
        <v>2.0</v>
      </c>
      <c r="L22" s="13">
        <v>7.0</v>
      </c>
      <c r="M22" s="13">
        <v>0.0</v>
      </c>
      <c r="N22" s="13">
        <v>15.0</v>
      </c>
      <c r="O22" s="13">
        <v>15.0</v>
      </c>
    </row>
    <row r="23" ht="15.75" customHeight="1">
      <c r="C23" s="13">
        <v>4.0</v>
      </c>
      <c r="D23" s="28">
        <v>0.17291666666666666</v>
      </c>
      <c r="E23" s="28">
        <v>0.22291666666666668</v>
      </c>
      <c r="F23" s="190" t="s">
        <v>7107</v>
      </c>
      <c r="G23" s="10" t="s">
        <v>7108</v>
      </c>
      <c r="H23" s="13">
        <v>37.0</v>
      </c>
      <c r="I23" s="13">
        <v>17.0</v>
      </c>
      <c r="J23" s="13">
        <v>18.0</v>
      </c>
      <c r="K23" s="13">
        <v>1.0</v>
      </c>
      <c r="L23" s="13">
        <v>8.0</v>
      </c>
      <c r="M23" s="13">
        <v>0.0</v>
      </c>
      <c r="N23" s="13">
        <v>10.0</v>
      </c>
      <c r="O23" s="13">
        <v>18.0</v>
      </c>
    </row>
    <row r="24" ht="15.75" customHeight="1">
      <c r="G24" s="10"/>
    </row>
    <row r="25" ht="15.75" customHeight="1">
      <c r="A25" s="30">
        <v>44520.0</v>
      </c>
      <c r="C25" s="13">
        <v>1.0</v>
      </c>
      <c r="D25" s="28">
        <v>0.44375</v>
      </c>
      <c r="E25" s="28">
        <v>0.4861111111111111</v>
      </c>
      <c r="F25" s="190" t="s">
        <v>7109</v>
      </c>
      <c r="G25" s="10" t="s">
        <v>7110</v>
      </c>
      <c r="H25" s="13">
        <v>48.0</v>
      </c>
      <c r="I25" s="13">
        <v>22.0</v>
      </c>
      <c r="J25" s="13">
        <v>21.0</v>
      </c>
      <c r="K25" s="13">
        <v>2.0</v>
      </c>
      <c r="L25" s="13">
        <v>16.0</v>
      </c>
      <c r="M25" s="13">
        <v>1.0</v>
      </c>
      <c r="N25" s="13">
        <v>2.0</v>
      </c>
      <c r="O25" s="13">
        <v>26.0</v>
      </c>
    </row>
    <row r="26" ht="15.75" customHeight="1">
      <c r="A26" s="13" t="s">
        <v>7086</v>
      </c>
      <c r="C26" s="13">
        <v>2.0</v>
      </c>
      <c r="D26" s="28">
        <v>0.5222222222222223</v>
      </c>
      <c r="E26" s="28">
        <v>0.0798611111111111</v>
      </c>
      <c r="F26" s="190" t="s">
        <v>7111</v>
      </c>
      <c r="G26" s="10" t="s">
        <v>7112</v>
      </c>
      <c r="H26" s="13">
        <v>102.0</v>
      </c>
      <c r="I26" s="13">
        <v>47.0</v>
      </c>
      <c r="J26" s="13">
        <v>52.0</v>
      </c>
      <c r="K26" s="13">
        <v>4.0</v>
      </c>
      <c r="L26" s="13">
        <v>10.0</v>
      </c>
      <c r="M26" s="13">
        <v>0.0</v>
      </c>
      <c r="N26" s="13">
        <v>46.0</v>
      </c>
      <c r="O26" s="13">
        <v>43.0</v>
      </c>
    </row>
    <row r="27" ht="15.75" customHeight="1">
      <c r="C27" s="13">
        <v>3.0</v>
      </c>
      <c r="D27" s="28">
        <v>0.12083333333333333</v>
      </c>
      <c r="E27" s="28">
        <v>0.16458333333333333</v>
      </c>
      <c r="F27" s="190" t="s">
        <v>7113</v>
      </c>
      <c r="G27" s="10" t="s">
        <v>7114</v>
      </c>
      <c r="H27" s="13">
        <v>101.0</v>
      </c>
      <c r="I27" s="13">
        <v>46.0</v>
      </c>
      <c r="J27" s="13">
        <v>51.0</v>
      </c>
      <c r="K27" s="13">
        <v>2.0</v>
      </c>
      <c r="L27" s="13">
        <v>12.0</v>
      </c>
      <c r="M27" s="13">
        <v>1.0</v>
      </c>
      <c r="N27" s="13">
        <v>31.0</v>
      </c>
      <c r="O27" s="13">
        <v>54.0</v>
      </c>
    </row>
    <row r="28" ht="15.75" customHeight="1">
      <c r="G28" s="10"/>
    </row>
    <row r="29" ht="15.75" customHeight="1">
      <c r="A29" s="29">
        <v>44521.0</v>
      </c>
      <c r="C29" s="13">
        <v>1.0</v>
      </c>
      <c r="D29" s="28">
        <v>0.07013888888888889</v>
      </c>
      <c r="E29" s="28">
        <v>0.11319444444444444</v>
      </c>
      <c r="F29" s="190" t="s">
        <v>7115</v>
      </c>
      <c r="G29" s="10" t="s">
        <v>7116</v>
      </c>
      <c r="H29" s="13">
        <v>108.0</v>
      </c>
      <c r="I29" s="13">
        <v>46.0</v>
      </c>
      <c r="J29" s="13">
        <v>57.0</v>
      </c>
      <c r="K29" s="13">
        <v>4.0</v>
      </c>
      <c r="L29" s="13">
        <v>8.0</v>
      </c>
      <c r="M29" s="13">
        <v>1.0</v>
      </c>
      <c r="N29" s="13">
        <v>30.0</v>
      </c>
      <c r="O29" s="13">
        <v>66.0</v>
      </c>
    </row>
    <row r="30" ht="15.75" customHeight="1">
      <c r="C30" s="13">
        <v>2.0</v>
      </c>
      <c r="D30" s="28">
        <v>0.1451388888888889</v>
      </c>
      <c r="E30" s="28">
        <v>0.18958333333333333</v>
      </c>
      <c r="F30" s="190" t="s">
        <v>7117</v>
      </c>
      <c r="G30" s="10" t="s">
        <v>7118</v>
      </c>
      <c r="H30" s="13">
        <v>121.0</v>
      </c>
      <c r="I30" s="13">
        <v>60.0</v>
      </c>
      <c r="J30" s="13">
        <v>59.0</v>
      </c>
      <c r="K30" s="13">
        <v>1.0</v>
      </c>
      <c r="L30" s="13">
        <v>11.0</v>
      </c>
      <c r="M30" s="13">
        <v>1.0</v>
      </c>
      <c r="N30" s="13">
        <v>32.0</v>
      </c>
      <c r="O30" s="13">
        <v>76.0</v>
      </c>
    </row>
    <row r="31" ht="15.75" customHeight="1">
      <c r="C31" s="13">
        <v>3.0</v>
      </c>
      <c r="D31" s="28">
        <v>0.21180555555555555</v>
      </c>
      <c r="E31" s="28">
        <v>0.2569444444444444</v>
      </c>
      <c r="F31" s="190" t="s">
        <v>7119</v>
      </c>
      <c r="G31" s="10" t="s">
        <v>7120</v>
      </c>
      <c r="H31" s="13">
        <v>115.0</v>
      </c>
      <c r="I31" s="13">
        <v>50.0</v>
      </c>
      <c r="J31" s="13">
        <v>59.0</v>
      </c>
      <c r="K31" s="13">
        <v>4.0</v>
      </c>
      <c r="L31" s="13">
        <v>18.0</v>
      </c>
      <c r="M31" s="13">
        <v>1.0</v>
      </c>
      <c r="N31" s="13">
        <v>31.0</v>
      </c>
      <c r="O31" s="13">
        <v>66.0</v>
      </c>
    </row>
    <row r="32" ht="15.75" customHeight="1">
      <c r="G32" s="10"/>
    </row>
    <row r="33" ht="15.75" customHeight="1">
      <c r="A33" s="30">
        <v>44522.0</v>
      </c>
      <c r="C33" s="13">
        <v>1.0</v>
      </c>
      <c r="D33" s="28">
        <v>0.43472222222222223</v>
      </c>
      <c r="E33" s="28">
        <v>0.48194444444444445</v>
      </c>
      <c r="F33" s="170" t="s">
        <v>7121</v>
      </c>
      <c r="G33" s="10" t="s">
        <v>7122</v>
      </c>
      <c r="H33" s="13">
        <v>80.0</v>
      </c>
      <c r="I33" s="13">
        <v>42.0</v>
      </c>
      <c r="J33" s="13">
        <v>27.0</v>
      </c>
      <c r="K33" s="13">
        <v>9.0</v>
      </c>
      <c r="L33" s="13">
        <v>6.0</v>
      </c>
      <c r="M33" s="13">
        <v>2.0</v>
      </c>
      <c r="N33" s="13">
        <v>31.0</v>
      </c>
      <c r="O33" s="13">
        <v>34.0</v>
      </c>
    </row>
    <row r="34" ht="15.75" customHeight="1">
      <c r="C34" s="13">
        <v>2.0</v>
      </c>
      <c r="D34" s="28">
        <v>0.5166666666666667</v>
      </c>
      <c r="E34" s="28">
        <v>0.06458333333333334</v>
      </c>
      <c r="F34" s="170" t="s">
        <v>7123</v>
      </c>
      <c r="G34" s="10" t="s">
        <v>7124</v>
      </c>
      <c r="H34" s="13">
        <v>83.0</v>
      </c>
      <c r="I34" s="13">
        <v>34.0</v>
      </c>
      <c r="J34" s="13">
        <v>41.0</v>
      </c>
      <c r="K34" s="13">
        <v>8.0</v>
      </c>
      <c r="L34" s="13">
        <v>13.0</v>
      </c>
      <c r="M34" s="13">
        <v>0.0</v>
      </c>
      <c r="N34" s="13">
        <v>12.0</v>
      </c>
      <c r="O34" s="13">
        <v>53.0</v>
      </c>
    </row>
    <row r="35" ht="15.75" customHeight="1">
      <c r="C35" s="13">
        <v>3.0</v>
      </c>
      <c r="D35" s="28">
        <v>0.09305555555555556</v>
      </c>
      <c r="E35" s="28">
        <v>0.1375</v>
      </c>
      <c r="F35" s="170" t="s">
        <v>7125</v>
      </c>
      <c r="G35" s="10" t="s">
        <v>7126</v>
      </c>
      <c r="H35" s="13">
        <v>84.0</v>
      </c>
      <c r="I35" s="13">
        <v>35.0</v>
      </c>
      <c r="J35" s="13">
        <v>43.0</v>
      </c>
      <c r="K35" s="13">
        <v>5.0</v>
      </c>
      <c r="L35" s="13">
        <v>9.0</v>
      </c>
      <c r="M35" s="13">
        <v>0.0</v>
      </c>
      <c r="N35" s="13">
        <v>18.0</v>
      </c>
      <c r="O35" s="13">
        <v>51.0</v>
      </c>
    </row>
    <row r="36" ht="15.75" customHeight="1">
      <c r="C36" s="13">
        <v>4.0</v>
      </c>
      <c r="D36" s="28">
        <v>0.16319444444444445</v>
      </c>
      <c r="E36" s="28">
        <v>0.21388888888888888</v>
      </c>
      <c r="F36" s="170" t="s">
        <v>7127</v>
      </c>
      <c r="G36" s="10" t="s">
        <v>7128</v>
      </c>
      <c r="H36" s="13">
        <v>115.0</v>
      </c>
      <c r="I36" s="13">
        <v>57.0</v>
      </c>
      <c r="J36" s="13">
        <v>53.0</v>
      </c>
      <c r="K36" s="13">
        <v>3.0</v>
      </c>
      <c r="L36" s="13">
        <v>12.0</v>
      </c>
      <c r="M36" s="13">
        <v>1.0</v>
      </c>
      <c r="N36" s="13">
        <v>16.0</v>
      </c>
      <c r="O36" s="13">
        <v>83.0</v>
      </c>
    </row>
    <row r="37" ht="15.75" customHeight="1">
      <c r="G37" s="10"/>
    </row>
    <row r="38" ht="15.75" customHeight="1">
      <c r="A38" s="29">
        <v>44523.0</v>
      </c>
      <c r="C38" s="13">
        <v>1.0</v>
      </c>
      <c r="D38" s="28">
        <v>0.45416666666666666</v>
      </c>
      <c r="E38" s="28">
        <v>0.4965277777777778</v>
      </c>
      <c r="F38" s="170" t="s">
        <v>7129</v>
      </c>
      <c r="G38" s="10" t="s">
        <v>7130</v>
      </c>
      <c r="H38" s="13">
        <v>88.0</v>
      </c>
      <c r="I38" s="13">
        <v>51.0</v>
      </c>
      <c r="J38" s="13">
        <v>33.0</v>
      </c>
      <c r="K38" s="13">
        <v>2.0</v>
      </c>
      <c r="L38" s="13">
        <v>12.0</v>
      </c>
      <c r="M38" s="13">
        <v>2.0</v>
      </c>
      <c r="N38" s="13">
        <v>17.0</v>
      </c>
      <c r="O38" s="13">
        <v>54.0</v>
      </c>
    </row>
    <row r="39" ht="15.75" customHeight="1">
      <c r="C39" s="13">
        <v>2.0</v>
      </c>
      <c r="D39" s="28">
        <v>0.5215277777777778</v>
      </c>
      <c r="E39" s="28">
        <v>0.06597222222222222</v>
      </c>
      <c r="F39" s="170" t="s">
        <v>7131</v>
      </c>
      <c r="G39" s="10" t="s">
        <v>7132</v>
      </c>
      <c r="H39" s="13">
        <v>68.0</v>
      </c>
      <c r="I39" s="13">
        <v>33.0</v>
      </c>
      <c r="J39" s="13">
        <v>33.0</v>
      </c>
      <c r="K39" s="13">
        <v>1.0</v>
      </c>
      <c r="L39" s="13">
        <v>8.0</v>
      </c>
      <c r="M39" s="13">
        <v>1.0</v>
      </c>
      <c r="N39" s="13">
        <v>16.0</v>
      </c>
      <c r="O39" s="13">
        <v>41.0</v>
      </c>
    </row>
    <row r="40" ht="15.75" customHeight="1">
      <c r="C40" s="13">
        <v>3.0</v>
      </c>
      <c r="D40" s="28">
        <v>0.09097222222222222</v>
      </c>
      <c r="E40" s="28">
        <v>0.13402777777777777</v>
      </c>
      <c r="F40" s="170" t="s">
        <v>7133</v>
      </c>
      <c r="G40" s="10" t="s">
        <v>7134</v>
      </c>
      <c r="H40" s="13">
        <v>102.0</v>
      </c>
      <c r="I40" s="13">
        <v>51.0</v>
      </c>
      <c r="J40" s="13">
        <v>48.0</v>
      </c>
      <c r="K40" s="13">
        <v>0.0</v>
      </c>
      <c r="L40" s="13">
        <v>11.0</v>
      </c>
      <c r="M40" s="13">
        <v>3.0</v>
      </c>
      <c r="N40" s="13">
        <v>31.0</v>
      </c>
      <c r="O40" s="13">
        <v>57.0</v>
      </c>
    </row>
    <row r="41" ht="15.75" customHeight="1">
      <c r="C41" s="13">
        <v>4.0</v>
      </c>
      <c r="D41" s="28">
        <v>0.18541666666666667</v>
      </c>
      <c r="E41" s="28">
        <v>0.22916666666666666</v>
      </c>
      <c r="F41" s="170" t="s">
        <v>7135</v>
      </c>
      <c r="G41" s="10" t="s">
        <v>7136</v>
      </c>
      <c r="H41" s="13">
        <v>98.0</v>
      </c>
      <c r="I41" s="13">
        <v>52.0</v>
      </c>
      <c r="J41" s="13">
        <v>40.0</v>
      </c>
      <c r="K41" s="13">
        <v>3.0</v>
      </c>
      <c r="L41" s="13">
        <v>6.0</v>
      </c>
      <c r="M41" s="13">
        <v>2.0</v>
      </c>
      <c r="N41" s="13">
        <v>45.0</v>
      </c>
      <c r="O41" s="13">
        <v>42.0</v>
      </c>
    </row>
    <row r="42" ht="15.75" customHeight="1">
      <c r="G42" s="10"/>
    </row>
    <row r="43" ht="15.75" customHeight="1">
      <c r="A43" s="29">
        <v>44524.0</v>
      </c>
      <c r="C43" s="13">
        <v>1.0</v>
      </c>
      <c r="D43" s="28">
        <v>0.44722222222222224</v>
      </c>
      <c r="E43" s="28">
        <v>0.49722222222222223</v>
      </c>
      <c r="F43" s="170" t="s">
        <v>7137</v>
      </c>
      <c r="G43" s="10" t="s">
        <v>7138</v>
      </c>
      <c r="H43" s="13">
        <v>80.0</v>
      </c>
      <c r="I43" s="13">
        <v>41.0</v>
      </c>
      <c r="J43" s="13">
        <v>33.0</v>
      </c>
      <c r="K43" s="13">
        <v>2.0</v>
      </c>
      <c r="L43" s="13">
        <v>9.0</v>
      </c>
      <c r="M43" s="13">
        <v>3.0</v>
      </c>
      <c r="N43" s="13">
        <v>32.0</v>
      </c>
      <c r="O43" s="13">
        <v>37.0</v>
      </c>
    </row>
    <row r="44" ht="15.75" customHeight="1">
      <c r="C44" s="13">
        <v>2.0</v>
      </c>
      <c r="D44" s="28">
        <v>0.5201388888888889</v>
      </c>
      <c r="E44" s="28">
        <v>0.0625</v>
      </c>
      <c r="F44" s="170" t="s">
        <v>7139</v>
      </c>
      <c r="G44" s="10" t="s">
        <v>7140</v>
      </c>
      <c r="H44" s="13">
        <v>57.0</v>
      </c>
      <c r="I44" s="13">
        <v>25.0</v>
      </c>
      <c r="J44" s="13">
        <v>31.0</v>
      </c>
      <c r="K44" s="13">
        <v>0.0</v>
      </c>
      <c r="L44" s="13">
        <v>7.0</v>
      </c>
      <c r="M44" s="13">
        <v>1.0</v>
      </c>
      <c r="N44" s="13">
        <v>16.0</v>
      </c>
      <c r="O44" s="13">
        <v>33.0</v>
      </c>
    </row>
    <row r="45" ht="15.75" customHeight="1">
      <c r="C45" s="13">
        <v>3.0</v>
      </c>
      <c r="D45" s="28">
        <v>0.11180555555555556</v>
      </c>
      <c r="E45" s="28">
        <v>0.15902777777777777</v>
      </c>
      <c r="F45" s="170" t="s">
        <v>7141</v>
      </c>
      <c r="G45" s="10" t="s">
        <v>7142</v>
      </c>
      <c r="H45" s="13">
        <v>99.0</v>
      </c>
      <c r="I45" s="13">
        <v>49.0</v>
      </c>
      <c r="J45" s="13">
        <v>41.0</v>
      </c>
      <c r="K45" s="13">
        <v>1.0</v>
      </c>
      <c r="L45" s="13">
        <v>6.0</v>
      </c>
      <c r="M45" s="13">
        <v>8.0</v>
      </c>
      <c r="N45" s="13">
        <v>45.0</v>
      </c>
      <c r="O45" s="13">
        <v>39.0</v>
      </c>
    </row>
    <row r="46" ht="15.75" customHeight="1">
      <c r="C46" s="13">
        <v>4.0</v>
      </c>
      <c r="D46" s="28">
        <v>0.1875</v>
      </c>
      <c r="E46" s="28">
        <v>0.23125</v>
      </c>
      <c r="F46" s="170" t="s">
        <v>7143</v>
      </c>
      <c r="G46" s="10" t="s">
        <v>7144</v>
      </c>
      <c r="H46" s="13">
        <v>88.0</v>
      </c>
      <c r="I46" s="13">
        <v>32.0</v>
      </c>
      <c r="J46" s="13">
        <v>39.0</v>
      </c>
      <c r="K46" s="13">
        <v>5.0</v>
      </c>
      <c r="L46" s="13">
        <v>9.0</v>
      </c>
      <c r="M46" s="13">
        <v>12.0</v>
      </c>
      <c r="N46" s="13">
        <v>21.0</v>
      </c>
      <c r="O46" s="13">
        <v>41.0</v>
      </c>
    </row>
    <row r="47" ht="15.75" customHeight="1">
      <c r="G47" s="10"/>
    </row>
    <row r="48" ht="15.75" customHeight="1">
      <c r="G48" s="10"/>
    </row>
    <row r="49" ht="15.75" customHeight="1">
      <c r="G49" s="10"/>
    </row>
    <row r="50" ht="15.75" customHeight="1">
      <c r="G50" s="10"/>
    </row>
    <row r="51" ht="15.75" customHeight="1">
      <c r="G51" s="10"/>
    </row>
    <row r="52" ht="15.75" customHeight="1">
      <c r="G52" s="10"/>
    </row>
    <row r="53" ht="15.75" customHeight="1">
      <c r="G53" s="10"/>
    </row>
    <row r="54" ht="15.75" customHeight="1">
      <c r="G54" s="10"/>
    </row>
    <row r="55" ht="15.75" customHeight="1">
      <c r="G55" s="10"/>
    </row>
    <row r="56" ht="15.75" customHeight="1">
      <c r="G56" s="10"/>
    </row>
    <row r="57" ht="15.75" customHeight="1">
      <c r="G57" s="10"/>
    </row>
    <row r="58" ht="15.75" customHeight="1">
      <c r="G58" s="10"/>
    </row>
    <row r="59" ht="15.75" customHeight="1">
      <c r="G59" s="10"/>
    </row>
    <row r="60" ht="15.75" customHeight="1">
      <c r="G60" s="10"/>
    </row>
    <row r="61" ht="15.75" customHeight="1">
      <c r="G61" s="10"/>
    </row>
    <row r="62" ht="15.75" customHeight="1">
      <c r="G62" s="10"/>
    </row>
    <row r="63" ht="15.75" customHeight="1">
      <c r="G63" s="10"/>
    </row>
    <row r="64" ht="15.75" customHeight="1">
      <c r="G64" s="10"/>
    </row>
    <row r="65" ht="15.75" customHeight="1">
      <c r="G65" s="10"/>
    </row>
    <row r="66" ht="15.75" customHeight="1">
      <c r="G66" s="10"/>
    </row>
    <row r="67" ht="15.75" customHeight="1">
      <c r="G67" s="10"/>
    </row>
    <row r="68" ht="15.75" customHeight="1">
      <c r="G68" s="10"/>
    </row>
    <row r="69" ht="15.75" customHeight="1">
      <c r="G69" s="10"/>
    </row>
    <row r="70" ht="15.75" customHeight="1">
      <c r="G70" s="10"/>
    </row>
    <row r="71" ht="15.75" customHeight="1">
      <c r="G71" s="10"/>
    </row>
    <row r="72" ht="15.75" customHeight="1">
      <c r="G72" s="10"/>
    </row>
    <row r="73" ht="15.75" customHeight="1">
      <c r="G73" s="10"/>
    </row>
    <row r="74" ht="15.75" customHeight="1">
      <c r="G74" s="10"/>
    </row>
    <row r="75" ht="15.75" customHeight="1">
      <c r="G75" s="10"/>
    </row>
    <row r="76" ht="15.75" customHeight="1">
      <c r="G76" s="10"/>
    </row>
    <row r="77" ht="15.75" customHeight="1">
      <c r="G77" s="10"/>
    </row>
    <row r="78" ht="15.75" customHeight="1">
      <c r="G78" s="10"/>
    </row>
    <row r="79" ht="15.75" customHeight="1">
      <c r="G79" s="10"/>
    </row>
    <row r="80" ht="15.75" customHeight="1">
      <c r="G80" s="10"/>
    </row>
    <row r="81" ht="15.75" customHeight="1">
      <c r="G81" s="10"/>
    </row>
    <row r="82" ht="15.75" customHeight="1">
      <c r="G82" s="10"/>
    </row>
    <row r="83" ht="15.75" customHeight="1">
      <c r="G83" s="10"/>
    </row>
    <row r="84" ht="15.75" customHeight="1">
      <c r="G84" s="10"/>
    </row>
    <row r="85" ht="15.75" customHeight="1">
      <c r="G85" s="10"/>
    </row>
    <row r="86" ht="15.75" customHeight="1">
      <c r="G86" s="10"/>
    </row>
    <row r="87" ht="15.75" customHeight="1">
      <c r="G87" s="10"/>
    </row>
    <row r="88" ht="15.75" customHeight="1">
      <c r="G88" s="10"/>
    </row>
    <row r="89" ht="15.75" customHeight="1">
      <c r="G89" s="10"/>
    </row>
    <row r="90" ht="15.75" customHeight="1">
      <c r="G90" s="10"/>
    </row>
    <row r="91" ht="15.75" customHeight="1">
      <c r="G91" s="10"/>
    </row>
    <row r="92" ht="15.75" customHeight="1">
      <c r="G92" s="10"/>
    </row>
    <row r="93" ht="15.75" customHeight="1">
      <c r="G93" s="10"/>
    </row>
    <row r="94" ht="15.75" customHeight="1">
      <c r="G94" s="10"/>
    </row>
    <row r="95" ht="15.75" customHeight="1">
      <c r="G95" s="10"/>
    </row>
    <row r="96" ht="15.75" customHeight="1">
      <c r="G96" s="10"/>
    </row>
    <row r="97" ht="15.75" customHeight="1">
      <c r="G97" s="10"/>
    </row>
    <row r="98" ht="15.75" customHeight="1">
      <c r="G98" s="10"/>
    </row>
    <row r="99" ht="15.75" customHeight="1">
      <c r="G99" s="10"/>
    </row>
    <row r="100" ht="15.75" customHeight="1">
      <c r="G100" s="10"/>
    </row>
    <row r="101" ht="15.75" customHeight="1">
      <c r="G101" s="10"/>
    </row>
    <row r="102" ht="15.75" customHeight="1">
      <c r="G102" s="10"/>
    </row>
    <row r="103" ht="15.75" customHeight="1">
      <c r="G103" s="10"/>
    </row>
    <row r="104" ht="15.75" customHeight="1">
      <c r="G104" s="10"/>
    </row>
    <row r="105" ht="15.75" customHeight="1">
      <c r="G105" s="10"/>
    </row>
    <row r="106" ht="15.75" customHeight="1">
      <c r="G106" s="10"/>
    </row>
    <row r="107" ht="15.75" customHeight="1">
      <c r="G107" s="10"/>
    </row>
    <row r="108" ht="15.75" customHeight="1">
      <c r="G108" s="10"/>
    </row>
    <row r="109" ht="15.75" customHeight="1">
      <c r="G109" s="10"/>
    </row>
    <row r="110" ht="15.75" customHeight="1">
      <c r="G110" s="10"/>
    </row>
    <row r="111" ht="15.75" customHeight="1">
      <c r="G111" s="10"/>
    </row>
    <row r="112" ht="15.75" customHeight="1">
      <c r="G112" s="10"/>
    </row>
    <row r="113" ht="15.75" customHeight="1">
      <c r="G113" s="10"/>
    </row>
    <row r="114" ht="15.75" customHeight="1">
      <c r="G114" s="10"/>
    </row>
    <row r="115" ht="15.75" customHeight="1">
      <c r="G115" s="10"/>
    </row>
    <row r="116" ht="15.75" customHeight="1">
      <c r="G116" s="10"/>
    </row>
    <row r="117" ht="15.75" customHeight="1">
      <c r="G117" s="10"/>
    </row>
    <row r="118" ht="15.75" customHeight="1">
      <c r="G118" s="10"/>
    </row>
    <row r="119" ht="15.75" customHeight="1">
      <c r="G119" s="10"/>
    </row>
    <row r="120" ht="15.75" customHeight="1">
      <c r="G120" s="10"/>
    </row>
    <row r="121" ht="15.75" customHeight="1">
      <c r="G121" s="10"/>
    </row>
    <row r="122" ht="15.75" customHeight="1">
      <c r="G122" s="10"/>
    </row>
    <row r="123" ht="15.75" customHeight="1">
      <c r="G123" s="10"/>
    </row>
    <row r="124" ht="15.75" customHeight="1">
      <c r="G124" s="10"/>
    </row>
    <row r="125" ht="15.75" customHeight="1">
      <c r="G125" s="10"/>
    </row>
    <row r="126" ht="15.75" customHeight="1">
      <c r="G126" s="10"/>
    </row>
    <row r="127" ht="15.75" customHeight="1">
      <c r="G127" s="10"/>
    </row>
    <row r="128" ht="15.75" customHeight="1">
      <c r="G128" s="10"/>
    </row>
    <row r="129" ht="15.75" customHeight="1">
      <c r="G129" s="10"/>
    </row>
    <row r="130" ht="15.75" customHeight="1">
      <c r="G130" s="10"/>
    </row>
    <row r="131" ht="15.75" customHeight="1">
      <c r="G131" s="10"/>
    </row>
    <row r="132" ht="15.75" customHeight="1">
      <c r="G132" s="10"/>
    </row>
    <row r="133" ht="15.75" customHeight="1">
      <c r="G133" s="10"/>
    </row>
    <row r="134" ht="15.75" customHeight="1">
      <c r="G134" s="10"/>
    </row>
    <row r="135" ht="15.75" customHeight="1">
      <c r="G135" s="10"/>
    </row>
    <row r="136" ht="15.75" customHeight="1">
      <c r="G136" s="10"/>
    </row>
    <row r="137" ht="15.75" customHeight="1">
      <c r="G137" s="10"/>
    </row>
    <row r="138" ht="15.75" customHeight="1">
      <c r="G138" s="10"/>
    </row>
    <row r="139" ht="15.75" customHeight="1">
      <c r="G139" s="10"/>
    </row>
    <row r="140" ht="15.75" customHeight="1">
      <c r="G140" s="10"/>
    </row>
    <row r="141" ht="15.75" customHeight="1">
      <c r="G141" s="10"/>
    </row>
    <row r="142" ht="15.75" customHeight="1">
      <c r="G142" s="10"/>
    </row>
    <row r="143" ht="15.75" customHeight="1">
      <c r="G143" s="10"/>
    </row>
    <row r="144" ht="15.75" customHeight="1">
      <c r="G144" s="10"/>
    </row>
    <row r="145" ht="15.75" customHeight="1">
      <c r="G145" s="10"/>
    </row>
    <row r="146" ht="15.75" customHeight="1">
      <c r="G146" s="10"/>
    </row>
    <row r="147" ht="15.75" customHeight="1">
      <c r="G147" s="10"/>
    </row>
    <row r="148" ht="15.75" customHeight="1">
      <c r="G148" s="10"/>
    </row>
    <row r="149" ht="15.75" customHeight="1">
      <c r="G149" s="10"/>
    </row>
    <row r="150" ht="15.75" customHeight="1">
      <c r="G150" s="10"/>
    </row>
    <row r="151" ht="15.75" customHeight="1">
      <c r="G151" s="10"/>
    </row>
    <row r="152" ht="15.75" customHeight="1">
      <c r="G152" s="10"/>
    </row>
    <row r="153" ht="15.75" customHeight="1">
      <c r="G153" s="10"/>
    </row>
    <row r="154" ht="15.75" customHeight="1">
      <c r="G154" s="10"/>
    </row>
    <row r="155" ht="15.75" customHeight="1">
      <c r="G155" s="10"/>
    </row>
    <row r="156" ht="15.75" customHeight="1">
      <c r="G156" s="10"/>
    </row>
    <row r="157" ht="15.75" customHeight="1">
      <c r="G157" s="10"/>
    </row>
    <row r="158" ht="15.75" customHeight="1">
      <c r="G158" s="10"/>
    </row>
    <row r="159" ht="15.75" customHeight="1">
      <c r="G159" s="10"/>
    </row>
    <row r="160" ht="15.75" customHeight="1">
      <c r="G160" s="10"/>
    </row>
    <row r="161" ht="15.75" customHeight="1">
      <c r="G161" s="10"/>
    </row>
    <row r="162" ht="15.75" customHeight="1">
      <c r="G162" s="10"/>
    </row>
    <row r="163" ht="15.75" customHeight="1">
      <c r="G163" s="10"/>
    </row>
    <row r="164" ht="15.75" customHeight="1">
      <c r="G164" s="10"/>
    </row>
    <row r="165" ht="15.75" customHeight="1">
      <c r="G165" s="10"/>
    </row>
    <row r="166" ht="15.75" customHeight="1">
      <c r="G166" s="10"/>
    </row>
    <row r="167" ht="15.75" customHeight="1">
      <c r="G167" s="10"/>
    </row>
    <row r="168" ht="15.75" customHeight="1">
      <c r="G168" s="10"/>
    </row>
    <row r="169" ht="15.75" customHeight="1">
      <c r="G169" s="10"/>
    </row>
    <row r="170" ht="15.75" customHeight="1">
      <c r="G170" s="10"/>
    </row>
    <row r="171" ht="15.75" customHeight="1">
      <c r="G171" s="10"/>
    </row>
    <row r="172" ht="15.75" customHeight="1">
      <c r="G172" s="10"/>
    </row>
    <row r="173" ht="15.75" customHeight="1">
      <c r="G173" s="10"/>
    </row>
    <row r="174" ht="15.75" customHeight="1">
      <c r="G174" s="10"/>
    </row>
    <row r="175" ht="15.75" customHeight="1">
      <c r="G175" s="10"/>
    </row>
    <row r="176" ht="15.75" customHeight="1">
      <c r="G176" s="10"/>
    </row>
    <row r="177" ht="15.75" customHeight="1">
      <c r="G177" s="10"/>
    </row>
    <row r="178" ht="15.75" customHeight="1">
      <c r="G178" s="10"/>
    </row>
    <row r="179" ht="15.75" customHeight="1">
      <c r="G179" s="10"/>
    </row>
    <row r="180" ht="15.75" customHeight="1">
      <c r="G180" s="10"/>
    </row>
    <row r="181" ht="15.75" customHeight="1">
      <c r="G181" s="10"/>
    </row>
    <row r="182" ht="15.75" customHeight="1">
      <c r="G182" s="10"/>
    </row>
    <row r="183" ht="15.75" customHeight="1">
      <c r="G183" s="10"/>
    </row>
    <row r="184" ht="15.75" customHeight="1">
      <c r="G184" s="10"/>
    </row>
    <row r="185" ht="15.75" customHeight="1">
      <c r="G185" s="10"/>
    </row>
    <row r="186" ht="15.75" customHeight="1">
      <c r="G186" s="10"/>
    </row>
    <row r="187" ht="15.75" customHeight="1">
      <c r="G187" s="10"/>
    </row>
    <row r="188" ht="15.75" customHeight="1">
      <c r="G188" s="10"/>
    </row>
    <row r="189" ht="15.75" customHeight="1">
      <c r="G189" s="10"/>
    </row>
    <row r="190" ht="15.75" customHeight="1">
      <c r="G190" s="10"/>
    </row>
    <row r="191" ht="15.75" customHeight="1">
      <c r="G191" s="10"/>
    </row>
    <row r="192" ht="15.75" customHeight="1">
      <c r="G192" s="10"/>
    </row>
    <row r="193" ht="15.75" customHeight="1">
      <c r="G193" s="10"/>
    </row>
    <row r="194" ht="15.75" customHeight="1">
      <c r="G194" s="10"/>
    </row>
    <row r="195" ht="15.75" customHeight="1">
      <c r="G195" s="10"/>
    </row>
    <row r="196" ht="15.75" customHeight="1">
      <c r="G196" s="10"/>
    </row>
    <row r="197" ht="15.75" customHeight="1">
      <c r="G197" s="10"/>
    </row>
    <row r="198" ht="15.75" customHeight="1">
      <c r="G198" s="10"/>
    </row>
    <row r="199" ht="15.75" customHeight="1">
      <c r="G199" s="10"/>
    </row>
    <row r="200" ht="15.75" customHeight="1">
      <c r="G200" s="10"/>
    </row>
    <row r="201" ht="15.75" customHeight="1">
      <c r="G201" s="10"/>
    </row>
    <row r="202" ht="15.75" customHeight="1">
      <c r="G202" s="10"/>
    </row>
    <row r="203" ht="15.75" customHeight="1">
      <c r="G203" s="10"/>
    </row>
    <row r="204" ht="15.75" customHeight="1">
      <c r="G204" s="10"/>
    </row>
    <row r="205" ht="15.75" customHeight="1">
      <c r="G205" s="10"/>
    </row>
    <row r="206" ht="15.75" customHeight="1">
      <c r="G206" s="10"/>
    </row>
    <row r="207" ht="15.75" customHeight="1">
      <c r="G207" s="10"/>
    </row>
    <row r="208" ht="15.75" customHeight="1">
      <c r="G208" s="10"/>
    </row>
    <row r="209" ht="15.75" customHeight="1">
      <c r="G209" s="10"/>
    </row>
    <row r="210" ht="15.75" customHeight="1">
      <c r="G210" s="10"/>
    </row>
    <row r="211" ht="15.75" customHeight="1">
      <c r="G211" s="10"/>
    </row>
    <row r="212" ht="15.75" customHeight="1">
      <c r="G212" s="10"/>
    </row>
    <row r="213" ht="15.75" customHeight="1">
      <c r="G213" s="10"/>
    </row>
    <row r="214" ht="15.75" customHeight="1">
      <c r="G214" s="10"/>
    </row>
    <row r="215" ht="15.75" customHeight="1">
      <c r="G215" s="10"/>
    </row>
    <row r="216" ht="15.75" customHeight="1">
      <c r="G216" s="10"/>
    </row>
    <row r="217" ht="15.75" customHeight="1">
      <c r="G217" s="10"/>
    </row>
    <row r="218" ht="15.75" customHeight="1">
      <c r="G218" s="10"/>
    </row>
    <row r="219" ht="15.75" customHeight="1">
      <c r="G219" s="10"/>
    </row>
    <row r="220" ht="15.75" customHeight="1">
      <c r="G220" s="10"/>
    </row>
    <row r="221" ht="15.75" customHeight="1">
      <c r="G221" s="10"/>
    </row>
    <row r="222" ht="15.75" customHeight="1">
      <c r="G222" s="10"/>
    </row>
    <row r="223" ht="15.75" customHeight="1">
      <c r="G223" s="10"/>
    </row>
    <row r="224" ht="15.75" customHeight="1">
      <c r="G224" s="10"/>
    </row>
    <row r="225" ht="15.75" customHeight="1">
      <c r="G225" s="10"/>
    </row>
    <row r="226" ht="15.75" customHeight="1">
      <c r="G226" s="10"/>
    </row>
    <row r="227" ht="15.75" customHeight="1">
      <c r="G227" s="10"/>
    </row>
    <row r="228" ht="15.75" customHeight="1">
      <c r="G228" s="10"/>
    </row>
    <row r="229" ht="15.75" customHeight="1">
      <c r="G229" s="10"/>
    </row>
    <row r="230" ht="15.75" customHeight="1">
      <c r="G230" s="10"/>
    </row>
    <row r="231" ht="15.75" customHeight="1">
      <c r="G231" s="10"/>
    </row>
    <row r="232" ht="15.75" customHeight="1">
      <c r="G232" s="10"/>
    </row>
    <row r="233" ht="15.75" customHeight="1">
      <c r="G233" s="10"/>
    </row>
    <row r="234" ht="15.75" customHeight="1">
      <c r="G234" s="10"/>
    </row>
    <row r="235" ht="15.75" customHeight="1">
      <c r="G235" s="10"/>
    </row>
    <row r="236" ht="15.75" customHeight="1">
      <c r="G236" s="10"/>
    </row>
    <row r="237" ht="15.75" customHeight="1">
      <c r="G237" s="10"/>
    </row>
    <row r="238" ht="15.75" customHeight="1">
      <c r="G238" s="10"/>
    </row>
    <row r="239" ht="15.75" customHeight="1">
      <c r="G239" s="10"/>
    </row>
    <row r="240" ht="15.75" customHeight="1">
      <c r="G240" s="10"/>
    </row>
    <row r="241" ht="15.75" customHeight="1">
      <c r="G241" s="10"/>
    </row>
    <row r="242" ht="15.75" customHeight="1">
      <c r="G242" s="10"/>
    </row>
    <row r="243" ht="15.75" customHeight="1">
      <c r="G243" s="10"/>
    </row>
    <row r="244" ht="15.75" customHeight="1">
      <c r="G244" s="10"/>
    </row>
    <row r="245" ht="15.75" customHeight="1">
      <c r="G245" s="10"/>
    </row>
    <row r="246" ht="15.75" customHeight="1">
      <c r="G246" s="10"/>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6.0"/>
    <col customWidth="1" min="2" max="2" width="18.25"/>
    <col customWidth="1" min="3" max="3" width="21.0"/>
    <col customWidth="1" min="4" max="4" width="12.63"/>
    <col customWidth="1" min="5" max="5" width="41.13"/>
    <col customWidth="1" min="6" max="6" width="12.63"/>
  </cols>
  <sheetData>
    <row r="1" ht="15.75" customHeight="1">
      <c r="A1" s="126" t="s">
        <v>7145</v>
      </c>
      <c r="B1" s="126" t="s">
        <v>7146</v>
      </c>
      <c r="C1" s="126" t="s">
        <v>7147</v>
      </c>
      <c r="D1" s="126" t="s">
        <v>7148</v>
      </c>
      <c r="E1" s="207" t="s">
        <v>7149</v>
      </c>
      <c r="F1" s="126" t="s">
        <v>7150</v>
      </c>
      <c r="G1" s="126"/>
      <c r="H1" s="126" t="s">
        <v>7151</v>
      </c>
      <c r="I1" s="126"/>
      <c r="J1" s="126" t="s">
        <v>7152</v>
      </c>
      <c r="K1" s="126"/>
      <c r="L1" s="126"/>
      <c r="M1" s="126"/>
      <c r="N1" s="126"/>
      <c r="O1" s="126"/>
      <c r="P1" s="126"/>
      <c r="Q1" s="126"/>
      <c r="R1" s="126"/>
      <c r="S1" s="126"/>
      <c r="T1" s="126"/>
      <c r="U1" s="126"/>
      <c r="V1" s="126"/>
      <c r="W1" s="126"/>
      <c r="X1" s="126"/>
      <c r="Y1" s="126"/>
      <c r="Z1" s="126"/>
      <c r="AA1" s="126"/>
    </row>
    <row r="2" ht="15.75" customHeight="1">
      <c r="E2" s="10"/>
    </row>
    <row r="3" ht="15.75" customHeight="1">
      <c r="A3" s="13" t="s">
        <v>7153</v>
      </c>
      <c r="B3" s="13" t="s">
        <v>7154</v>
      </c>
      <c r="C3" s="240" t="s">
        <v>7155</v>
      </c>
      <c r="D3" s="13">
        <v>8.0</v>
      </c>
      <c r="E3" s="10"/>
      <c r="F3" s="13" t="s">
        <v>7156</v>
      </c>
      <c r="J3" s="13" t="s">
        <v>7157</v>
      </c>
    </row>
    <row r="4" ht="15.75" customHeight="1">
      <c r="E4" s="10"/>
    </row>
    <row r="5" ht="15.75" customHeight="1">
      <c r="A5" s="13" t="s">
        <v>7158</v>
      </c>
      <c r="B5" s="13" t="s">
        <v>7159</v>
      </c>
      <c r="C5" s="240" t="s">
        <v>7160</v>
      </c>
      <c r="D5" s="13">
        <v>404.0</v>
      </c>
      <c r="E5" s="10"/>
      <c r="F5" s="13" t="s">
        <v>7161</v>
      </c>
      <c r="J5" s="13" t="s">
        <v>7162</v>
      </c>
    </row>
    <row r="6" ht="15.75" customHeight="1">
      <c r="E6" s="10"/>
    </row>
    <row r="7" ht="15.75" customHeight="1">
      <c r="A7" s="13" t="s">
        <v>7163</v>
      </c>
      <c r="B7" s="13" t="s">
        <v>7164</v>
      </c>
      <c r="C7" s="240" t="s">
        <v>7160</v>
      </c>
      <c r="D7" s="13">
        <v>393.0</v>
      </c>
      <c r="E7" s="10"/>
      <c r="F7" s="13" t="s">
        <v>7165</v>
      </c>
      <c r="J7" s="13" t="s">
        <v>7162</v>
      </c>
    </row>
    <row r="8" ht="15.75" customHeight="1">
      <c r="E8" s="10"/>
    </row>
    <row r="9" ht="15.75" customHeight="1">
      <c r="A9" s="13" t="s">
        <v>7166</v>
      </c>
      <c r="B9" s="13" t="s">
        <v>7167</v>
      </c>
      <c r="C9" s="240" t="s">
        <v>7160</v>
      </c>
      <c r="D9" s="13" t="s">
        <v>7168</v>
      </c>
      <c r="E9" s="10" t="s">
        <v>7169</v>
      </c>
      <c r="F9" s="13" t="s">
        <v>7170</v>
      </c>
      <c r="G9" s="13" t="s">
        <v>1462</v>
      </c>
      <c r="H9" s="13" t="s">
        <v>7171</v>
      </c>
      <c r="J9" s="13" t="s">
        <v>7162</v>
      </c>
    </row>
    <row r="10" ht="15.75" customHeight="1">
      <c r="E10" s="10"/>
    </row>
    <row r="11" ht="15.75" customHeight="1">
      <c r="A11" s="13" t="s">
        <v>7172</v>
      </c>
      <c r="B11" s="13" t="s">
        <v>7173</v>
      </c>
      <c r="C11" s="240" t="s">
        <v>7160</v>
      </c>
      <c r="D11" s="13">
        <v>394.0</v>
      </c>
      <c r="E11" s="10"/>
      <c r="F11" s="13" t="s">
        <v>7174</v>
      </c>
      <c r="H11" s="13" t="s">
        <v>7175</v>
      </c>
      <c r="J11" s="13" t="s">
        <v>7162</v>
      </c>
    </row>
    <row r="12" ht="15.75" customHeight="1">
      <c r="E12" s="10"/>
    </row>
    <row r="13" ht="15.75" customHeight="1">
      <c r="A13" s="13" t="s">
        <v>7176</v>
      </c>
      <c r="B13" s="13" t="s">
        <v>7177</v>
      </c>
      <c r="C13" s="240" t="s">
        <v>7160</v>
      </c>
      <c r="D13" s="13">
        <v>387.0</v>
      </c>
      <c r="E13" s="10"/>
      <c r="F13" s="13" t="s">
        <v>7178</v>
      </c>
      <c r="J13" s="13" t="s">
        <v>7162</v>
      </c>
    </row>
    <row r="14" ht="15.75" customHeight="1">
      <c r="E14" s="10"/>
    </row>
    <row r="15" ht="15.75" customHeight="1">
      <c r="A15" s="13" t="s">
        <v>7179</v>
      </c>
      <c r="B15" s="13" t="s">
        <v>7177</v>
      </c>
      <c r="C15" s="240" t="s">
        <v>7160</v>
      </c>
      <c r="D15" s="241" t="s">
        <v>7180</v>
      </c>
      <c r="E15" s="10" t="s">
        <v>7181</v>
      </c>
      <c r="F15" s="13" t="s">
        <v>7182</v>
      </c>
      <c r="H15" s="13" t="s">
        <v>7177</v>
      </c>
      <c r="J15" s="13" t="s">
        <v>7162</v>
      </c>
    </row>
    <row r="16" ht="15.75" customHeight="1">
      <c r="E16" s="10"/>
    </row>
    <row r="17" ht="15.75" customHeight="1">
      <c r="A17" s="13" t="s">
        <v>7183</v>
      </c>
      <c r="B17" s="13" t="s">
        <v>7184</v>
      </c>
      <c r="C17" s="240" t="s">
        <v>7160</v>
      </c>
      <c r="D17" s="13" t="s">
        <v>7185</v>
      </c>
      <c r="E17" s="10" t="s">
        <v>7186</v>
      </c>
      <c r="J17" s="13" t="s">
        <v>7162</v>
      </c>
    </row>
    <row r="18" ht="15.75" customHeight="1">
      <c r="E18" s="10"/>
    </row>
    <row r="19" ht="15.75" customHeight="1">
      <c r="E19" s="10"/>
    </row>
    <row r="20" ht="15.75" customHeight="1">
      <c r="E20" s="10"/>
    </row>
    <row r="21" ht="15.75" customHeight="1">
      <c r="E21" s="10"/>
    </row>
    <row r="22" ht="15.75" customHeight="1">
      <c r="E22" s="10"/>
    </row>
    <row r="23" ht="15.75" customHeight="1">
      <c r="E23" s="10"/>
    </row>
    <row r="24" ht="15.75" customHeight="1">
      <c r="E24" s="10"/>
    </row>
    <row r="25" ht="15.75" customHeight="1">
      <c r="E25" s="10"/>
    </row>
    <row r="26" ht="15.75" customHeight="1">
      <c r="E26" s="10"/>
    </row>
    <row r="27" ht="15.75" customHeight="1">
      <c r="E27" s="10"/>
    </row>
    <row r="28" ht="15.75" customHeight="1">
      <c r="E28" s="10"/>
    </row>
    <row r="29" ht="15.75" customHeight="1">
      <c r="E29" s="10"/>
    </row>
    <row r="30" ht="15.75" customHeight="1">
      <c r="E30" s="10"/>
    </row>
    <row r="31" ht="15.75" customHeight="1">
      <c r="E31" s="10"/>
    </row>
    <row r="32" ht="15.75" customHeight="1">
      <c r="E32" s="10"/>
    </row>
    <row r="33" ht="15.75" customHeight="1">
      <c r="E33" s="10"/>
    </row>
    <row r="34" ht="15.75" customHeight="1">
      <c r="E34" s="10"/>
    </row>
    <row r="35" ht="15.75" customHeight="1">
      <c r="E35" s="10"/>
    </row>
    <row r="36" ht="15.75" customHeight="1">
      <c r="E36" s="10"/>
    </row>
    <row r="37" ht="15.75" customHeight="1">
      <c r="E37" s="10"/>
    </row>
    <row r="38" ht="15.75" customHeight="1">
      <c r="E38" s="10"/>
    </row>
    <row r="39" ht="15.75" customHeight="1">
      <c r="E39" s="10"/>
    </row>
    <row r="40" ht="15.75" customHeight="1">
      <c r="E40" s="10"/>
    </row>
    <row r="41" ht="15.75" customHeight="1">
      <c r="E41" s="10"/>
    </row>
    <row r="42" ht="15.75" customHeight="1">
      <c r="E42" s="10"/>
    </row>
    <row r="43" ht="15.75" customHeight="1">
      <c r="E43" s="10"/>
    </row>
    <row r="44" ht="15.75" customHeight="1">
      <c r="E44" s="10"/>
    </row>
    <row r="45" ht="15.75" customHeight="1">
      <c r="E45" s="10"/>
    </row>
    <row r="46" ht="15.75" customHeight="1">
      <c r="E46" s="10"/>
    </row>
    <row r="47" ht="15.75" customHeight="1">
      <c r="E47" s="10"/>
    </row>
    <row r="48" ht="15.75" customHeight="1">
      <c r="E48" s="10"/>
    </row>
    <row r="49" ht="15.75" customHeight="1">
      <c r="E49" s="10"/>
    </row>
    <row r="50" ht="15.75" customHeight="1">
      <c r="E50" s="10"/>
    </row>
    <row r="51" ht="15.75" customHeight="1">
      <c r="E51" s="10"/>
    </row>
    <row r="52" ht="15.75" customHeight="1">
      <c r="E52" s="10"/>
    </row>
    <row r="53" ht="15.75" customHeight="1">
      <c r="E53" s="10"/>
    </row>
    <row r="54" ht="15.75" customHeight="1">
      <c r="E54" s="10"/>
    </row>
    <row r="55" ht="15.75" customHeight="1">
      <c r="E55" s="10"/>
    </row>
    <row r="56" ht="15.75" customHeight="1">
      <c r="E56" s="10"/>
    </row>
    <row r="57" ht="15.75" customHeight="1">
      <c r="E57" s="10"/>
    </row>
    <row r="58" ht="15.75" customHeight="1">
      <c r="E58" s="10"/>
    </row>
    <row r="59" ht="15.75" customHeight="1">
      <c r="E59" s="10"/>
    </row>
    <row r="60" ht="15.75" customHeight="1">
      <c r="E60" s="10"/>
    </row>
    <row r="61" ht="15.75" customHeight="1">
      <c r="E61" s="10"/>
    </row>
    <row r="62" ht="15.75" customHeight="1">
      <c r="E62" s="10"/>
    </row>
    <row r="63" ht="15.75" customHeight="1">
      <c r="E63" s="10"/>
    </row>
    <row r="64" ht="15.75" customHeight="1">
      <c r="E64" s="10"/>
    </row>
    <row r="65" ht="15.75" customHeight="1">
      <c r="E65" s="10"/>
    </row>
    <row r="66" ht="15.75" customHeight="1">
      <c r="E66" s="10"/>
    </row>
    <row r="67" ht="15.75" customHeight="1">
      <c r="E67" s="10"/>
    </row>
    <row r="68" ht="15.75" customHeight="1">
      <c r="E68" s="10"/>
    </row>
    <row r="69" ht="15.75" customHeight="1">
      <c r="E69" s="10"/>
    </row>
    <row r="70" ht="15.75" customHeight="1">
      <c r="E70" s="10"/>
    </row>
    <row r="71" ht="15.75" customHeight="1">
      <c r="E71" s="10"/>
    </row>
    <row r="72" ht="15.75" customHeight="1">
      <c r="E72" s="10"/>
    </row>
    <row r="73" ht="15.75" customHeight="1">
      <c r="E73" s="10"/>
    </row>
    <row r="74" ht="15.75" customHeight="1">
      <c r="E74" s="10"/>
    </row>
    <row r="75" ht="15.75" customHeight="1">
      <c r="E75" s="10"/>
    </row>
    <row r="76" ht="15.75" customHeight="1">
      <c r="E76" s="10"/>
    </row>
    <row r="77" ht="15.75" customHeight="1">
      <c r="E77" s="10"/>
    </row>
    <row r="78" ht="15.75" customHeight="1">
      <c r="E78" s="10"/>
    </row>
    <row r="79" ht="15.75" customHeight="1">
      <c r="E79" s="10"/>
    </row>
    <row r="80" ht="15.75" customHeight="1">
      <c r="E80" s="10"/>
    </row>
    <row r="81" ht="15.75" customHeight="1">
      <c r="E81" s="10"/>
    </row>
    <row r="82" ht="15.75" customHeight="1">
      <c r="E82" s="10"/>
    </row>
    <row r="83" ht="15.75" customHeight="1">
      <c r="E83" s="10"/>
    </row>
    <row r="84" ht="15.75" customHeight="1">
      <c r="E84" s="10"/>
    </row>
    <row r="85" ht="15.75" customHeight="1">
      <c r="E85" s="10"/>
    </row>
    <row r="86" ht="15.75" customHeight="1">
      <c r="E86" s="10"/>
    </row>
    <row r="87" ht="15.75" customHeight="1">
      <c r="E87" s="10"/>
    </row>
    <row r="88" ht="15.75" customHeight="1">
      <c r="E88" s="10"/>
    </row>
    <row r="89" ht="15.75" customHeight="1">
      <c r="E89" s="10"/>
    </row>
    <row r="90" ht="15.75" customHeight="1">
      <c r="E90" s="10"/>
    </row>
    <row r="91" ht="15.75" customHeight="1">
      <c r="E91" s="10"/>
    </row>
    <row r="92" ht="15.75" customHeight="1">
      <c r="E92" s="10"/>
    </row>
    <row r="93" ht="15.75" customHeight="1">
      <c r="E93" s="10"/>
    </row>
    <row r="94" ht="15.75" customHeight="1">
      <c r="E94" s="10"/>
    </row>
    <row r="95" ht="15.75" customHeight="1">
      <c r="E95" s="10"/>
    </row>
    <row r="96" ht="15.75" customHeight="1">
      <c r="E96" s="10"/>
    </row>
    <row r="97" ht="15.75" customHeight="1">
      <c r="E97" s="10"/>
    </row>
    <row r="98" ht="15.75" customHeight="1">
      <c r="E98" s="10"/>
    </row>
    <row r="99" ht="15.75" customHeight="1">
      <c r="E99" s="10"/>
    </row>
    <row r="100" ht="15.75" customHeight="1">
      <c r="E100" s="10"/>
    </row>
    <row r="101" ht="15.75" customHeight="1">
      <c r="E101" s="10"/>
    </row>
    <row r="102" ht="15.75" customHeight="1">
      <c r="E102" s="10"/>
    </row>
    <row r="103" ht="15.75" customHeight="1">
      <c r="E103" s="10"/>
    </row>
    <row r="104" ht="15.75" customHeight="1">
      <c r="E104" s="10"/>
    </row>
    <row r="105" ht="15.75" customHeight="1">
      <c r="E105" s="10"/>
    </row>
    <row r="106" ht="15.75" customHeight="1">
      <c r="E106" s="10"/>
    </row>
    <row r="107" ht="15.75" customHeight="1">
      <c r="E107" s="10"/>
    </row>
    <row r="108" ht="15.75" customHeight="1">
      <c r="E108" s="10"/>
    </row>
    <row r="109" ht="15.75" customHeight="1">
      <c r="E109" s="10"/>
    </row>
    <row r="110" ht="15.75" customHeight="1">
      <c r="E110" s="10"/>
    </row>
    <row r="111" ht="15.75" customHeight="1">
      <c r="E111" s="10"/>
    </row>
    <row r="112" ht="15.75" customHeight="1">
      <c r="E112" s="10"/>
    </row>
    <row r="113" ht="15.75" customHeight="1">
      <c r="E113" s="10"/>
    </row>
    <row r="114" ht="15.75" customHeight="1">
      <c r="E114" s="10"/>
    </row>
    <row r="115" ht="15.75" customHeight="1">
      <c r="E115" s="10"/>
    </row>
    <row r="116" ht="15.75" customHeight="1">
      <c r="E116" s="10"/>
    </row>
    <row r="117" ht="15.75" customHeight="1">
      <c r="E117" s="10"/>
    </row>
    <row r="118" ht="15.75" customHeight="1">
      <c r="E118" s="10"/>
    </row>
    <row r="119" ht="15.75" customHeight="1">
      <c r="E119" s="10"/>
    </row>
    <row r="120" ht="15.75" customHeight="1">
      <c r="E120" s="10"/>
    </row>
    <row r="121" ht="15.75" customHeight="1">
      <c r="E121" s="10"/>
    </row>
    <row r="122" ht="15.75" customHeight="1">
      <c r="E122" s="10"/>
    </row>
    <row r="123" ht="15.75" customHeight="1">
      <c r="E123" s="10"/>
    </row>
    <row r="124" ht="15.75" customHeight="1">
      <c r="E124" s="10"/>
    </row>
    <row r="125" ht="15.75" customHeight="1">
      <c r="E125" s="10"/>
    </row>
    <row r="126" ht="15.75" customHeight="1">
      <c r="E126" s="10"/>
    </row>
    <row r="127" ht="15.75" customHeight="1">
      <c r="E127" s="10"/>
    </row>
    <row r="128" ht="15.75" customHeight="1">
      <c r="E128" s="10"/>
    </row>
    <row r="129" ht="15.75" customHeight="1">
      <c r="E129" s="10"/>
    </row>
    <row r="130" ht="15.75" customHeight="1">
      <c r="E130" s="10"/>
    </row>
    <row r="131" ht="15.75" customHeight="1">
      <c r="E131" s="10"/>
    </row>
    <row r="132" ht="15.75" customHeight="1">
      <c r="E132" s="10"/>
    </row>
    <row r="133" ht="15.75" customHeight="1">
      <c r="E133" s="10"/>
    </row>
    <row r="134" ht="15.75" customHeight="1">
      <c r="E134" s="10"/>
    </row>
    <row r="135" ht="15.75" customHeight="1">
      <c r="E135" s="10"/>
    </row>
    <row r="136" ht="15.75" customHeight="1">
      <c r="E136" s="10"/>
    </row>
    <row r="137" ht="15.75" customHeight="1">
      <c r="E137" s="10"/>
    </row>
    <row r="138" ht="15.75" customHeight="1">
      <c r="E138" s="10"/>
    </row>
    <row r="139" ht="15.75" customHeight="1">
      <c r="E139" s="10"/>
    </row>
    <row r="140" ht="15.75" customHeight="1">
      <c r="E140" s="10"/>
    </row>
    <row r="141" ht="15.75" customHeight="1">
      <c r="E141" s="10"/>
    </row>
    <row r="142" ht="15.75" customHeight="1">
      <c r="E142" s="10"/>
    </row>
    <row r="143" ht="15.75" customHeight="1">
      <c r="E143" s="10"/>
    </row>
    <row r="144" ht="15.75" customHeight="1">
      <c r="E144" s="10"/>
    </row>
    <row r="145" ht="15.75" customHeight="1">
      <c r="E145" s="10"/>
    </row>
    <row r="146" ht="15.75" customHeight="1">
      <c r="E146" s="10"/>
    </row>
    <row r="147" ht="15.75" customHeight="1">
      <c r="E147" s="10"/>
    </row>
    <row r="148" ht="15.75" customHeight="1">
      <c r="E148" s="10"/>
    </row>
    <row r="149" ht="15.75" customHeight="1">
      <c r="E149" s="10"/>
    </row>
    <row r="150" ht="15.75" customHeight="1">
      <c r="E150" s="10"/>
    </row>
    <row r="151" ht="15.75" customHeight="1">
      <c r="E151" s="10"/>
    </row>
    <row r="152" ht="15.75" customHeight="1">
      <c r="E152" s="10"/>
    </row>
    <row r="153" ht="15.75" customHeight="1">
      <c r="E153" s="10"/>
    </row>
    <row r="154" ht="15.75" customHeight="1">
      <c r="E154" s="10"/>
    </row>
    <row r="155" ht="15.75" customHeight="1">
      <c r="E155" s="10"/>
    </row>
    <row r="156" ht="15.75" customHeight="1">
      <c r="E156" s="10"/>
    </row>
    <row r="157" ht="15.75" customHeight="1">
      <c r="E157" s="10"/>
    </row>
    <row r="158" ht="15.75" customHeight="1">
      <c r="E158" s="10"/>
    </row>
    <row r="159" ht="15.75" customHeight="1">
      <c r="E159" s="10"/>
    </row>
    <row r="160" ht="15.75" customHeight="1">
      <c r="E160" s="10"/>
    </row>
    <row r="161" ht="15.75" customHeight="1">
      <c r="E161" s="10"/>
    </row>
    <row r="162" ht="15.75" customHeight="1">
      <c r="E162" s="10"/>
    </row>
    <row r="163" ht="15.75" customHeight="1">
      <c r="E163" s="10"/>
    </row>
    <row r="164" ht="15.75" customHeight="1">
      <c r="E164" s="10"/>
    </row>
    <row r="165" ht="15.75" customHeight="1">
      <c r="E165" s="10"/>
    </row>
    <row r="166" ht="15.75" customHeight="1">
      <c r="E166" s="10"/>
    </row>
    <row r="167" ht="15.75" customHeight="1">
      <c r="E167" s="10"/>
    </row>
    <row r="168" ht="15.75" customHeight="1">
      <c r="E168" s="10"/>
    </row>
    <row r="169" ht="15.75" customHeight="1">
      <c r="E169" s="10"/>
    </row>
    <row r="170" ht="15.75" customHeight="1">
      <c r="E170" s="10"/>
    </row>
    <row r="171" ht="15.75" customHeight="1">
      <c r="E171" s="10"/>
    </row>
    <row r="172" ht="15.75" customHeight="1">
      <c r="E172" s="10"/>
    </row>
    <row r="173" ht="15.75" customHeight="1">
      <c r="E173" s="10"/>
    </row>
    <row r="174" ht="15.75" customHeight="1">
      <c r="E174" s="10"/>
    </row>
    <row r="175" ht="15.75" customHeight="1">
      <c r="E175" s="10"/>
    </row>
    <row r="176" ht="15.75" customHeight="1">
      <c r="E176" s="10"/>
    </row>
    <row r="177" ht="15.75" customHeight="1">
      <c r="E177" s="10"/>
    </row>
    <row r="178" ht="15.75" customHeight="1">
      <c r="E178" s="10"/>
    </row>
    <row r="179" ht="15.75" customHeight="1">
      <c r="E179" s="10"/>
    </row>
    <row r="180" ht="15.75" customHeight="1">
      <c r="E180" s="10"/>
    </row>
    <row r="181" ht="15.75" customHeight="1">
      <c r="E181" s="10"/>
    </row>
    <row r="182" ht="15.75" customHeight="1">
      <c r="E182" s="10"/>
    </row>
    <row r="183" ht="15.75" customHeight="1">
      <c r="E183" s="10"/>
    </row>
    <row r="184" ht="15.75" customHeight="1">
      <c r="E184" s="10"/>
    </row>
    <row r="185" ht="15.75" customHeight="1">
      <c r="E185" s="10"/>
    </row>
    <row r="186" ht="15.75" customHeight="1">
      <c r="E186" s="10"/>
    </row>
    <row r="187" ht="15.75" customHeight="1">
      <c r="E187" s="10"/>
    </row>
    <row r="188" ht="15.75" customHeight="1">
      <c r="E188" s="10"/>
    </row>
    <row r="189" ht="15.75" customHeight="1">
      <c r="E189" s="10"/>
    </row>
    <row r="190" ht="15.75" customHeight="1">
      <c r="E190" s="10"/>
    </row>
    <row r="191" ht="15.75" customHeight="1">
      <c r="E191" s="10"/>
    </row>
    <row r="192" ht="15.75" customHeight="1">
      <c r="E192" s="10"/>
    </row>
    <row r="193" ht="15.75" customHeight="1">
      <c r="E193" s="10"/>
    </row>
    <row r="194" ht="15.75" customHeight="1">
      <c r="E194" s="10"/>
    </row>
    <row r="195" ht="15.75" customHeight="1">
      <c r="E195" s="10"/>
    </row>
    <row r="196" ht="15.75" customHeight="1">
      <c r="E196" s="10"/>
    </row>
    <row r="197" ht="15.75" customHeight="1">
      <c r="E197" s="10"/>
    </row>
    <row r="198" ht="15.75" customHeight="1">
      <c r="E198" s="10"/>
    </row>
    <row r="199" ht="15.75" customHeight="1">
      <c r="E199" s="10"/>
    </row>
    <row r="200" ht="15.75" customHeight="1">
      <c r="E200" s="10"/>
    </row>
    <row r="201" ht="15.75" customHeight="1">
      <c r="E201" s="10"/>
    </row>
    <row r="202" ht="15.75" customHeight="1">
      <c r="E202" s="10"/>
    </row>
    <row r="203" ht="15.75" customHeight="1">
      <c r="E203" s="10"/>
    </row>
    <row r="204" ht="15.75" customHeight="1">
      <c r="E204" s="10"/>
    </row>
    <row r="205" ht="15.75" customHeight="1">
      <c r="E205" s="10"/>
    </row>
    <row r="206" ht="15.75" customHeight="1">
      <c r="E206" s="10"/>
    </row>
    <row r="207" ht="15.75" customHeight="1">
      <c r="E207" s="10"/>
    </row>
    <row r="208" ht="15.75" customHeight="1">
      <c r="E208" s="10"/>
    </row>
    <row r="209" ht="15.75" customHeight="1">
      <c r="E209" s="10"/>
    </row>
    <row r="210" ht="15.75" customHeight="1">
      <c r="E210" s="10"/>
    </row>
    <row r="211" ht="15.75" customHeight="1">
      <c r="E211" s="10"/>
    </row>
    <row r="212" ht="15.75" customHeight="1">
      <c r="E212" s="10"/>
    </row>
    <row r="213" ht="15.75" customHeight="1">
      <c r="E213" s="10"/>
    </row>
    <row r="214" ht="15.75" customHeight="1">
      <c r="E214" s="10"/>
    </row>
    <row r="215" ht="15.75" customHeight="1">
      <c r="E215" s="10"/>
    </row>
    <row r="216" ht="15.75" customHeight="1">
      <c r="E216" s="10"/>
    </row>
    <row r="217" ht="15.75" customHeight="1">
      <c r="E217" s="10"/>
    </row>
    <row r="218" ht="15.75" customHeight="1">
      <c r="E218" s="10"/>
    </row>
    <row r="219" ht="15.75" customHeight="1">
      <c r="E219" s="10"/>
    </row>
    <row r="220" ht="15.75" customHeight="1">
      <c r="E220" s="1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3"/>
    <hyperlink r:id="rId2" ref="C5"/>
    <hyperlink r:id="rId3" ref="C7"/>
    <hyperlink r:id="rId4" ref="C9"/>
    <hyperlink r:id="rId5" ref="C11"/>
    <hyperlink r:id="rId6" ref="C13"/>
    <hyperlink r:id="rId7" ref="C15"/>
    <hyperlink r:id="rId8" ref="C17"/>
  </hyperlinks>
  <drawing r:id="rId9"/>
</worksheet>
</file>